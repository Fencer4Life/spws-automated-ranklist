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Szpada 2023/Ranking Kobiet - szpada/"/>
    </mc:Choice>
  </mc:AlternateContent>
  <xr:revisionPtr revIDLastSave="1469" documentId="8_{0F30A1D5-6AB1-408C-A32C-C3051CEBD443}" xr6:coauthVersionLast="47" xr6:coauthVersionMax="47" xr10:uidLastSave="{3F264AF3-09EC-4DC5-B15D-A78A7B331472}"/>
  <bookViews>
    <workbookView xWindow="-120" yWindow="-120" windowWidth="29040" windowHeight="15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adra" sheetId="28" r:id="rId8"/>
    <sheet name="PEW1" sheetId="21" r:id="rId9"/>
    <sheet name="PEW2" sheetId="27" r:id="rId10"/>
    <sheet name="PEW3" sheetId="26" r:id="rId11"/>
    <sheet name="PEW4" sheetId="25" r:id="rId12"/>
    <sheet name="PEW5" sheetId="24" r:id="rId13"/>
    <sheet name="PEW6" sheetId="23" r:id="rId14"/>
    <sheet name="PEW7" sheetId="22" r:id="rId15"/>
    <sheet name="IMEW" sheetId="20" r:id="rId16"/>
  </sheets>
  <definedNames>
    <definedName name="_xlnm._FilterDatabase" localSheetId="7" hidden="1">Kadra!$A$5:$AG$5</definedName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0" i="20" l="1"/>
  <c r="B109" i="20"/>
  <c r="B108" i="20"/>
  <c r="B107" i="20"/>
  <c r="B106" i="20"/>
  <c r="B105" i="20"/>
  <c r="B104" i="20"/>
  <c r="B103" i="20"/>
  <c r="B102" i="20"/>
  <c r="B101" i="20"/>
  <c r="B100" i="20"/>
  <c r="B99" i="20"/>
  <c r="B98" i="20"/>
  <c r="B97" i="20"/>
  <c r="B96" i="20"/>
  <c r="B95" i="20"/>
  <c r="B94" i="20"/>
  <c r="B93" i="20"/>
  <c r="B92" i="20"/>
  <c r="B91" i="20"/>
  <c r="B90" i="20"/>
  <c r="B89" i="20"/>
  <c r="B88" i="20"/>
  <c r="B87" i="20"/>
  <c r="B86" i="20"/>
  <c r="B85" i="20"/>
  <c r="B84" i="20"/>
  <c r="B83" i="20"/>
  <c r="B82" i="20"/>
  <c r="B81" i="20"/>
  <c r="B80" i="20"/>
  <c r="B79" i="20"/>
  <c r="B78" i="20"/>
  <c r="B77" i="20"/>
  <c r="B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B63" i="20"/>
  <c r="B62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  <c r="A14" i="26"/>
  <c r="S305" i="15"/>
  <c r="T305" i="15" s="1"/>
  <c r="R305" i="15"/>
  <c r="V305" i="15" s="1"/>
  <c r="S304" i="15"/>
  <c r="T304" i="15" s="1"/>
  <c r="R304" i="15"/>
  <c r="V304" i="15" s="1"/>
  <c r="S303" i="15"/>
  <c r="T303" i="15" s="1"/>
  <c r="R303" i="15"/>
  <c r="V303" i="15" s="1"/>
  <c r="S302" i="15"/>
  <c r="T302" i="15" s="1"/>
  <c r="R302" i="15"/>
  <c r="V302" i="15" s="1"/>
  <c r="S301" i="15"/>
  <c r="T301" i="15" s="1"/>
  <c r="R301" i="15"/>
  <c r="V301" i="15" s="1"/>
  <c r="S300" i="15"/>
  <c r="T300" i="15" s="1"/>
  <c r="R300" i="15"/>
  <c r="V300" i="15" s="1"/>
  <c r="S299" i="15"/>
  <c r="T299" i="15" s="1"/>
  <c r="R299" i="15"/>
  <c r="V299" i="15" s="1"/>
  <c r="S298" i="15"/>
  <c r="T298" i="15" s="1"/>
  <c r="R298" i="15"/>
  <c r="V298" i="15" s="1"/>
  <c r="S297" i="15"/>
  <c r="T297" i="15" s="1"/>
  <c r="R297" i="15"/>
  <c r="V297" i="15" s="1"/>
  <c r="S296" i="15"/>
  <c r="T296" i="15" s="1"/>
  <c r="R296" i="15"/>
  <c r="V296" i="15" s="1"/>
  <c r="S295" i="15"/>
  <c r="T295" i="15" s="1"/>
  <c r="R295" i="15"/>
  <c r="V295" i="15" s="1"/>
  <c r="S294" i="15"/>
  <c r="T294" i="15" s="1"/>
  <c r="R294" i="15"/>
  <c r="V294" i="15" s="1"/>
  <c r="S293" i="15"/>
  <c r="T293" i="15" s="1"/>
  <c r="R293" i="15"/>
  <c r="V293" i="15" s="1"/>
  <c r="S292" i="15"/>
  <c r="T292" i="15" s="1"/>
  <c r="R292" i="15"/>
  <c r="V292" i="15" s="1"/>
  <c r="V291" i="15"/>
  <c r="S291" i="15"/>
  <c r="T291" i="15" s="1"/>
  <c r="R291" i="15"/>
  <c r="S290" i="15"/>
  <c r="T290" i="15" s="1"/>
  <c r="R290" i="15"/>
  <c r="V290" i="15" s="1"/>
  <c r="V289" i="15"/>
  <c r="S289" i="15"/>
  <c r="T289" i="15" s="1"/>
  <c r="R289" i="15"/>
  <c r="S288" i="15"/>
  <c r="T288" i="15" s="1"/>
  <c r="R288" i="15"/>
  <c r="V288" i="15" s="1"/>
  <c r="V287" i="15"/>
  <c r="S287" i="15"/>
  <c r="T287" i="15" s="1"/>
  <c r="R287" i="15"/>
  <c r="S286" i="15"/>
  <c r="T286" i="15" s="1"/>
  <c r="R286" i="15"/>
  <c r="V286" i="15" s="1"/>
  <c r="S285" i="15"/>
  <c r="T285" i="15" s="1"/>
  <c r="R285" i="15"/>
  <c r="V285" i="15" s="1"/>
  <c r="S284" i="15"/>
  <c r="T284" i="15" s="1"/>
  <c r="R284" i="15"/>
  <c r="V284" i="15" s="1"/>
  <c r="S283" i="15"/>
  <c r="T283" i="15" s="1"/>
  <c r="R283" i="15"/>
  <c r="V283" i="15" s="1"/>
  <c r="S282" i="15"/>
  <c r="T282" i="15" s="1"/>
  <c r="R282" i="15"/>
  <c r="V282" i="15" s="1"/>
  <c r="S281" i="15"/>
  <c r="T281" i="15" s="1"/>
  <c r="R281" i="15"/>
  <c r="V281" i="15" s="1"/>
  <c r="S280" i="15"/>
  <c r="T280" i="15" s="1"/>
  <c r="R280" i="15"/>
  <c r="V280" i="15" s="1"/>
  <c r="V279" i="15"/>
  <c r="S279" i="15"/>
  <c r="T279" i="15" s="1"/>
  <c r="R279" i="15"/>
  <c r="S278" i="15"/>
  <c r="T278" i="15" s="1"/>
  <c r="R278" i="15"/>
  <c r="V278" i="15" s="1"/>
  <c r="S277" i="15"/>
  <c r="T277" i="15" s="1"/>
  <c r="R277" i="15"/>
  <c r="V277" i="15" s="1"/>
  <c r="S276" i="15"/>
  <c r="T276" i="15" s="1"/>
  <c r="R276" i="15"/>
  <c r="V276" i="15" s="1"/>
  <c r="V275" i="15"/>
  <c r="S275" i="15"/>
  <c r="T275" i="15" s="1"/>
  <c r="R275" i="15"/>
  <c r="S274" i="15"/>
  <c r="T274" i="15" s="1"/>
  <c r="R274" i="15"/>
  <c r="V274" i="15" s="1"/>
  <c r="V273" i="15"/>
  <c r="S273" i="15"/>
  <c r="T273" i="15" s="1"/>
  <c r="R273" i="15"/>
  <c r="S272" i="15"/>
  <c r="T272" i="15" s="1"/>
  <c r="R272" i="15"/>
  <c r="V272" i="15" s="1"/>
  <c r="V271" i="15"/>
  <c r="S271" i="15"/>
  <c r="T271" i="15" s="1"/>
  <c r="R271" i="15"/>
  <c r="S270" i="15"/>
  <c r="T270" i="15" s="1"/>
  <c r="R270" i="15"/>
  <c r="V270" i="15" s="1"/>
  <c r="S269" i="15"/>
  <c r="T269" i="15" s="1"/>
  <c r="R269" i="15"/>
  <c r="V269" i="15" s="1"/>
  <c r="S268" i="15"/>
  <c r="T268" i="15" s="1"/>
  <c r="R268" i="15"/>
  <c r="V268" i="15" s="1"/>
  <c r="S267" i="15"/>
  <c r="T267" i="15" s="1"/>
  <c r="R267" i="15"/>
  <c r="V267" i="15" s="1"/>
  <c r="S266" i="15"/>
  <c r="T266" i="15" s="1"/>
  <c r="R266" i="15"/>
  <c r="V266" i="15" s="1"/>
  <c r="S265" i="15"/>
  <c r="T265" i="15" s="1"/>
  <c r="R265" i="15"/>
  <c r="V265" i="15" s="1"/>
  <c r="S264" i="15"/>
  <c r="T264" i="15" s="1"/>
  <c r="R264" i="15"/>
  <c r="V264" i="15" s="1"/>
  <c r="V263" i="15"/>
  <c r="S263" i="15"/>
  <c r="T263" i="15" s="1"/>
  <c r="R263" i="15"/>
  <c r="S262" i="15"/>
  <c r="T262" i="15" s="1"/>
  <c r="R262" i="15"/>
  <c r="V262" i="15" s="1"/>
  <c r="S261" i="15"/>
  <c r="T261" i="15" s="1"/>
  <c r="R261" i="15"/>
  <c r="V261" i="15" s="1"/>
  <c r="S260" i="15"/>
  <c r="T260" i="15" s="1"/>
  <c r="R260" i="15"/>
  <c r="V260" i="15" s="1"/>
  <c r="V259" i="15"/>
  <c r="S259" i="15"/>
  <c r="T259" i="15" s="1"/>
  <c r="R259" i="15"/>
  <c r="S258" i="15"/>
  <c r="T258" i="15" s="1"/>
  <c r="R258" i="15"/>
  <c r="V258" i="15" s="1"/>
  <c r="V257" i="15"/>
  <c r="S257" i="15"/>
  <c r="T257" i="15" s="1"/>
  <c r="R257" i="15"/>
  <c r="S256" i="15"/>
  <c r="T256" i="15" s="1"/>
  <c r="R256" i="15"/>
  <c r="V256" i="15" s="1"/>
  <c r="V255" i="15"/>
  <c r="S255" i="15"/>
  <c r="T255" i="15" s="1"/>
  <c r="R255" i="15"/>
  <c r="S254" i="15"/>
  <c r="T254" i="15" s="1"/>
  <c r="R254" i="15"/>
  <c r="V254" i="15" s="1"/>
  <c r="V253" i="15"/>
  <c r="S253" i="15"/>
  <c r="T253" i="15" s="1"/>
  <c r="R253" i="15"/>
  <c r="S252" i="15"/>
  <c r="T252" i="15" s="1"/>
  <c r="R252" i="15"/>
  <c r="V252" i="15" s="1"/>
  <c r="S251" i="15"/>
  <c r="T251" i="15" s="1"/>
  <c r="R251" i="15"/>
  <c r="V251" i="15" s="1"/>
  <c r="S250" i="15"/>
  <c r="T250" i="15" s="1"/>
  <c r="R250" i="15"/>
  <c r="V250" i="15" s="1"/>
  <c r="S249" i="15"/>
  <c r="T249" i="15" s="1"/>
  <c r="R249" i="15"/>
  <c r="V249" i="15" s="1"/>
  <c r="S248" i="15"/>
  <c r="T248" i="15" s="1"/>
  <c r="R248" i="15"/>
  <c r="V248" i="15" s="1"/>
  <c r="V247" i="15"/>
  <c r="S247" i="15"/>
  <c r="T247" i="15" s="1"/>
  <c r="R247" i="15"/>
  <c r="S246" i="15"/>
  <c r="T246" i="15" s="1"/>
  <c r="R246" i="15"/>
  <c r="V246" i="15" s="1"/>
  <c r="S245" i="15"/>
  <c r="T245" i="15" s="1"/>
  <c r="R245" i="15"/>
  <c r="V245" i="15" s="1"/>
  <c r="S244" i="15"/>
  <c r="T244" i="15" s="1"/>
  <c r="R244" i="15"/>
  <c r="V244" i="15" s="1"/>
  <c r="V243" i="15"/>
  <c r="S243" i="15"/>
  <c r="T243" i="15" s="1"/>
  <c r="R243" i="15"/>
  <c r="S242" i="15"/>
  <c r="T242" i="15" s="1"/>
  <c r="R242" i="15"/>
  <c r="V242" i="15" s="1"/>
  <c r="V241" i="15"/>
  <c r="S241" i="15"/>
  <c r="T241" i="15" s="1"/>
  <c r="R241" i="15"/>
  <c r="S240" i="15"/>
  <c r="T240" i="15" s="1"/>
  <c r="R240" i="15"/>
  <c r="V240" i="15" s="1"/>
  <c r="V239" i="15"/>
  <c r="S239" i="15"/>
  <c r="T239" i="15" s="1"/>
  <c r="R239" i="15"/>
  <c r="S238" i="15"/>
  <c r="T238" i="15" s="1"/>
  <c r="R238" i="15"/>
  <c r="V238" i="15" s="1"/>
  <c r="S237" i="15"/>
  <c r="T237" i="15" s="1"/>
  <c r="R237" i="15"/>
  <c r="V237" i="15" s="1"/>
  <c r="S236" i="15"/>
  <c r="T236" i="15" s="1"/>
  <c r="R236" i="15"/>
  <c r="V236" i="15" s="1"/>
  <c r="S235" i="15"/>
  <c r="T235" i="15" s="1"/>
  <c r="R235" i="15"/>
  <c r="V235" i="15" s="1"/>
  <c r="S234" i="15"/>
  <c r="T234" i="15" s="1"/>
  <c r="R234" i="15"/>
  <c r="V234" i="15" s="1"/>
  <c r="S233" i="15"/>
  <c r="T233" i="15" s="1"/>
  <c r="R233" i="15"/>
  <c r="V233" i="15" s="1"/>
  <c r="S232" i="15"/>
  <c r="T232" i="15" s="1"/>
  <c r="R232" i="15"/>
  <c r="V232" i="15" s="1"/>
  <c r="V231" i="15"/>
  <c r="S231" i="15"/>
  <c r="T231" i="15" s="1"/>
  <c r="R231" i="15"/>
  <c r="S230" i="15"/>
  <c r="T230" i="15" s="1"/>
  <c r="R230" i="15"/>
  <c r="V230" i="15" s="1"/>
  <c r="S229" i="15"/>
  <c r="T229" i="15" s="1"/>
  <c r="R229" i="15"/>
  <c r="V229" i="15" s="1"/>
  <c r="S228" i="15"/>
  <c r="T228" i="15" s="1"/>
  <c r="R228" i="15"/>
  <c r="V228" i="15" s="1"/>
  <c r="V227" i="15"/>
  <c r="S227" i="15"/>
  <c r="T227" i="15" s="1"/>
  <c r="R227" i="15"/>
  <c r="S226" i="15"/>
  <c r="T226" i="15" s="1"/>
  <c r="R226" i="15"/>
  <c r="V226" i="15" s="1"/>
  <c r="V225" i="15"/>
  <c r="S225" i="15"/>
  <c r="T225" i="15" s="1"/>
  <c r="R225" i="15"/>
  <c r="S224" i="15"/>
  <c r="T224" i="15" s="1"/>
  <c r="R224" i="15"/>
  <c r="V224" i="15" s="1"/>
  <c r="V223" i="15"/>
  <c r="S223" i="15"/>
  <c r="T223" i="15" s="1"/>
  <c r="R223" i="15"/>
  <c r="S222" i="15"/>
  <c r="T222" i="15" s="1"/>
  <c r="R222" i="15"/>
  <c r="V222" i="15" s="1"/>
  <c r="S221" i="15"/>
  <c r="T221" i="15" s="1"/>
  <c r="R221" i="15"/>
  <c r="V221" i="15" s="1"/>
  <c r="S220" i="15"/>
  <c r="T220" i="15" s="1"/>
  <c r="R220" i="15"/>
  <c r="V220" i="15" s="1"/>
  <c r="S219" i="15"/>
  <c r="T219" i="15" s="1"/>
  <c r="R219" i="15"/>
  <c r="V219" i="15" s="1"/>
  <c r="S218" i="15"/>
  <c r="T218" i="15" s="1"/>
  <c r="R218" i="15"/>
  <c r="V218" i="15" s="1"/>
  <c r="S217" i="15"/>
  <c r="T217" i="15" s="1"/>
  <c r="R217" i="15"/>
  <c r="V217" i="15" s="1"/>
  <c r="S216" i="15"/>
  <c r="T216" i="15" s="1"/>
  <c r="R216" i="15"/>
  <c r="V216" i="15" s="1"/>
  <c r="V215" i="15"/>
  <c r="S215" i="15"/>
  <c r="T215" i="15" s="1"/>
  <c r="R215" i="15"/>
  <c r="S214" i="15"/>
  <c r="T214" i="15" s="1"/>
  <c r="R214" i="15"/>
  <c r="V214" i="15" s="1"/>
  <c r="S213" i="15"/>
  <c r="T213" i="15" s="1"/>
  <c r="R213" i="15"/>
  <c r="V213" i="15" s="1"/>
  <c r="S212" i="15"/>
  <c r="T212" i="15" s="1"/>
  <c r="R212" i="15"/>
  <c r="V212" i="15" s="1"/>
  <c r="V211" i="15"/>
  <c r="S211" i="15"/>
  <c r="T211" i="15" s="1"/>
  <c r="R211" i="15"/>
  <c r="S210" i="15"/>
  <c r="T210" i="15" s="1"/>
  <c r="R210" i="15"/>
  <c r="V210" i="15" s="1"/>
  <c r="V209" i="15"/>
  <c r="S209" i="15"/>
  <c r="T209" i="15" s="1"/>
  <c r="R209" i="15"/>
  <c r="S208" i="15"/>
  <c r="T208" i="15" s="1"/>
  <c r="R208" i="15"/>
  <c r="V208" i="15" s="1"/>
  <c r="V207" i="15"/>
  <c r="S207" i="15"/>
  <c r="T207" i="15" s="1"/>
  <c r="R207" i="15"/>
  <c r="S206" i="15"/>
  <c r="T206" i="15" s="1"/>
  <c r="R206" i="15"/>
  <c r="V206" i="15" s="1"/>
  <c r="S205" i="15"/>
  <c r="T205" i="15" s="1"/>
  <c r="R205" i="15"/>
  <c r="V205" i="15" s="1"/>
  <c r="S204" i="15"/>
  <c r="T204" i="15" s="1"/>
  <c r="R204" i="15"/>
  <c r="V204" i="15" s="1"/>
  <c r="S203" i="15"/>
  <c r="T203" i="15" s="1"/>
  <c r="R203" i="15"/>
  <c r="V203" i="15" s="1"/>
  <c r="S202" i="15"/>
  <c r="T202" i="15" s="1"/>
  <c r="R202" i="15"/>
  <c r="V202" i="15" s="1"/>
  <c r="S201" i="15"/>
  <c r="T201" i="15" s="1"/>
  <c r="R201" i="15"/>
  <c r="V201" i="15" s="1"/>
  <c r="S200" i="15"/>
  <c r="T200" i="15" s="1"/>
  <c r="R200" i="15"/>
  <c r="V200" i="15" s="1"/>
  <c r="V199" i="15"/>
  <c r="S199" i="15"/>
  <c r="T199" i="15" s="1"/>
  <c r="R199" i="15"/>
  <c r="S198" i="15"/>
  <c r="T198" i="15" s="1"/>
  <c r="R198" i="15"/>
  <c r="V198" i="15" s="1"/>
  <c r="S197" i="15"/>
  <c r="T197" i="15" s="1"/>
  <c r="R197" i="15"/>
  <c r="V197" i="15" s="1"/>
  <c r="V196" i="15"/>
  <c r="S196" i="15"/>
  <c r="T196" i="15" s="1"/>
  <c r="R196" i="15"/>
  <c r="V195" i="15"/>
  <c r="S195" i="15"/>
  <c r="T195" i="15" s="1"/>
  <c r="R195" i="15"/>
  <c r="V194" i="15"/>
  <c r="S194" i="15"/>
  <c r="T194" i="15" s="1"/>
  <c r="R194" i="15"/>
  <c r="V193" i="15"/>
  <c r="S193" i="15"/>
  <c r="T193" i="15" s="1"/>
  <c r="R193" i="15"/>
  <c r="S192" i="15"/>
  <c r="T192" i="15" s="1"/>
  <c r="R192" i="15"/>
  <c r="V192" i="15" s="1"/>
  <c r="V191" i="15"/>
  <c r="S191" i="15"/>
  <c r="T191" i="15" s="1"/>
  <c r="R191" i="15"/>
  <c r="S190" i="15"/>
  <c r="T190" i="15" s="1"/>
  <c r="R190" i="15"/>
  <c r="V190" i="15" s="1"/>
  <c r="S189" i="15"/>
  <c r="T189" i="15" s="1"/>
  <c r="R189" i="15"/>
  <c r="V189" i="15" s="1"/>
  <c r="V188" i="15"/>
  <c r="S188" i="15"/>
  <c r="T188" i="15" s="1"/>
  <c r="R188" i="15"/>
  <c r="V187" i="15"/>
  <c r="S187" i="15"/>
  <c r="T187" i="15" s="1"/>
  <c r="R187" i="15"/>
  <c r="V186" i="15"/>
  <c r="S186" i="15"/>
  <c r="T186" i="15" s="1"/>
  <c r="R186" i="15"/>
  <c r="V185" i="15"/>
  <c r="S185" i="15"/>
  <c r="T185" i="15" s="1"/>
  <c r="R185" i="15"/>
  <c r="S184" i="15"/>
  <c r="T184" i="15" s="1"/>
  <c r="R184" i="15"/>
  <c r="V184" i="15" s="1"/>
  <c r="V183" i="15"/>
  <c r="S183" i="15"/>
  <c r="T183" i="15" s="1"/>
  <c r="R183" i="15"/>
  <c r="S182" i="15"/>
  <c r="T182" i="15" s="1"/>
  <c r="R182" i="15"/>
  <c r="V182" i="15" s="1"/>
  <c r="S181" i="15"/>
  <c r="T181" i="15" s="1"/>
  <c r="R181" i="15"/>
  <c r="V181" i="15" s="1"/>
  <c r="V180" i="15"/>
  <c r="S180" i="15"/>
  <c r="T180" i="15" s="1"/>
  <c r="R180" i="15"/>
  <c r="V179" i="15"/>
  <c r="S179" i="15"/>
  <c r="T179" i="15" s="1"/>
  <c r="R179" i="15"/>
  <c r="V178" i="15"/>
  <c r="S178" i="15"/>
  <c r="T178" i="15" s="1"/>
  <c r="R178" i="15"/>
  <c r="V177" i="15"/>
  <c r="S177" i="15"/>
  <c r="T177" i="15" s="1"/>
  <c r="R177" i="15"/>
  <c r="S176" i="15"/>
  <c r="T176" i="15" s="1"/>
  <c r="R176" i="15"/>
  <c r="V176" i="15" s="1"/>
  <c r="V175" i="15"/>
  <c r="S175" i="15"/>
  <c r="T175" i="15" s="1"/>
  <c r="R175" i="15"/>
  <c r="S174" i="15"/>
  <c r="T174" i="15" s="1"/>
  <c r="R174" i="15"/>
  <c r="V174" i="15" s="1"/>
  <c r="S173" i="15"/>
  <c r="T173" i="15" s="1"/>
  <c r="R173" i="15"/>
  <c r="V173" i="15" s="1"/>
  <c r="V172" i="15"/>
  <c r="S172" i="15"/>
  <c r="T172" i="15" s="1"/>
  <c r="R172" i="15"/>
  <c r="V171" i="15"/>
  <c r="S171" i="15"/>
  <c r="T171" i="15" s="1"/>
  <c r="R171" i="15"/>
  <c r="V170" i="15"/>
  <c r="S170" i="15"/>
  <c r="T170" i="15" s="1"/>
  <c r="R170" i="15"/>
  <c r="V169" i="15"/>
  <c r="S169" i="15"/>
  <c r="T169" i="15" s="1"/>
  <c r="R169" i="15"/>
  <c r="S168" i="15"/>
  <c r="T168" i="15" s="1"/>
  <c r="R168" i="15"/>
  <c r="V168" i="15" s="1"/>
  <c r="V167" i="15"/>
  <c r="S167" i="15"/>
  <c r="T167" i="15" s="1"/>
  <c r="R167" i="15"/>
  <c r="S166" i="15"/>
  <c r="T166" i="15" s="1"/>
  <c r="R166" i="15"/>
  <c r="V166" i="15" s="1"/>
  <c r="S165" i="15"/>
  <c r="T165" i="15" s="1"/>
  <c r="R165" i="15"/>
  <c r="V165" i="15" s="1"/>
  <c r="V164" i="15"/>
  <c r="S164" i="15"/>
  <c r="T164" i="15" s="1"/>
  <c r="R164" i="15"/>
  <c r="V163" i="15"/>
  <c r="S163" i="15"/>
  <c r="T163" i="15" s="1"/>
  <c r="R163" i="15"/>
  <c r="V162" i="15"/>
  <c r="S162" i="15"/>
  <c r="T162" i="15" s="1"/>
  <c r="R162" i="15"/>
  <c r="V161" i="15"/>
  <c r="S161" i="15"/>
  <c r="T161" i="15" s="1"/>
  <c r="R161" i="15"/>
  <c r="S160" i="15"/>
  <c r="T160" i="15" s="1"/>
  <c r="R160" i="15"/>
  <c r="V160" i="15" s="1"/>
  <c r="S159" i="15"/>
  <c r="T159" i="15" s="1"/>
  <c r="R159" i="15"/>
  <c r="V159" i="15" s="1"/>
  <c r="S158" i="15"/>
  <c r="T158" i="15" s="1"/>
  <c r="R158" i="15"/>
  <c r="V158" i="15" s="1"/>
  <c r="S157" i="15"/>
  <c r="T157" i="15" s="1"/>
  <c r="R157" i="15"/>
  <c r="V157" i="15" s="1"/>
  <c r="V156" i="15"/>
  <c r="S156" i="15"/>
  <c r="T156" i="15" s="1"/>
  <c r="R156" i="15"/>
  <c r="S155" i="15"/>
  <c r="T155" i="15" s="1"/>
  <c r="R155" i="15"/>
  <c r="V155" i="15" s="1"/>
  <c r="V154" i="15"/>
  <c r="S154" i="15"/>
  <c r="T154" i="15" s="1"/>
  <c r="R154" i="15"/>
  <c r="V153" i="15"/>
  <c r="S153" i="15"/>
  <c r="T153" i="15" s="1"/>
  <c r="R153" i="15"/>
  <c r="S152" i="15"/>
  <c r="T152" i="15" s="1"/>
  <c r="R152" i="15"/>
  <c r="V152" i="15" s="1"/>
  <c r="S151" i="15"/>
  <c r="T151" i="15" s="1"/>
  <c r="R151" i="15"/>
  <c r="V151" i="15" s="1"/>
  <c r="S150" i="15"/>
  <c r="T150" i="15" s="1"/>
  <c r="R150" i="15"/>
  <c r="V150" i="15" s="1"/>
  <c r="S149" i="15"/>
  <c r="T149" i="15" s="1"/>
  <c r="R149" i="15"/>
  <c r="V149" i="15" s="1"/>
  <c r="V148" i="15"/>
  <c r="S148" i="15"/>
  <c r="T148" i="15" s="1"/>
  <c r="R148" i="15"/>
  <c r="S147" i="15"/>
  <c r="T147" i="15" s="1"/>
  <c r="R147" i="15"/>
  <c r="V147" i="15" s="1"/>
  <c r="V146" i="15"/>
  <c r="S146" i="15"/>
  <c r="T146" i="15" s="1"/>
  <c r="R146" i="15"/>
  <c r="V145" i="15"/>
  <c r="S145" i="15"/>
  <c r="T145" i="15" s="1"/>
  <c r="R145" i="15"/>
  <c r="S144" i="15"/>
  <c r="T144" i="15" s="1"/>
  <c r="R144" i="15"/>
  <c r="V144" i="15" s="1"/>
  <c r="S143" i="15"/>
  <c r="T143" i="15" s="1"/>
  <c r="R143" i="15"/>
  <c r="V143" i="15" s="1"/>
  <c r="S142" i="15"/>
  <c r="T142" i="15" s="1"/>
  <c r="R142" i="15"/>
  <c r="V142" i="15" s="1"/>
  <c r="S141" i="15"/>
  <c r="T141" i="15" s="1"/>
  <c r="R141" i="15"/>
  <c r="V141" i="15" s="1"/>
  <c r="V140" i="15"/>
  <c r="S140" i="15"/>
  <c r="T140" i="15" s="1"/>
  <c r="R140" i="15"/>
  <c r="S139" i="15"/>
  <c r="T139" i="15" s="1"/>
  <c r="R139" i="15"/>
  <c r="V139" i="15" s="1"/>
  <c r="V138" i="15"/>
  <c r="S138" i="15"/>
  <c r="T138" i="15" s="1"/>
  <c r="R138" i="15"/>
  <c r="V137" i="15"/>
  <c r="S137" i="15"/>
  <c r="T137" i="15" s="1"/>
  <c r="R137" i="15"/>
  <c r="S136" i="15"/>
  <c r="T136" i="15" s="1"/>
  <c r="R136" i="15"/>
  <c r="V136" i="15" s="1"/>
  <c r="V135" i="15"/>
  <c r="S135" i="15"/>
  <c r="T135" i="15" s="1"/>
  <c r="R135" i="15"/>
  <c r="T134" i="15"/>
  <c r="S134" i="15"/>
  <c r="R134" i="15"/>
  <c r="V134" i="15" s="1"/>
  <c r="V133" i="15"/>
  <c r="S133" i="15"/>
  <c r="T133" i="15" s="1"/>
  <c r="R133" i="15"/>
  <c r="T132" i="15"/>
  <c r="S132" i="15"/>
  <c r="R132" i="15"/>
  <c r="V132" i="15" s="1"/>
  <c r="V131" i="15"/>
  <c r="S131" i="15"/>
  <c r="T131" i="15" s="1"/>
  <c r="R131" i="15"/>
  <c r="T130" i="15"/>
  <c r="S130" i="15"/>
  <c r="R130" i="15"/>
  <c r="V130" i="15" s="1"/>
  <c r="V129" i="15"/>
  <c r="S129" i="15"/>
  <c r="T129" i="15" s="1"/>
  <c r="R129" i="15"/>
  <c r="T128" i="15"/>
  <c r="S128" i="15"/>
  <c r="R128" i="15"/>
  <c r="V128" i="15" s="1"/>
  <c r="V127" i="15"/>
  <c r="S127" i="15"/>
  <c r="T127" i="15" s="1"/>
  <c r="R127" i="15"/>
  <c r="T126" i="15"/>
  <c r="S126" i="15"/>
  <c r="R126" i="15"/>
  <c r="V126" i="15" s="1"/>
  <c r="V125" i="15"/>
  <c r="S125" i="15"/>
  <c r="T125" i="15" s="1"/>
  <c r="R125" i="15"/>
  <c r="T124" i="15"/>
  <c r="S124" i="15"/>
  <c r="R124" i="15"/>
  <c r="V124" i="15" s="1"/>
  <c r="V123" i="15"/>
  <c r="S123" i="15"/>
  <c r="T123" i="15" s="1"/>
  <c r="R123" i="15"/>
  <c r="T122" i="15"/>
  <c r="S122" i="15"/>
  <c r="R122" i="15"/>
  <c r="V122" i="15" s="1"/>
  <c r="V121" i="15"/>
  <c r="S121" i="15"/>
  <c r="T121" i="15" s="1"/>
  <c r="R121" i="15"/>
  <c r="T120" i="15"/>
  <c r="S120" i="15"/>
  <c r="R120" i="15"/>
  <c r="V120" i="15" s="1"/>
  <c r="V119" i="15"/>
  <c r="S119" i="15"/>
  <c r="T119" i="15" s="1"/>
  <c r="R119" i="15"/>
  <c r="T118" i="15"/>
  <c r="S118" i="15"/>
  <c r="R118" i="15"/>
  <c r="V118" i="15" s="1"/>
  <c r="V117" i="15"/>
  <c r="S117" i="15"/>
  <c r="T117" i="15" s="1"/>
  <c r="R117" i="15"/>
  <c r="T116" i="15"/>
  <c r="S116" i="15"/>
  <c r="R116" i="15"/>
  <c r="V116" i="15" s="1"/>
  <c r="V115" i="15"/>
  <c r="S115" i="15"/>
  <c r="T115" i="15" s="1"/>
  <c r="R115" i="15"/>
  <c r="T114" i="15"/>
  <c r="S114" i="15"/>
  <c r="R114" i="15"/>
  <c r="V114" i="15" s="1"/>
  <c r="S113" i="15"/>
  <c r="T113" i="15" s="1"/>
  <c r="R113" i="15"/>
  <c r="V113" i="15" s="1"/>
  <c r="T112" i="15"/>
  <c r="S112" i="15"/>
  <c r="R112" i="15"/>
  <c r="V112" i="15" s="1"/>
  <c r="S111" i="15"/>
  <c r="T111" i="15" s="1"/>
  <c r="R111" i="15"/>
  <c r="V111" i="15" s="1"/>
  <c r="T110" i="15"/>
  <c r="S110" i="15"/>
  <c r="R110" i="15"/>
  <c r="V110" i="15" s="1"/>
  <c r="S109" i="15"/>
  <c r="T109" i="15" s="1"/>
  <c r="R109" i="15"/>
  <c r="V109" i="15" s="1"/>
  <c r="T108" i="15"/>
  <c r="S108" i="15"/>
  <c r="R108" i="15"/>
  <c r="V108" i="15" s="1"/>
  <c r="S107" i="15"/>
  <c r="T107" i="15" s="1"/>
  <c r="R107" i="15"/>
  <c r="V107" i="15" s="1"/>
  <c r="T106" i="15"/>
  <c r="S106" i="15"/>
  <c r="R106" i="15"/>
  <c r="V106" i="15" s="1"/>
  <c r="S105" i="15"/>
  <c r="T105" i="15" s="1"/>
  <c r="R105" i="15"/>
  <c r="V105" i="15" s="1"/>
  <c r="T104" i="15"/>
  <c r="S104" i="15"/>
  <c r="R104" i="15"/>
  <c r="V104" i="15" s="1"/>
  <c r="S103" i="15"/>
  <c r="T103" i="15" s="1"/>
  <c r="R103" i="15"/>
  <c r="V103" i="15" s="1"/>
  <c r="T102" i="15"/>
  <c r="S102" i="15"/>
  <c r="R102" i="15"/>
  <c r="V102" i="15" s="1"/>
  <c r="S101" i="15"/>
  <c r="T101" i="15" s="1"/>
  <c r="R101" i="15"/>
  <c r="V101" i="15" s="1"/>
  <c r="T100" i="15"/>
  <c r="S100" i="15"/>
  <c r="R100" i="15"/>
  <c r="V100" i="15" s="1"/>
  <c r="S99" i="15"/>
  <c r="T99" i="15" s="1"/>
  <c r="R99" i="15"/>
  <c r="V99" i="15" s="1"/>
  <c r="T98" i="15"/>
  <c r="S98" i="15"/>
  <c r="R98" i="15"/>
  <c r="V98" i="15" s="1"/>
  <c r="S97" i="15"/>
  <c r="T97" i="15" s="1"/>
  <c r="R97" i="15"/>
  <c r="V97" i="15" s="1"/>
  <c r="T96" i="15"/>
  <c r="S96" i="15"/>
  <c r="R96" i="15"/>
  <c r="V96" i="15" s="1"/>
  <c r="S95" i="15"/>
  <c r="T95" i="15" s="1"/>
  <c r="R95" i="15"/>
  <c r="V95" i="15" s="1"/>
  <c r="T94" i="15"/>
  <c r="S94" i="15"/>
  <c r="R94" i="15"/>
  <c r="V94" i="15" s="1"/>
  <c r="S93" i="15"/>
  <c r="T93" i="15" s="1"/>
  <c r="R93" i="15"/>
  <c r="V93" i="15" s="1"/>
  <c r="T92" i="15"/>
  <c r="S92" i="15"/>
  <c r="R92" i="15"/>
  <c r="V92" i="15" s="1"/>
  <c r="S91" i="15"/>
  <c r="T91" i="15" s="1"/>
  <c r="R91" i="15"/>
  <c r="V91" i="15" s="1"/>
  <c r="T90" i="15"/>
  <c r="S90" i="15"/>
  <c r="R90" i="15"/>
  <c r="V90" i="15" s="1"/>
  <c r="S89" i="15"/>
  <c r="T89" i="15" s="1"/>
  <c r="R89" i="15"/>
  <c r="V89" i="15" s="1"/>
  <c r="T88" i="15"/>
  <c r="S88" i="15"/>
  <c r="R88" i="15"/>
  <c r="V88" i="15" s="1"/>
  <c r="S87" i="15"/>
  <c r="T87" i="15" s="1"/>
  <c r="R87" i="15"/>
  <c r="V87" i="15" s="1"/>
  <c r="T86" i="15"/>
  <c r="S86" i="15"/>
  <c r="R86" i="15"/>
  <c r="V86" i="15" s="1"/>
  <c r="S85" i="15"/>
  <c r="T85" i="15" s="1"/>
  <c r="R85" i="15"/>
  <c r="V85" i="15" s="1"/>
  <c r="T84" i="15"/>
  <c r="S84" i="15"/>
  <c r="R84" i="15"/>
  <c r="V84" i="15" s="1"/>
  <c r="S83" i="15"/>
  <c r="T83" i="15" s="1"/>
  <c r="R83" i="15"/>
  <c r="V83" i="15" s="1"/>
  <c r="T82" i="15"/>
  <c r="S82" i="15"/>
  <c r="R82" i="15"/>
  <c r="V82" i="15" s="1"/>
  <c r="S81" i="15"/>
  <c r="T81" i="15" s="1"/>
  <c r="R81" i="15"/>
  <c r="V81" i="15" s="1"/>
  <c r="T80" i="15"/>
  <c r="S80" i="15"/>
  <c r="R80" i="15"/>
  <c r="V80" i="15" s="1"/>
  <c r="S79" i="15"/>
  <c r="T79" i="15" s="1"/>
  <c r="R79" i="15"/>
  <c r="V79" i="15" s="1"/>
  <c r="T78" i="15"/>
  <c r="S78" i="15"/>
  <c r="R78" i="15"/>
  <c r="V78" i="15" s="1"/>
  <c r="S77" i="15"/>
  <c r="T77" i="15" s="1"/>
  <c r="R77" i="15"/>
  <c r="V77" i="15" s="1"/>
  <c r="T76" i="15"/>
  <c r="S76" i="15"/>
  <c r="R76" i="15"/>
  <c r="V76" i="15" s="1"/>
  <c r="S75" i="15"/>
  <c r="T75" i="15" s="1"/>
  <c r="R75" i="15"/>
  <c r="V75" i="15" s="1"/>
  <c r="T74" i="15"/>
  <c r="S74" i="15"/>
  <c r="R74" i="15"/>
  <c r="V74" i="15" s="1"/>
  <c r="S73" i="15"/>
  <c r="T73" i="15" s="1"/>
  <c r="R73" i="15"/>
  <c r="V73" i="15" s="1"/>
  <c r="T72" i="15"/>
  <c r="S72" i="15"/>
  <c r="R72" i="15"/>
  <c r="V72" i="15" s="1"/>
  <c r="S71" i="15"/>
  <c r="T71" i="15" s="1"/>
  <c r="R71" i="15"/>
  <c r="V71" i="15" s="1"/>
  <c r="T70" i="15"/>
  <c r="S70" i="15"/>
  <c r="R70" i="15"/>
  <c r="V70" i="15" s="1"/>
  <c r="S69" i="15"/>
  <c r="T69" i="15" s="1"/>
  <c r="R69" i="15"/>
  <c r="V69" i="15" s="1"/>
  <c r="T68" i="15"/>
  <c r="S68" i="15"/>
  <c r="R68" i="15"/>
  <c r="V68" i="15" s="1"/>
  <c r="S67" i="15"/>
  <c r="T67" i="15" s="1"/>
  <c r="R67" i="15"/>
  <c r="V67" i="15" s="1"/>
  <c r="T66" i="15"/>
  <c r="S66" i="15"/>
  <c r="R66" i="15"/>
  <c r="V66" i="15" s="1"/>
  <c r="S65" i="15"/>
  <c r="T65" i="15" s="1"/>
  <c r="R65" i="15"/>
  <c r="V65" i="15" s="1"/>
  <c r="T64" i="15"/>
  <c r="S64" i="15"/>
  <c r="R64" i="15"/>
  <c r="V64" i="15" s="1"/>
  <c r="S63" i="15"/>
  <c r="T63" i="15" s="1"/>
  <c r="R63" i="15"/>
  <c r="V63" i="15" s="1"/>
  <c r="T62" i="15"/>
  <c r="S62" i="15"/>
  <c r="R62" i="15"/>
  <c r="V62" i="15" s="1"/>
  <c r="S61" i="15"/>
  <c r="T61" i="15" s="1"/>
  <c r="R61" i="15"/>
  <c r="V61" i="15" s="1"/>
  <c r="T60" i="15"/>
  <c r="S60" i="15"/>
  <c r="R60" i="15"/>
  <c r="V60" i="15" s="1"/>
  <c r="S59" i="15"/>
  <c r="T59" i="15" s="1"/>
  <c r="R59" i="15"/>
  <c r="V59" i="15" s="1"/>
  <c r="T58" i="15"/>
  <c r="S58" i="15"/>
  <c r="R58" i="15"/>
  <c r="V58" i="15" s="1"/>
  <c r="S57" i="15"/>
  <c r="T57" i="15" s="1"/>
  <c r="R57" i="15"/>
  <c r="V57" i="15" s="1"/>
  <c r="T56" i="15"/>
  <c r="S56" i="15"/>
  <c r="R56" i="15"/>
  <c r="V56" i="15" s="1"/>
  <c r="S55" i="15"/>
  <c r="T55" i="15" s="1"/>
  <c r="R55" i="15"/>
  <c r="V55" i="15" s="1"/>
  <c r="T54" i="15"/>
  <c r="S54" i="15"/>
  <c r="R54" i="15"/>
  <c r="V54" i="15" s="1"/>
  <c r="S53" i="15"/>
  <c r="T53" i="15" s="1"/>
  <c r="R53" i="15"/>
  <c r="V53" i="15" s="1"/>
  <c r="T52" i="15"/>
  <c r="S52" i="15"/>
  <c r="R52" i="15"/>
  <c r="V52" i="15" s="1"/>
  <c r="S51" i="15"/>
  <c r="T51" i="15" s="1"/>
  <c r="R51" i="15"/>
  <c r="V51" i="15" s="1"/>
  <c r="T50" i="15"/>
  <c r="S50" i="15"/>
  <c r="R50" i="15"/>
  <c r="V50" i="15" s="1"/>
  <c r="S49" i="15"/>
  <c r="T49" i="15" s="1"/>
  <c r="R49" i="15"/>
  <c r="V49" i="15" s="1"/>
  <c r="T48" i="15"/>
  <c r="S48" i="15"/>
  <c r="R48" i="15"/>
  <c r="V48" i="15" s="1"/>
  <c r="S47" i="15"/>
  <c r="T47" i="15" s="1"/>
  <c r="R47" i="15"/>
  <c r="V47" i="15" s="1"/>
  <c r="T46" i="15"/>
  <c r="S46" i="15"/>
  <c r="R46" i="15"/>
  <c r="V46" i="15" s="1"/>
  <c r="S45" i="15"/>
  <c r="T45" i="15" s="1"/>
  <c r="R45" i="15"/>
  <c r="V45" i="15" s="1"/>
  <c r="T44" i="15"/>
  <c r="S44" i="15"/>
  <c r="R44" i="15"/>
  <c r="V44" i="15" s="1"/>
  <c r="S43" i="15"/>
  <c r="T43" i="15" s="1"/>
  <c r="R43" i="15"/>
  <c r="V43" i="15" s="1"/>
  <c r="T42" i="15"/>
  <c r="S42" i="15"/>
  <c r="R42" i="15"/>
  <c r="V42" i="15" s="1"/>
  <c r="S41" i="15"/>
  <c r="T41" i="15" s="1"/>
  <c r="R41" i="15"/>
  <c r="V41" i="15" s="1"/>
  <c r="T40" i="15"/>
  <c r="S40" i="15"/>
  <c r="R40" i="15"/>
  <c r="V40" i="15" s="1"/>
  <c r="S39" i="15"/>
  <c r="T39" i="15" s="1"/>
  <c r="R39" i="15"/>
  <c r="V39" i="15" s="1"/>
  <c r="T38" i="15"/>
  <c r="S38" i="15"/>
  <c r="R38" i="15"/>
  <c r="V38" i="15" s="1"/>
  <c r="S37" i="15"/>
  <c r="T37" i="15" s="1"/>
  <c r="R37" i="15"/>
  <c r="V37" i="15" s="1"/>
  <c r="T36" i="15"/>
  <c r="S36" i="15"/>
  <c r="R36" i="15"/>
  <c r="V36" i="15" s="1"/>
  <c r="S35" i="15"/>
  <c r="T35" i="15" s="1"/>
  <c r="R35" i="15"/>
  <c r="V35" i="15" s="1"/>
  <c r="T34" i="15"/>
  <c r="S34" i="15"/>
  <c r="R34" i="15"/>
  <c r="V34" i="15" s="1"/>
  <c r="S33" i="15"/>
  <c r="T33" i="15" s="1"/>
  <c r="R33" i="15"/>
  <c r="V33" i="15" s="1"/>
  <c r="T32" i="15"/>
  <c r="S32" i="15"/>
  <c r="R32" i="15"/>
  <c r="V32" i="15" s="1"/>
  <c r="S31" i="15"/>
  <c r="T31" i="15" s="1"/>
  <c r="R31" i="15"/>
  <c r="V31" i="15" s="1"/>
  <c r="T30" i="15"/>
  <c r="S30" i="15"/>
  <c r="R30" i="15"/>
  <c r="V30" i="15" s="1"/>
  <c r="S29" i="15"/>
  <c r="T29" i="15" s="1"/>
  <c r="R29" i="15"/>
  <c r="V29" i="15" s="1"/>
  <c r="T28" i="15"/>
  <c r="S28" i="15"/>
  <c r="R28" i="15"/>
  <c r="V28" i="15" s="1"/>
  <c r="S27" i="15"/>
  <c r="T27" i="15" s="1"/>
  <c r="R27" i="15"/>
  <c r="V27" i="15" s="1"/>
  <c r="T26" i="15"/>
  <c r="S26" i="15"/>
  <c r="R26" i="15"/>
  <c r="V26" i="15" s="1"/>
  <c r="S25" i="15"/>
  <c r="T25" i="15" s="1"/>
  <c r="R25" i="15"/>
  <c r="V25" i="15" s="1"/>
  <c r="T24" i="15"/>
  <c r="S24" i="15"/>
  <c r="R24" i="15"/>
  <c r="V24" i="15" s="1"/>
  <c r="S23" i="15"/>
  <c r="T23" i="15" s="1"/>
  <c r="R23" i="15"/>
  <c r="V23" i="15" s="1"/>
  <c r="T22" i="15"/>
  <c r="S22" i="15"/>
  <c r="R22" i="15"/>
  <c r="V22" i="15" s="1"/>
  <c r="S21" i="15"/>
  <c r="T21" i="15" s="1"/>
  <c r="R21" i="15"/>
  <c r="V21" i="15" s="1"/>
  <c r="T20" i="15"/>
  <c r="S20" i="15"/>
  <c r="R20" i="15"/>
  <c r="V20" i="15" s="1"/>
  <c r="S19" i="15"/>
  <c r="T19" i="15" s="1"/>
  <c r="R19" i="15"/>
  <c r="V19" i="15" s="1"/>
  <c r="T18" i="15"/>
  <c r="S18" i="15"/>
  <c r="R18" i="15"/>
  <c r="V18" i="15" s="1"/>
  <c r="S17" i="15"/>
  <c r="T17" i="15" s="1"/>
  <c r="R17" i="15"/>
  <c r="V17" i="15" s="1"/>
  <c r="T16" i="15"/>
  <c r="S16" i="15"/>
  <c r="R16" i="15"/>
  <c r="V16" i="15" s="1"/>
  <c r="S15" i="15"/>
  <c r="T15" i="15" s="1"/>
  <c r="R15" i="15"/>
  <c r="V15" i="15" s="1"/>
  <c r="T14" i="15"/>
  <c r="S14" i="15"/>
  <c r="R14" i="15"/>
  <c r="V14" i="15" s="1"/>
  <c r="S13" i="15"/>
  <c r="T13" i="15" s="1"/>
  <c r="R13" i="15"/>
  <c r="V13" i="15" s="1"/>
  <c r="T12" i="15"/>
  <c r="S12" i="15"/>
  <c r="R12" i="15"/>
  <c r="V12" i="15" s="1"/>
  <c r="S11" i="15"/>
  <c r="T11" i="15" s="1"/>
  <c r="R11" i="15"/>
  <c r="V11" i="15" s="1"/>
  <c r="T10" i="15"/>
  <c r="S10" i="15"/>
  <c r="R10" i="15"/>
  <c r="V10" i="15" s="1"/>
  <c r="S9" i="15"/>
  <c r="T9" i="15" s="1"/>
  <c r="R9" i="15"/>
  <c r="U8" i="15"/>
  <c r="S8" i="15"/>
  <c r="T8" i="15" s="1"/>
  <c r="R8" i="15"/>
  <c r="U7" i="15"/>
  <c r="S7" i="15"/>
  <c r="T7" i="15" s="1"/>
  <c r="R7" i="15"/>
  <c r="U6" i="15"/>
  <c r="S6" i="15"/>
  <c r="T6" i="15" s="1"/>
  <c r="R6" i="15"/>
  <c r="T2" i="15"/>
  <c r="S305" i="14"/>
  <c r="T305" i="14" s="1"/>
  <c r="R305" i="14"/>
  <c r="V305" i="14" s="1"/>
  <c r="S304" i="14"/>
  <c r="T304" i="14" s="1"/>
  <c r="R304" i="14"/>
  <c r="V304" i="14" s="1"/>
  <c r="S303" i="14"/>
  <c r="T303" i="14" s="1"/>
  <c r="R303" i="14"/>
  <c r="V303" i="14" s="1"/>
  <c r="S302" i="14"/>
  <c r="T302" i="14" s="1"/>
  <c r="R302" i="14"/>
  <c r="V302" i="14" s="1"/>
  <c r="S301" i="14"/>
  <c r="T301" i="14" s="1"/>
  <c r="R301" i="14"/>
  <c r="V301" i="14" s="1"/>
  <c r="T300" i="14"/>
  <c r="S300" i="14"/>
  <c r="R300" i="14"/>
  <c r="V300" i="14" s="1"/>
  <c r="S299" i="14"/>
  <c r="T299" i="14" s="1"/>
  <c r="R299" i="14"/>
  <c r="V299" i="14" s="1"/>
  <c r="S298" i="14"/>
  <c r="T298" i="14" s="1"/>
  <c r="R298" i="14"/>
  <c r="V298" i="14" s="1"/>
  <c r="S297" i="14"/>
  <c r="T297" i="14" s="1"/>
  <c r="R297" i="14"/>
  <c r="V297" i="14" s="1"/>
  <c r="S296" i="14"/>
  <c r="T296" i="14" s="1"/>
  <c r="R296" i="14"/>
  <c r="V296" i="14" s="1"/>
  <c r="S295" i="14"/>
  <c r="T295" i="14" s="1"/>
  <c r="R295" i="14"/>
  <c r="V295" i="14" s="1"/>
  <c r="S294" i="14"/>
  <c r="T294" i="14" s="1"/>
  <c r="R294" i="14"/>
  <c r="V294" i="14" s="1"/>
  <c r="S293" i="14"/>
  <c r="T293" i="14" s="1"/>
  <c r="R293" i="14"/>
  <c r="V293" i="14" s="1"/>
  <c r="V292" i="14"/>
  <c r="T292" i="14"/>
  <c r="S292" i="14"/>
  <c r="R292" i="14"/>
  <c r="S291" i="14"/>
  <c r="T291" i="14" s="1"/>
  <c r="R291" i="14"/>
  <c r="V291" i="14" s="1"/>
  <c r="S290" i="14"/>
  <c r="T290" i="14" s="1"/>
  <c r="R290" i="14"/>
  <c r="V290" i="14" s="1"/>
  <c r="S289" i="14"/>
  <c r="T289" i="14" s="1"/>
  <c r="R289" i="14"/>
  <c r="V289" i="14" s="1"/>
  <c r="S288" i="14"/>
  <c r="T288" i="14" s="1"/>
  <c r="R288" i="14"/>
  <c r="V288" i="14" s="1"/>
  <c r="S287" i="14"/>
  <c r="T287" i="14" s="1"/>
  <c r="R287" i="14"/>
  <c r="V287" i="14" s="1"/>
  <c r="S286" i="14"/>
  <c r="T286" i="14" s="1"/>
  <c r="R286" i="14"/>
  <c r="V286" i="14" s="1"/>
  <c r="S285" i="14"/>
  <c r="T285" i="14" s="1"/>
  <c r="R285" i="14"/>
  <c r="V285" i="14" s="1"/>
  <c r="T284" i="14"/>
  <c r="S284" i="14"/>
  <c r="R284" i="14"/>
  <c r="V284" i="14" s="1"/>
  <c r="S283" i="14"/>
  <c r="T283" i="14" s="1"/>
  <c r="R283" i="14"/>
  <c r="V283" i="14" s="1"/>
  <c r="S282" i="14"/>
  <c r="T282" i="14" s="1"/>
  <c r="R282" i="14"/>
  <c r="V282" i="14" s="1"/>
  <c r="S281" i="14"/>
  <c r="T281" i="14" s="1"/>
  <c r="R281" i="14"/>
  <c r="V281" i="14" s="1"/>
  <c r="V280" i="14"/>
  <c r="S280" i="14"/>
  <c r="T280" i="14" s="1"/>
  <c r="R280" i="14"/>
  <c r="S279" i="14"/>
  <c r="T279" i="14" s="1"/>
  <c r="R279" i="14"/>
  <c r="V279" i="14" s="1"/>
  <c r="S278" i="14"/>
  <c r="T278" i="14" s="1"/>
  <c r="R278" i="14"/>
  <c r="V278" i="14" s="1"/>
  <c r="S277" i="14"/>
  <c r="T277" i="14" s="1"/>
  <c r="R277" i="14"/>
  <c r="V277" i="14" s="1"/>
  <c r="T276" i="14"/>
  <c r="S276" i="14"/>
  <c r="R276" i="14"/>
  <c r="V276" i="14" s="1"/>
  <c r="S275" i="14"/>
  <c r="T275" i="14" s="1"/>
  <c r="R275" i="14"/>
  <c r="V275" i="14" s="1"/>
  <c r="S274" i="14"/>
  <c r="T274" i="14" s="1"/>
  <c r="R274" i="14"/>
  <c r="V274" i="14" s="1"/>
  <c r="S273" i="14"/>
  <c r="T273" i="14" s="1"/>
  <c r="R273" i="14"/>
  <c r="V273" i="14" s="1"/>
  <c r="V272" i="14"/>
  <c r="S272" i="14"/>
  <c r="T272" i="14" s="1"/>
  <c r="R272" i="14"/>
  <c r="S271" i="14"/>
  <c r="T271" i="14" s="1"/>
  <c r="R271" i="14"/>
  <c r="V271" i="14" s="1"/>
  <c r="S270" i="14"/>
  <c r="T270" i="14" s="1"/>
  <c r="R270" i="14"/>
  <c r="V270" i="14" s="1"/>
  <c r="S269" i="14"/>
  <c r="T269" i="14" s="1"/>
  <c r="R269" i="14"/>
  <c r="V269" i="14" s="1"/>
  <c r="T268" i="14"/>
  <c r="S268" i="14"/>
  <c r="R268" i="14"/>
  <c r="V268" i="14" s="1"/>
  <c r="S267" i="14"/>
  <c r="T267" i="14" s="1"/>
  <c r="R267" i="14"/>
  <c r="V267" i="14" s="1"/>
  <c r="S266" i="14"/>
  <c r="T266" i="14" s="1"/>
  <c r="R266" i="14"/>
  <c r="V266" i="14" s="1"/>
  <c r="S265" i="14"/>
  <c r="T265" i="14" s="1"/>
  <c r="R265" i="14"/>
  <c r="V265" i="14" s="1"/>
  <c r="V264" i="14"/>
  <c r="S264" i="14"/>
  <c r="T264" i="14" s="1"/>
  <c r="R264" i="14"/>
  <c r="S263" i="14"/>
  <c r="T263" i="14" s="1"/>
  <c r="R263" i="14"/>
  <c r="V263" i="14" s="1"/>
  <c r="S262" i="14"/>
  <c r="T262" i="14" s="1"/>
  <c r="R262" i="14"/>
  <c r="V262" i="14" s="1"/>
  <c r="S261" i="14"/>
  <c r="T261" i="14" s="1"/>
  <c r="R261" i="14"/>
  <c r="V261" i="14" s="1"/>
  <c r="T260" i="14"/>
  <c r="S260" i="14"/>
  <c r="R260" i="14"/>
  <c r="V260" i="14" s="1"/>
  <c r="S259" i="14"/>
  <c r="T259" i="14" s="1"/>
  <c r="R259" i="14"/>
  <c r="V259" i="14" s="1"/>
  <c r="S258" i="14"/>
  <c r="T258" i="14" s="1"/>
  <c r="R258" i="14"/>
  <c r="V258" i="14" s="1"/>
  <c r="S257" i="14"/>
  <c r="T257" i="14" s="1"/>
  <c r="R257" i="14"/>
  <c r="V257" i="14" s="1"/>
  <c r="V256" i="14"/>
  <c r="S256" i="14"/>
  <c r="T256" i="14" s="1"/>
  <c r="R256" i="14"/>
  <c r="S255" i="14"/>
  <c r="T255" i="14" s="1"/>
  <c r="R255" i="14"/>
  <c r="V255" i="14" s="1"/>
  <c r="S254" i="14"/>
  <c r="T254" i="14" s="1"/>
  <c r="R254" i="14"/>
  <c r="V254" i="14" s="1"/>
  <c r="S253" i="14"/>
  <c r="T253" i="14" s="1"/>
  <c r="R253" i="14"/>
  <c r="V253" i="14" s="1"/>
  <c r="V252" i="14"/>
  <c r="T252" i="14"/>
  <c r="S252" i="14"/>
  <c r="R252" i="14"/>
  <c r="S251" i="14"/>
  <c r="T251" i="14" s="1"/>
  <c r="R251" i="14"/>
  <c r="V251" i="14" s="1"/>
  <c r="S250" i="14"/>
  <c r="T250" i="14" s="1"/>
  <c r="R250" i="14"/>
  <c r="V250" i="14" s="1"/>
  <c r="S249" i="14"/>
  <c r="T249" i="14" s="1"/>
  <c r="R249" i="14"/>
  <c r="V249" i="14" s="1"/>
  <c r="V248" i="14"/>
  <c r="S248" i="14"/>
  <c r="T248" i="14" s="1"/>
  <c r="R248" i="14"/>
  <c r="S247" i="14"/>
  <c r="T247" i="14" s="1"/>
  <c r="R247" i="14"/>
  <c r="V247" i="14" s="1"/>
  <c r="S246" i="14"/>
  <c r="T246" i="14" s="1"/>
  <c r="R246" i="14"/>
  <c r="V246" i="14" s="1"/>
  <c r="S245" i="14"/>
  <c r="T245" i="14" s="1"/>
  <c r="R245" i="14"/>
  <c r="V245" i="14" s="1"/>
  <c r="V244" i="14"/>
  <c r="T244" i="14"/>
  <c r="S244" i="14"/>
  <c r="R244" i="14"/>
  <c r="S243" i="14"/>
  <c r="T243" i="14" s="1"/>
  <c r="R243" i="14"/>
  <c r="V243" i="14" s="1"/>
  <c r="S242" i="14"/>
  <c r="T242" i="14" s="1"/>
  <c r="R242" i="14"/>
  <c r="V242" i="14" s="1"/>
  <c r="S241" i="14"/>
  <c r="T241" i="14" s="1"/>
  <c r="R241" i="14"/>
  <c r="V241" i="14" s="1"/>
  <c r="V240" i="14"/>
  <c r="S240" i="14"/>
  <c r="T240" i="14" s="1"/>
  <c r="R240" i="14"/>
  <c r="S239" i="14"/>
  <c r="T239" i="14" s="1"/>
  <c r="R239" i="14"/>
  <c r="V239" i="14" s="1"/>
  <c r="S238" i="14"/>
  <c r="T238" i="14" s="1"/>
  <c r="R238" i="14"/>
  <c r="V238" i="14" s="1"/>
  <c r="S237" i="14"/>
  <c r="T237" i="14" s="1"/>
  <c r="R237" i="14"/>
  <c r="V237" i="14" s="1"/>
  <c r="V236" i="14"/>
  <c r="T236" i="14"/>
  <c r="S236" i="14"/>
  <c r="R236" i="14"/>
  <c r="S235" i="14"/>
  <c r="T235" i="14" s="1"/>
  <c r="R235" i="14"/>
  <c r="V235" i="14" s="1"/>
  <c r="S234" i="14"/>
  <c r="T234" i="14" s="1"/>
  <c r="R234" i="14"/>
  <c r="V234" i="14" s="1"/>
  <c r="S233" i="14"/>
  <c r="T233" i="14" s="1"/>
  <c r="R233" i="14"/>
  <c r="V233" i="14" s="1"/>
  <c r="V232" i="14"/>
  <c r="S232" i="14"/>
  <c r="T232" i="14" s="1"/>
  <c r="R232" i="14"/>
  <c r="S231" i="14"/>
  <c r="T231" i="14" s="1"/>
  <c r="R231" i="14"/>
  <c r="V231" i="14" s="1"/>
  <c r="S230" i="14"/>
  <c r="T230" i="14" s="1"/>
  <c r="R230" i="14"/>
  <c r="V230" i="14" s="1"/>
  <c r="S229" i="14"/>
  <c r="T229" i="14" s="1"/>
  <c r="R229" i="14"/>
  <c r="V229" i="14" s="1"/>
  <c r="V228" i="14"/>
  <c r="T228" i="14"/>
  <c r="S228" i="14"/>
  <c r="R228" i="14"/>
  <c r="S227" i="14"/>
  <c r="T227" i="14" s="1"/>
  <c r="R227" i="14"/>
  <c r="V227" i="14" s="1"/>
  <c r="S226" i="14"/>
  <c r="T226" i="14" s="1"/>
  <c r="R226" i="14"/>
  <c r="V226" i="14" s="1"/>
  <c r="S225" i="14"/>
  <c r="T225" i="14" s="1"/>
  <c r="R225" i="14"/>
  <c r="V225" i="14" s="1"/>
  <c r="V224" i="14"/>
  <c r="S224" i="14"/>
  <c r="T224" i="14" s="1"/>
  <c r="R224" i="14"/>
  <c r="S223" i="14"/>
  <c r="T223" i="14" s="1"/>
  <c r="R223" i="14"/>
  <c r="V223" i="14" s="1"/>
  <c r="S222" i="14"/>
  <c r="T222" i="14" s="1"/>
  <c r="R222" i="14"/>
  <c r="V222" i="14" s="1"/>
  <c r="S221" i="14"/>
  <c r="T221" i="14" s="1"/>
  <c r="R221" i="14"/>
  <c r="V221" i="14" s="1"/>
  <c r="V220" i="14"/>
  <c r="T220" i="14"/>
  <c r="S220" i="14"/>
  <c r="R220" i="14"/>
  <c r="S219" i="14"/>
  <c r="T219" i="14" s="1"/>
  <c r="R219" i="14"/>
  <c r="V219" i="14" s="1"/>
  <c r="S218" i="14"/>
  <c r="T218" i="14" s="1"/>
  <c r="R218" i="14"/>
  <c r="V218" i="14" s="1"/>
  <c r="S217" i="14"/>
  <c r="T217" i="14" s="1"/>
  <c r="R217" i="14"/>
  <c r="V217" i="14" s="1"/>
  <c r="V216" i="14"/>
  <c r="S216" i="14"/>
  <c r="T216" i="14" s="1"/>
  <c r="R216" i="14"/>
  <c r="S215" i="14"/>
  <c r="T215" i="14" s="1"/>
  <c r="R215" i="14"/>
  <c r="V215" i="14" s="1"/>
  <c r="S214" i="14"/>
  <c r="T214" i="14" s="1"/>
  <c r="R214" i="14"/>
  <c r="V214" i="14" s="1"/>
  <c r="S213" i="14"/>
  <c r="T213" i="14" s="1"/>
  <c r="R213" i="14"/>
  <c r="V213" i="14" s="1"/>
  <c r="V212" i="14"/>
  <c r="T212" i="14"/>
  <c r="S212" i="14"/>
  <c r="R212" i="14"/>
  <c r="S211" i="14"/>
  <c r="T211" i="14" s="1"/>
  <c r="R211" i="14"/>
  <c r="V211" i="14" s="1"/>
  <c r="S210" i="14"/>
  <c r="T210" i="14" s="1"/>
  <c r="R210" i="14"/>
  <c r="V210" i="14" s="1"/>
  <c r="S209" i="14"/>
  <c r="T209" i="14" s="1"/>
  <c r="R209" i="14"/>
  <c r="V209" i="14" s="1"/>
  <c r="V208" i="14"/>
  <c r="S208" i="14"/>
  <c r="T208" i="14" s="1"/>
  <c r="R208" i="14"/>
  <c r="S207" i="14"/>
  <c r="T207" i="14" s="1"/>
  <c r="R207" i="14"/>
  <c r="V207" i="14" s="1"/>
  <c r="S206" i="14"/>
  <c r="T206" i="14" s="1"/>
  <c r="R206" i="14"/>
  <c r="V206" i="14" s="1"/>
  <c r="S205" i="14"/>
  <c r="T205" i="14" s="1"/>
  <c r="R205" i="14"/>
  <c r="V205" i="14" s="1"/>
  <c r="V204" i="14"/>
  <c r="T204" i="14"/>
  <c r="S204" i="14"/>
  <c r="R204" i="14"/>
  <c r="S203" i="14"/>
  <c r="T203" i="14" s="1"/>
  <c r="R203" i="14"/>
  <c r="V203" i="14" s="1"/>
  <c r="S202" i="14"/>
  <c r="T202" i="14" s="1"/>
  <c r="R202" i="14"/>
  <c r="V202" i="14" s="1"/>
  <c r="S201" i="14"/>
  <c r="T201" i="14" s="1"/>
  <c r="R201" i="14"/>
  <c r="V201" i="14" s="1"/>
  <c r="V200" i="14"/>
  <c r="S200" i="14"/>
  <c r="T200" i="14" s="1"/>
  <c r="R200" i="14"/>
  <c r="S199" i="14"/>
  <c r="T199" i="14" s="1"/>
  <c r="R199" i="14"/>
  <c r="V199" i="14" s="1"/>
  <c r="S198" i="14"/>
  <c r="T198" i="14" s="1"/>
  <c r="R198" i="14"/>
  <c r="V198" i="14" s="1"/>
  <c r="S197" i="14"/>
  <c r="T197" i="14" s="1"/>
  <c r="R197" i="14"/>
  <c r="V197" i="14" s="1"/>
  <c r="V196" i="14"/>
  <c r="T196" i="14"/>
  <c r="S196" i="14"/>
  <c r="R196" i="14"/>
  <c r="S195" i="14"/>
  <c r="T195" i="14" s="1"/>
  <c r="R195" i="14"/>
  <c r="V195" i="14" s="1"/>
  <c r="S194" i="14"/>
  <c r="T194" i="14" s="1"/>
  <c r="R194" i="14"/>
  <c r="V194" i="14" s="1"/>
  <c r="S193" i="14"/>
  <c r="T193" i="14" s="1"/>
  <c r="R193" i="14"/>
  <c r="V193" i="14" s="1"/>
  <c r="V192" i="14"/>
  <c r="S192" i="14"/>
  <c r="T192" i="14" s="1"/>
  <c r="R192" i="14"/>
  <c r="S191" i="14"/>
  <c r="T191" i="14" s="1"/>
  <c r="R191" i="14"/>
  <c r="V191" i="14" s="1"/>
  <c r="S190" i="14"/>
  <c r="T190" i="14" s="1"/>
  <c r="R190" i="14"/>
  <c r="V190" i="14" s="1"/>
  <c r="S189" i="14"/>
  <c r="T189" i="14" s="1"/>
  <c r="R189" i="14"/>
  <c r="V189" i="14" s="1"/>
  <c r="V188" i="14"/>
  <c r="T188" i="14"/>
  <c r="S188" i="14"/>
  <c r="R188" i="14"/>
  <c r="S187" i="14"/>
  <c r="T187" i="14" s="1"/>
  <c r="R187" i="14"/>
  <c r="V187" i="14" s="1"/>
  <c r="S186" i="14"/>
  <c r="T186" i="14" s="1"/>
  <c r="R186" i="14"/>
  <c r="V186" i="14" s="1"/>
  <c r="S185" i="14"/>
  <c r="T185" i="14" s="1"/>
  <c r="R185" i="14"/>
  <c r="V185" i="14" s="1"/>
  <c r="V184" i="14"/>
  <c r="S184" i="14"/>
  <c r="T184" i="14" s="1"/>
  <c r="R184" i="14"/>
  <c r="S183" i="14"/>
  <c r="T183" i="14" s="1"/>
  <c r="R183" i="14"/>
  <c r="V183" i="14" s="1"/>
  <c r="S182" i="14"/>
  <c r="T182" i="14" s="1"/>
  <c r="R182" i="14"/>
  <c r="V182" i="14" s="1"/>
  <c r="S181" i="14"/>
  <c r="T181" i="14" s="1"/>
  <c r="R181" i="14"/>
  <c r="V181" i="14" s="1"/>
  <c r="V180" i="14"/>
  <c r="T180" i="14"/>
  <c r="S180" i="14"/>
  <c r="R180" i="14"/>
  <c r="S179" i="14"/>
  <c r="T179" i="14" s="1"/>
  <c r="R179" i="14"/>
  <c r="V179" i="14" s="1"/>
  <c r="S178" i="14"/>
  <c r="T178" i="14" s="1"/>
  <c r="R178" i="14"/>
  <c r="V178" i="14" s="1"/>
  <c r="S177" i="14"/>
  <c r="T177" i="14" s="1"/>
  <c r="R177" i="14"/>
  <c r="V177" i="14" s="1"/>
  <c r="V176" i="14"/>
  <c r="S176" i="14"/>
  <c r="T176" i="14" s="1"/>
  <c r="R176" i="14"/>
  <c r="S175" i="14"/>
  <c r="T175" i="14" s="1"/>
  <c r="R175" i="14"/>
  <c r="V175" i="14" s="1"/>
  <c r="S174" i="14"/>
  <c r="T174" i="14" s="1"/>
  <c r="R174" i="14"/>
  <c r="V174" i="14" s="1"/>
  <c r="S173" i="14"/>
  <c r="T173" i="14" s="1"/>
  <c r="R173" i="14"/>
  <c r="V173" i="14" s="1"/>
  <c r="S172" i="14"/>
  <c r="T172" i="14" s="1"/>
  <c r="R172" i="14"/>
  <c r="V172" i="14" s="1"/>
  <c r="S171" i="14"/>
  <c r="T171" i="14" s="1"/>
  <c r="R171" i="14"/>
  <c r="V171" i="14" s="1"/>
  <c r="V170" i="14"/>
  <c r="S170" i="14"/>
  <c r="T170" i="14" s="1"/>
  <c r="R170" i="14"/>
  <c r="S169" i="14"/>
  <c r="T169" i="14" s="1"/>
  <c r="R169" i="14"/>
  <c r="V169" i="14" s="1"/>
  <c r="V168" i="14"/>
  <c r="S168" i="14"/>
  <c r="T168" i="14" s="1"/>
  <c r="R168" i="14"/>
  <c r="S167" i="14"/>
  <c r="T167" i="14" s="1"/>
  <c r="R167" i="14"/>
  <c r="V167" i="14" s="1"/>
  <c r="S166" i="14"/>
  <c r="T166" i="14" s="1"/>
  <c r="R166" i="14"/>
  <c r="V166" i="14" s="1"/>
  <c r="S165" i="14"/>
  <c r="T165" i="14" s="1"/>
  <c r="R165" i="14"/>
  <c r="V165" i="14" s="1"/>
  <c r="S164" i="14"/>
  <c r="T164" i="14" s="1"/>
  <c r="R164" i="14"/>
  <c r="V164" i="14" s="1"/>
  <c r="S163" i="14"/>
  <c r="T163" i="14" s="1"/>
  <c r="R163" i="14"/>
  <c r="V163" i="14" s="1"/>
  <c r="S162" i="14"/>
  <c r="T162" i="14" s="1"/>
  <c r="R162" i="14"/>
  <c r="V162" i="14" s="1"/>
  <c r="S161" i="14"/>
  <c r="T161" i="14" s="1"/>
  <c r="R161" i="14"/>
  <c r="V161" i="14" s="1"/>
  <c r="V160" i="14"/>
  <c r="S160" i="14"/>
  <c r="T160" i="14" s="1"/>
  <c r="R160" i="14"/>
  <c r="S159" i="14"/>
  <c r="T159" i="14" s="1"/>
  <c r="R159" i="14"/>
  <c r="V159" i="14" s="1"/>
  <c r="V158" i="14"/>
  <c r="S158" i="14"/>
  <c r="T158" i="14" s="1"/>
  <c r="R158" i="14"/>
  <c r="S157" i="14"/>
  <c r="T157" i="14" s="1"/>
  <c r="R157" i="14"/>
  <c r="V157" i="14" s="1"/>
  <c r="S156" i="14"/>
  <c r="T156" i="14" s="1"/>
  <c r="R156" i="14"/>
  <c r="V156" i="14" s="1"/>
  <c r="S155" i="14"/>
  <c r="T155" i="14" s="1"/>
  <c r="R155" i="14"/>
  <c r="V155" i="14" s="1"/>
  <c r="S154" i="14"/>
  <c r="T154" i="14" s="1"/>
  <c r="R154" i="14"/>
  <c r="V154" i="14" s="1"/>
  <c r="S153" i="14"/>
  <c r="T153" i="14" s="1"/>
  <c r="R153" i="14"/>
  <c r="V153" i="14" s="1"/>
  <c r="S152" i="14"/>
  <c r="T152" i="14" s="1"/>
  <c r="R152" i="14"/>
  <c r="V152" i="14" s="1"/>
  <c r="S151" i="14"/>
  <c r="T151" i="14" s="1"/>
  <c r="R151" i="14"/>
  <c r="V151" i="14" s="1"/>
  <c r="V150" i="14"/>
  <c r="S150" i="14"/>
  <c r="T150" i="14" s="1"/>
  <c r="R150" i="14"/>
  <c r="S149" i="14"/>
  <c r="T149" i="14" s="1"/>
  <c r="R149" i="14"/>
  <c r="V149" i="14" s="1"/>
  <c r="V148" i="14"/>
  <c r="S148" i="14"/>
  <c r="T148" i="14" s="1"/>
  <c r="R148" i="14"/>
  <c r="S147" i="14"/>
  <c r="T147" i="14" s="1"/>
  <c r="R147" i="14"/>
  <c r="V147" i="14" s="1"/>
  <c r="S146" i="14"/>
  <c r="T146" i="14" s="1"/>
  <c r="R146" i="14"/>
  <c r="V146" i="14" s="1"/>
  <c r="S145" i="14"/>
  <c r="T145" i="14" s="1"/>
  <c r="R145" i="14"/>
  <c r="V145" i="14" s="1"/>
  <c r="S144" i="14"/>
  <c r="T144" i="14" s="1"/>
  <c r="R144" i="14"/>
  <c r="V144" i="14" s="1"/>
  <c r="S143" i="14"/>
  <c r="T143" i="14" s="1"/>
  <c r="R143" i="14"/>
  <c r="V143" i="14" s="1"/>
  <c r="S142" i="14"/>
  <c r="T142" i="14" s="1"/>
  <c r="R142" i="14"/>
  <c r="V142" i="14" s="1"/>
  <c r="S141" i="14"/>
  <c r="T141" i="14" s="1"/>
  <c r="R141" i="14"/>
  <c r="V141" i="14" s="1"/>
  <c r="V140" i="14"/>
  <c r="S140" i="14"/>
  <c r="T140" i="14" s="1"/>
  <c r="R140" i="14"/>
  <c r="S139" i="14"/>
  <c r="T139" i="14" s="1"/>
  <c r="R139" i="14"/>
  <c r="V139" i="14" s="1"/>
  <c r="T138" i="14"/>
  <c r="S138" i="14"/>
  <c r="R138" i="14"/>
  <c r="V138" i="14" s="1"/>
  <c r="V137" i="14"/>
  <c r="S137" i="14"/>
  <c r="T137" i="14" s="1"/>
  <c r="R137" i="14"/>
  <c r="S136" i="14"/>
  <c r="T136" i="14" s="1"/>
  <c r="R136" i="14"/>
  <c r="V136" i="14" s="1"/>
  <c r="S135" i="14"/>
  <c r="T135" i="14" s="1"/>
  <c r="R135" i="14"/>
  <c r="V135" i="14" s="1"/>
  <c r="V134" i="14"/>
  <c r="S134" i="14"/>
  <c r="T134" i="14" s="1"/>
  <c r="R134" i="14"/>
  <c r="V133" i="14"/>
  <c r="S133" i="14"/>
  <c r="T133" i="14" s="1"/>
  <c r="R133" i="14"/>
  <c r="S132" i="14"/>
  <c r="T132" i="14" s="1"/>
  <c r="R132" i="14"/>
  <c r="V132" i="14" s="1"/>
  <c r="S131" i="14"/>
  <c r="T131" i="14" s="1"/>
  <c r="R131" i="14"/>
  <c r="V131" i="14" s="1"/>
  <c r="V130" i="14"/>
  <c r="S130" i="14"/>
  <c r="T130" i="14" s="1"/>
  <c r="R130" i="14"/>
  <c r="V129" i="14"/>
  <c r="S129" i="14"/>
  <c r="T129" i="14" s="1"/>
  <c r="R129" i="14"/>
  <c r="V128" i="14"/>
  <c r="T128" i="14"/>
  <c r="S128" i="14"/>
  <c r="R128" i="14"/>
  <c r="S127" i="14"/>
  <c r="T127" i="14" s="1"/>
  <c r="R127" i="14"/>
  <c r="V127" i="14" s="1"/>
  <c r="S126" i="14"/>
  <c r="T126" i="14" s="1"/>
  <c r="R126" i="14"/>
  <c r="V126" i="14" s="1"/>
  <c r="V125" i="14"/>
  <c r="S125" i="14"/>
  <c r="T125" i="14" s="1"/>
  <c r="R125" i="14"/>
  <c r="V124" i="14"/>
  <c r="S124" i="14"/>
  <c r="T124" i="14" s="1"/>
  <c r="R124" i="14"/>
  <c r="S123" i="14"/>
  <c r="T123" i="14" s="1"/>
  <c r="R123" i="14"/>
  <c r="V123" i="14" s="1"/>
  <c r="S122" i="14"/>
  <c r="T122" i="14" s="1"/>
  <c r="R122" i="14"/>
  <c r="V122" i="14" s="1"/>
  <c r="S121" i="14"/>
  <c r="T121" i="14" s="1"/>
  <c r="R121" i="14"/>
  <c r="V121" i="14" s="1"/>
  <c r="V120" i="14"/>
  <c r="S120" i="14"/>
  <c r="T120" i="14" s="1"/>
  <c r="R120" i="14"/>
  <c r="V119" i="14"/>
  <c r="S119" i="14"/>
  <c r="T119" i="14" s="1"/>
  <c r="R119" i="14"/>
  <c r="S118" i="14"/>
  <c r="T118" i="14" s="1"/>
  <c r="R118" i="14"/>
  <c r="V118" i="14" s="1"/>
  <c r="S117" i="14"/>
  <c r="T117" i="14" s="1"/>
  <c r="R117" i="14"/>
  <c r="V117" i="14" s="1"/>
  <c r="V116" i="14"/>
  <c r="S116" i="14"/>
  <c r="T116" i="14" s="1"/>
  <c r="R116" i="14"/>
  <c r="V115" i="14"/>
  <c r="S115" i="14"/>
  <c r="T115" i="14" s="1"/>
  <c r="R115" i="14"/>
  <c r="S114" i="14"/>
  <c r="T114" i="14" s="1"/>
  <c r="R114" i="14"/>
  <c r="V114" i="14" s="1"/>
  <c r="S113" i="14"/>
  <c r="T113" i="14" s="1"/>
  <c r="R113" i="14"/>
  <c r="V113" i="14" s="1"/>
  <c r="S112" i="14"/>
  <c r="T112" i="14" s="1"/>
  <c r="R112" i="14"/>
  <c r="V112" i="14" s="1"/>
  <c r="V111" i="14"/>
  <c r="S111" i="14"/>
  <c r="T111" i="14" s="1"/>
  <c r="R111" i="14"/>
  <c r="V110" i="14"/>
  <c r="S110" i="14"/>
  <c r="T110" i="14" s="1"/>
  <c r="R110" i="14"/>
  <c r="S109" i="14"/>
  <c r="T109" i="14" s="1"/>
  <c r="R109" i="14"/>
  <c r="V109" i="14" s="1"/>
  <c r="S108" i="14"/>
  <c r="T108" i="14" s="1"/>
  <c r="R108" i="14"/>
  <c r="V108" i="14" s="1"/>
  <c r="V107" i="14"/>
  <c r="S107" i="14"/>
  <c r="T107" i="14" s="1"/>
  <c r="R107" i="14"/>
  <c r="V106" i="14"/>
  <c r="T106" i="14"/>
  <c r="S106" i="14"/>
  <c r="R106" i="14"/>
  <c r="V105" i="14"/>
  <c r="S105" i="14"/>
  <c r="T105" i="14" s="1"/>
  <c r="R105" i="14"/>
  <c r="S104" i="14"/>
  <c r="T104" i="14" s="1"/>
  <c r="R104" i="14"/>
  <c r="V104" i="14" s="1"/>
  <c r="S103" i="14"/>
  <c r="T103" i="14" s="1"/>
  <c r="R103" i="14"/>
  <c r="V103" i="14" s="1"/>
  <c r="V102" i="14"/>
  <c r="S102" i="14"/>
  <c r="T102" i="14" s="1"/>
  <c r="R102" i="14"/>
  <c r="V101" i="14"/>
  <c r="S101" i="14"/>
  <c r="T101" i="14" s="1"/>
  <c r="R101" i="14"/>
  <c r="S100" i="14"/>
  <c r="T100" i="14" s="1"/>
  <c r="R100" i="14"/>
  <c r="V100" i="14" s="1"/>
  <c r="S99" i="14"/>
  <c r="T99" i="14" s="1"/>
  <c r="R99" i="14"/>
  <c r="V99" i="14" s="1"/>
  <c r="V98" i="14"/>
  <c r="S98" i="14"/>
  <c r="T98" i="14" s="1"/>
  <c r="R98" i="14"/>
  <c r="V97" i="14"/>
  <c r="S97" i="14"/>
  <c r="T97" i="14" s="1"/>
  <c r="R97" i="14"/>
  <c r="V96" i="14"/>
  <c r="T96" i="14"/>
  <c r="S96" i="14"/>
  <c r="R96" i="14"/>
  <c r="S95" i="14"/>
  <c r="T95" i="14" s="1"/>
  <c r="R95" i="14"/>
  <c r="V95" i="14" s="1"/>
  <c r="S94" i="14"/>
  <c r="T94" i="14" s="1"/>
  <c r="R94" i="14"/>
  <c r="V94" i="14" s="1"/>
  <c r="V93" i="14"/>
  <c r="S93" i="14"/>
  <c r="T93" i="14" s="1"/>
  <c r="R93" i="14"/>
  <c r="V92" i="14"/>
  <c r="S92" i="14"/>
  <c r="T92" i="14" s="1"/>
  <c r="R92" i="14"/>
  <c r="S91" i="14"/>
  <c r="T91" i="14" s="1"/>
  <c r="R91" i="14"/>
  <c r="V91" i="14" s="1"/>
  <c r="S90" i="14"/>
  <c r="T90" i="14" s="1"/>
  <c r="R90" i="14"/>
  <c r="V90" i="14" s="1"/>
  <c r="S89" i="14"/>
  <c r="T89" i="14" s="1"/>
  <c r="R89" i="14"/>
  <c r="V89" i="14" s="1"/>
  <c r="V88" i="14"/>
  <c r="S88" i="14"/>
  <c r="T88" i="14" s="1"/>
  <c r="R88" i="14"/>
  <c r="V87" i="14"/>
  <c r="S87" i="14"/>
  <c r="T87" i="14" s="1"/>
  <c r="R87" i="14"/>
  <c r="S86" i="14"/>
  <c r="T86" i="14" s="1"/>
  <c r="R86" i="14"/>
  <c r="V86" i="14" s="1"/>
  <c r="S85" i="14"/>
  <c r="T85" i="14" s="1"/>
  <c r="R85" i="14"/>
  <c r="V85" i="14" s="1"/>
  <c r="V84" i="14"/>
  <c r="S84" i="14"/>
  <c r="T84" i="14" s="1"/>
  <c r="R84" i="14"/>
  <c r="V83" i="14"/>
  <c r="S83" i="14"/>
  <c r="T83" i="14" s="1"/>
  <c r="R83" i="14"/>
  <c r="S82" i="14"/>
  <c r="T82" i="14" s="1"/>
  <c r="R82" i="14"/>
  <c r="V82" i="14" s="1"/>
  <c r="S81" i="14"/>
  <c r="T81" i="14" s="1"/>
  <c r="R81" i="14"/>
  <c r="V81" i="14" s="1"/>
  <c r="S80" i="14"/>
  <c r="T80" i="14" s="1"/>
  <c r="R80" i="14"/>
  <c r="V80" i="14" s="1"/>
  <c r="V79" i="14"/>
  <c r="S79" i="14"/>
  <c r="T79" i="14" s="1"/>
  <c r="R79" i="14"/>
  <c r="V78" i="14"/>
  <c r="S78" i="14"/>
  <c r="T78" i="14" s="1"/>
  <c r="R78" i="14"/>
  <c r="S77" i="14"/>
  <c r="T77" i="14" s="1"/>
  <c r="R77" i="14"/>
  <c r="V77" i="14" s="1"/>
  <c r="S76" i="14"/>
  <c r="T76" i="14" s="1"/>
  <c r="R76" i="14"/>
  <c r="V76" i="14" s="1"/>
  <c r="V75" i="14"/>
  <c r="S75" i="14"/>
  <c r="T75" i="14" s="1"/>
  <c r="R75" i="14"/>
  <c r="V74" i="14"/>
  <c r="T74" i="14"/>
  <c r="S74" i="14"/>
  <c r="R74" i="14"/>
  <c r="V73" i="14"/>
  <c r="S73" i="14"/>
  <c r="T73" i="14" s="1"/>
  <c r="R73" i="14"/>
  <c r="S72" i="14"/>
  <c r="T72" i="14" s="1"/>
  <c r="R72" i="14"/>
  <c r="V72" i="14" s="1"/>
  <c r="S71" i="14"/>
  <c r="T71" i="14" s="1"/>
  <c r="R71" i="14"/>
  <c r="V71" i="14" s="1"/>
  <c r="S70" i="14"/>
  <c r="T70" i="14" s="1"/>
  <c r="R70" i="14"/>
  <c r="V70" i="14" s="1"/>
  <c r="S69" i="14"/>
  <c r="T69" i="14" s="1"/>
  <c r="R69" i="14"/>
  <c r="V69" i="14" s="1"/>
  <c r="S68" i="14"/>
  <c r="T68" i="14" s="1"/>
  <c r="R68" i="14"/>
  <c r="V68" i="14" s="1"/>
  <c r="S67" i="14"/>
  <c r="T67" i="14" s="1"/>
  <c r="R67" i="14"/>
  <c r="V67" i="14" s="1"/>
  <c r="V66" i="14"/>
  <c r="S66" i="14"/>
  <c r="T66" i="14" s="1"/>
  <c r="R66" i="14"/>
  <c r="V65" i="14"/>
  <c r="S65" i="14"/>
  <c r="T65" i="14" s="1"/>
  <c r="R65" i="14"/>
  <c r="V64" i="14"/>
  <c r="T64" i="14"/>
  <c r="S64" i="14"/>
  <c r="R64" i="14"/>
  <c r="S63" i="14"/>
  <c r="T63" i="14" s="1"/>
  <c r="R63" i="14"/>
  <c r="V63" i="14" s="1"/>
  <c r="V62" i="14"/>
  <c r="S62" i="14"/>
  <c r="T62" i="14" s="1"/>
  <c r="R62" i="14"/>
  <c r="S61" i="14"/>
  <c r="T61" i="14" s="1"/>
  <c r="R61" i="14"/>
  <c r="V61" i="14" s="1"/>
  <c r="S60" i="14"/>
  <c r="T60" i="14" s="1"/>
  <c r="R60" i="14"/>
  <c r="V60" i="14" s="1"/>
  <c r="S59" i="14"/>
  <c r="T59" i="14" s="1"/>
  <c r="R59" i="14"/>
  <c r="V59" i="14" s="1"/>
  <c r="S58" i="14"/>
  <c r="T58" i="14" s="1"/>
  <c r="R58" i="14"/>
  <c r="V58" i="14" s="1"/>
  <c r="V57" i="14"/>
  <c r="S57" i="14"/>
  <c r="T57" i="14" s="1"/>
  <c r="R57" i="14"/>
  <c r="S56" i="14"/>
  <c r="T56" i="14" s="1"/>
  <c r="R56" i="14"/>
  <c r="V56" i="14" s="1"/>
  <c r="S55" i="14"/>
  <c r="T55" i="14" s="1"/>
  <c r="R55" i="14"/>
  <c r="V55" i="14" s="1"/>
  <c r="S54" i="14"/>
  <c r="T54" i="14" s="1"/>
  <c r="R54" i="14"/>
  <c r="V54" i="14" s="1"/>
  <c r="S53" i="14"/>
  <c r="T53" i="14" s="1"/>
  <c r="R53" i="14"/>
  <c r="V53" i="14" s="1"/>
  <c r="S52" i="14"/>
  <c r="T52" i="14" s="1"/>
  <c r="R52" i="14"/>
  <c r="V52" i="14" s="1"/>
  <c r="S51" i="14"/>
  <c r="T51" i="14" s="1"/>
  <c r="R51" i="14"/>
  <c r="V51" i="14" s="1"/>
  <c r="V50" i="14"/>
  <c r="S50" i="14"/>
  <c r="T50" i="14" s="1"/>
  <c r="R50" i="14"/>
  <c r="V49" i="14"/>
  <c r="S49" i="14"/>
  <c r="T49" i="14" s="1"/>
  <c r="R49" i="14"/>
  <c r="V48" i="14"/>
  <c r="T48" i="14"/>
  <c r="S48" i="14"/>
  <c r="R48" i="14"/>
  <c r="S47" i="14"/>
  <c r="T47" i="14" s="1"/>
  <c r="R47" i="14"/>
  <c r="V47" i="14" s="1"/>
  <c r="V46" i="14"/>
  <c r="S46" i="14"/>
  <c r="T46" i="14" s="1"/>
  <c r="R46" i="14"/>
  <c r="S45" i="14"/>
  <c r="T45" i="14" s="1"/>
  <c r="R45" i="14"/>
  <c r="V45" i="14" s="1"/>
  <c r="S44" i="14"/>
  <c r="T44" i="14" s="1"/>
  <c r="R44" i="14"/>
  <c r="V44" i="14" s="1"/>
  <c r="S43" i="14"/>
  <c r="T43" i="14" s="1"/>
  <c r="R43" i="14"/>
  <c r="V43" i="14" s="1"/>
  <c r="S42" i="14"/>
  <c r="T42" i="14" s="1"/>
  <c r="R42" i="14"/>
  <c r="V42" i="14" s="1"/>
  <c r="V41" i="14"/>
  <c r="S41" i="14"/>
  <c r="T41" i="14" s="1"/>
  <c r="R41" i="14"/>
  <c r="S40" i="14"/>
  <c r="T40" i="14" s="1"/>
  <c r="R40" i="14"/>
  <c r="V40" i="14" s="1"/>
  <c r="S39" i="14"/>
  <c r="T39" i="14" s="1"/>
  <c r="R39" i="14"/>
  <c r="V39" i="14" s="1"/>
  <c r="S38" i="14"/>
  <c r="T38" i="14" s="1"/>
  <c r="R38" i="14"/>
  <c r="V38" i="14" s="1"/>
  <c r="S37" i="14"/>
  <c r="T37" i="14" s="1"/>
  <c r="R37" i="14"/>
  <c r="V37" i="14" s="1"/>
  <c r="S36" i="14"/>
  <c r="T36" i="14" s="1"/>
  <c r="R36" i="14"/>
  <c r="V36" i="14" s="1"/>
  <c r="S35" i="14"/>
  <c r="T35" i="14" s="1"/>
  <c r="R35" i="14"/>
  <c r="V35" i="14" s="1"/>
  <c r="V34" i="14"/>
  <c r="S34" i="14"/>
  <c r="T34" i="14" s="1"/>
  <c r="R34" i="14"/>
  <c r="V33" i="14"/>
  <c r="S33" i="14"/>
  <c r="T33" i="14" s="1"/>
  <c r="R33" i="14"/>
  <c r="V32" i="14"/>
  <c r="T32" i="14"/>
  <c r="S32" i="14"/>
  <c r="R32" i="14"/>
  <c r="S31" i="14"/>
  <c r="T31" i="14" s="1"/>
  <c r="R31" i="14"/>
  <c r="V31" i="14" s="1"/>
  <c r="V30" i="14"/>
  <c r="S30" i="14"/>
  <c r="T30" i="14" s="1"/>
  <c r="R30" i="14"/>
  <c r="S29" i="14"/>
  <c r="T29" i="14" s="1"/>
  <c r="R29" i="14"/>
  <c r="V29" i="14" s="1"/>
  <c r="S28" i="14"/>
  <c r="T28" i="14" s="1"/>
  <c r="R28" i="14"/>
  <c r="V28" i="14" s="1"/>
  <c r="S27" i="14"/>
  <c r="T27" i="14" s="1"/>
  <c r="R27" i="14"/>
  <c r="V27" i="14" s="1"/>
  <c r="S26" i="14"/>
  <c r="T26" i="14" s="1"/>
  <c r="R26" i="14"/>
  <c r="V26" i="14" s="1"/>
  <c r="V25" i="14"/>
  <c r="S25" i="14"/>
  <c r="T25" i="14" s="1"/>
  <c r="R25" i="14"/>
  <c r="S24" i="14"/>
  <c r="T24" i="14" s="1"/>
  <c r="R24" i="14"/>
  <c r="V24" i="14" s="1"/>
  <c r="S23" i="14"/>
  <c r="T23" i="14" s="1"/>
  <c r="R23" i="14"/>
  <c r="V23" i="14" s="1"/>
  <c r="S22" i="14"/>
  <c r="T22" i="14" s="1"/>
  <c r="R22" i="14"/>
  <c r="V22" i="14" s="1"/>
  <c r="S21" i="14"/>
  <c r="T21" i="14" s="1"/>
  <c r="R21" i="14"/>
  <c r="V21" i="14" s="1"/>
  <c r="S20" i="14"/>
  <c r="T20" i="14" s="1"/>
  <c r="R20" i="14"/>
  <c r="V20" i="14" s="1"/>
  <c r="S19" i="14"/>
  <c r="T19" i="14" s="1"/>
  <c r="R19" i="14"/>
  <c r="V19" i="14" s="1"/>
  <c r="V18" i="14"/>
  <c r="S18" i="14"/>
  <c r="T18" i="14" s="1"/>
  <c r="R18" i="14"/>
  <c r="V17" i="14"/>
  <c r="S17" i="14"/>
  <c r="T17" i="14" s="1"/>
  <c r="R17" i="14"/>
  <c r="V16" i="14"/>
  <c r="T16" i="14"/>
  <c r="S16" i="14"/>
  <c r="R16" i="14"/>
  <c r="S15" i="14"/>
  <c r="T15" i="14" s="1"/>
  <c r="R15" i="14"/>
  <c r="V15" i="14" s="1"/>
  <c r="V14" i="14"/>
  <c r="S14" i="14"/>
  <c r="T14" i="14" s="1"/>
  <c r="R14" i="14"/>
  <c r="S13" i="14"/>
  <c r="T13" i="14" s="1"/>
  <c r="R13" i="14"/>
  <c r="V13" i="14" s="1"/>
  <c r="S12" i="14"/>
  <c r="T12" i="14" s="1"/>
  <c r="R12" i="14"/>
  <c r="V12" i="14" s="1"/>
  <c r="S11" i="14"/>
  <c r="T11" i="14" s="1"/>
  <c r="R11" i="14"/>
  <c r="V11" i="14" s="1"/>
  <c r="S10" i="14"/>
  <c r="T10" i="14" s="1"/>
  <c r="R10" i="14"/>
  <c r="V10" i="14" s="1"/>
  <c r="S9" i="14"/>
  <c r="T9" i="14" s="1"/>
  <c r="R9" i="14"/>
  <c r="U8" i="14"/>
  <c r="S8" i="14"/>
  <c r="T8" i="14" s="1"/>
  <c r="R8" i="14"/>
  <c r="S7" i="14"/>
  <c r="T7" i="14" s="1"/>
  <c r="R7" i="14"/>
  <c r="S6" i="14"/>
  <c r="T6" i="14" s="1"/>
  <c r="R6" i="14"/>
  <c r="T2" i="14"/>
  <c r="U7" i="14" s="1"/>
  <c r="J6" i="15"/>
  <c r="K6" i="15" s="1"/>
  <c r="J7" i="15"/>
  <c r="J8" i="15"/>
  <c r="J9" i="15"/>
  <c r="B10" i="15"/>
  <c r="G13" i="28" s="1"/>
  <c r="B6" i="14"/>
  <c r="B7" i="14"/>
  <c r="B8" i="14"/>
  <c r="G11" i="28"/>
  <c r="I6" i="14"/>
  <c r="I6" i="19"/>
  <c r="I6" i="18"/>
  <c r="I6" i="17"/>
  <c r="I6" i="16"/>
  <c r="I6" i="15"/>
  <c r="E10" i="28"/>
  <c r="E6" i="28"/>
  <c r="J9" i="20"/>
  <c r="K9" i="20" s="1"/>
  <c r="I9" i="20"/>
  <c r="AF15" i="28" a="1"/>
  <c r="AF15" i="28" s="1"/>
  <c r="L9" i="22"/>
  <c r="J9" i="22"/>
  <c r="K9" i="22" s="1"/>
  <c r="I9" i="22"/>
  <c r="M9" i="22" s="1"/>
  <c r="A9" i="22" s="1"/>
  <c r="B9" i="22"/>
  <c r="AD13" i="28" s="1"/>
  <c r="AE13" i="28" s="1"/>
  <c r="AO13" i="28" s="1"/>
  <c r="L9" i="23"/>
  <c r="J9" i="23"/>
  <c r="K9" i="23" s="1"/>
  <c r="I9" i="23"/>
  <c r="M9" i="23" s="1"/>
  <c r="A9" i="23" s="1"/>
  <c r="B9" i="23"/>
  <c r="AB14" i="28" s="1"/>
  <c r="AC14" i="28" s="1"/>
  <c r="AN14" i="28" s="1"/>
  <c r="L9" i="24"/>
  <c r="J9" i="24"/>
  <c r="K9" i="24" s="1"/>
  <c r="I9" i="24"/>
  <c r="M9" i="24" s="1"/>
  <c r="A9" i="24" s="1"/>
  <c r="B9" i="24"/>
  <c r="Z13" i="28" s="1"/>
  <c r="AA13" i="28" s="1"/>
  <c r="AM13" i="28" s="1"/>
  <c r="L9" i="27"/>
  <c r="J9" i="27"/>
  <c r="K9" i="27" s="1"/>
  <c r="I9" i="27"/>
  <c r="M9" i="27" s="1"/>
  <c r="A9" i="27" s="1"/>
  <c r="B9" i="27"/>
  <c r="L9" i="25"/>
  <c r="J9" i="25"/>
  <c r="K9" i="25" s="1"/>
  <c r="I9" i="25"/>
  <c r="M9" i="25" s="1"/>
  <c r="A9" i="25" s="1"/>
  <c r="B9" i="25"/>
  <c r="B9" i="26"/>
  <c r="B9" i="21"/>
  <c r="L9" i="21"/>
  <c r="J9" i="21"/>
  <c r="K9" i="21" s="1"/>
  <c r="I9" i="21"/>
  <c r="M9" i="21" s="1"/>
  <c r="A9" i="21" s="1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J250" i="20"/>
  <c r="K250" i="20" s="1"/>
  <c r="I250" i="20"/>
  <c r="B250" i="20"/>
  <c r="J249" i="20"/>
  <c r="K249" i="20" s="1"/>
  <c r="I249" i="20"/>
  <c r="B249" i="20"/>
  <c r="J248" i="20"/>
  <c r="K248" i="20" s="1"/>
  <c r="I248" i="20"/>
  <c r="B248" i="20"/>
  <c r="J247" i="20"/>
  <c r="K247" i="20" s="1"/>
  <c r="I247" i="20"/>
  <c r="N247" i="20" s="1"/>
  <c r="A247" i="20" s="1"/>
  <c r="B247" i="20"/>
  <c r="J246" i="20"/>
  <c r="K246" i="20" s="1"/>
  <c r="I246" i="20"/>
  <c r="B246" i="20"/>
  <c r="J245" i="20"/>
  <c r="K245" i="20" s="1"/>
  <c r="I245" i="20"/>
  <c r="B245" i="20"/>
  <c r="J244" i="20"/>
  <c r="K244" i="20" s="1"/>
  <c r="I244" i="20"/>
  <c r="B244" i="20"/>
  <c r="J243" i="20"/>
  <c r="K243" i="20" s="1"/>
  <c r="I243" i="20"/>
  <c r="B243" i="20"/>
  <c r="J242" i="20"/>
  <c r="K242" i="20" s="1"/>
  <c r="I242" i="20"/>
  <c r="B242" i="20"/>
  <c r="J241" i="20"/>
  <c r="K241" i="20" s="1"/>
  <c r="I241" i="20"/>
  <c r="M241" i="20" s="1"/>
  <c r="N241" i="20" s="1"/>
  <c r="A241" i="20" s="1"/>
  <c r="B241" i="20"/>
  <c r="J240" i="20"/>
  <c r="K240" i="20" s="1"/>
  <c r="I240" i="20"/>
  <c r="B240" i="20"/>
  <c r="J239" i="20"/>
  <c r="K239" i="20" s="1"/>
  <c r="I239" i="20"/>
  <c r="N239" i="20" s="1"/>
  <c r="A239" i="20" s="1"/>
  <c r="B239" i="20"/>
  <c r="J238" i="20"/>
  <c r="K238" i="20" s="1"/>
  <c r="I238" i="20"/>
  <c r="M238" i="20" s="1"/>
  <c r="N238" i="20" s="1"/>
  <c r="A238" i="20" s="1"/>
  <c r="B238" i="20"/>
  <c r="J237" i="20"/>
  <c r="K237" i="20" s="1"/>
  <c r="I237" i="20"/>
  <c r="B237" i="20"/>
  <c r="J236" i="20"/>
  <c r="K236" i="20" s="1"/>
  <c r="I236" i="20"/>
  <c r="B236" i="20"/>
  <c r="J235" i="20"/>
  <c r="K235" i="20" s="1"/>
  <c r="I235" i="20"/>
  <c r="B235" i="20"/>
  <c r="J234" i="20"/>
  <c r="K234" i="20" s="1"/>
  <c r="I234" i="20"/>
  <c r="B234" i="20"/>
  <c r="J233" i="20"/>
  <c r="K233" i="20" s="1"/>
  <c r="I233" i="20"/>
  <c r="M233" i="20" s="1"/>
  <c r="B233" i="20"/>
  <c r="J232" i="20"/>
  <c r="K232" i="20" s="1"/>
  <c r="I232" i="20"/>
  <c r="B232" i="20"/>
  <c r="J231" i="20"/>
  <c r="K231" i="20" s="1"/>
  <c r="I231" i="20"/>
  <c r="B231" i="20"/>
  <c r="J230" i="20"/>
  <c r="K230" i="20" s="1"/>
  <c r="I230" i="20"/>
  <c r="B230" i="20"/>
  <c r="J229" i="20"/>
  <c r="K229" i="20" s="1"/>
  <c r="I229" i="20"/>
  <c r="B229" i="20"/>
  <c r="J228" i="20"/>
  <c r="K228" i="20" s="1"/>
  <c r="I228" i="20"/>
  <c r="B228" i="20"/>
  <c r="J227" i="20"/>
  <c r="K227" i="20" s="1"/>
  <c r="I227" i="20"/>
  <c r="B227" i="20"/>
  <c r="J226" i="20"/>
  <c r="K226" i="20" s="1"/>
  <c r="I226" i="20"/>
  <c r="B226" i="20"/>
  <c r="J225" i="20"/>
  <c r="K225" i="20" s="1"/>
  <c r="I225" i="20"/>
  <c r="M225" i="20" s="1"/>
  <c r="B225" i="20"/>
  <c r="J224" i="20"/>
  <c r="K224" i="20" s="1"/>
  <c r="I224" i="20"/>
  <c r="B224" i="20"/>
  <c r="J223" i="20"/>
  <c r="K223" i="20" s="1"/>
  <c r="I223" i="20"/>
  <c r="B223" i="20"/>
  <c r="J222" i="20"/>
  <c r="K222" i="20" s="1"/>
  <c r="I222" i="20"/>
  <c r="B222" i="20"/>
  <c r="J221" i="20"/>
  <c r="K221" i="20" s="1"/>
  <c r="I221" i="20"/>
  <c r="B221" i="20"/>
  <c r="J220" i="20"/>
  <c r="K220" i="20" s="1"/>
  <c r="I220" i="20"/>
  <c r="B220" i="20"/>
  <c r="J219" i="20"/>
  <c r="K219" i="20" s="1"/>
  <c r="I219" i="20"/>
  <c r="B219" i="20"/>
  <c r="J218" i="20"/>
  <c r="K218" i="20" s="1"/>
  <c r="I218" i="20"/>
  <c r="B218" i="20"/>
  <c r="J217" i="20"/>
  <c r="K217" i="20" s="1"/>
  <c r="I217" i="20"/>
  <c r="B217" i="20"/>
  <c r="J216" i="20"/>
  <c r="K216" i="20" s="1"/>
  <c r="I216" i="20"/>
  <c r="M216" i="20" s="1"/>
  <c r="N216" i="20" s="1"/>
  <c r="A216" i="20" s="1"/>
  <c r="B216" i="20"/>
  <c r="J215" i="20"/>
  <c r="K215" i="20" s="1"/>
  <c r="I215" i="20"/>
  <c r="B215" i="20"/>
  <c r="J214" i="20"/>
  <c r="K214" i="20" s="1"/>
  <c r="I214" i="20"/>
  <c r="B214" i="20"/>
  <c r="J213" i="20"/>
  <c r="K213" i="20" s="1"/>
  <c r="I213" i="20"/>
  <c r="M213" i="20" s="1"/>
  <c r="B213" i="20"/>
  <c r="J212" i="20"/>
  <c r="K212" i="20" s="1"/>
  <c r="I212" i="20"/>
  <c r="B212" i="20"/>
  <c r="J211" i="20"/>
  <c r="K211" i="20" s="1"/>
  <c r="I211" i="20"/>
  <c r="B211" i="20"/>
  <c r="J210" i="20"/>
  <c r="K210" i="20" s="1"/>
  <c r="I210" i="20"/>
  <c r="B210" i="20"/>
  <c r="J209" i="20"/>
  <c r="K209" i="20" s="1"/>
  <c r="I209" i="20"/>
  <c r="M209" i="20" s="1"/>
  <c r="N209" i="20" s="1"/>
  <c r="B209" i="20"/>
  <c r="A209" i="20"/>
  <c r="J208" i="20"/>
  <c r="K208" i="20" s="1"/>
  <c r="I208" i="20"/>
  <c r="M208" i="20" s="1"/>
  <c r="N208" i="20" s="1"/>
  <c r="A208" i="20" s="1"/>
  <c r="B208" i="20"/>
  <c r="J207" i="20"/>
  <c r="K207" i="20" s="1"/>
  <c r="I207" i="20"/>
  <c r="B207" i="20"/>
  <c r="J206" i="20"/>
  <c r="K206" i="20" s="1"/>
  <c r="I206" i="20"/>
  <c r="B206" i="20"/>
  <c r="J205" i="20"/>
  <c r="K205" i="20" s="1"/>
  <c r="I205" i="20"/>
  <c r="B205" i="20"/>
  <c r="J204" i="20"/>
  <c r="K204" i="20" s="1"/>
  <c r="I204" i="20"/>
  <c r="B204" i="20"/>
  <c r="J203" i="20"/>
  <c r="K203" i="20" s="1"/>
  <c r="I203" i="20"/>
  <c r="B203" i="20"/>
  <c r="J202" i="20"/>
  <c r="K202" i="20" s="1"/>
  <c r="I202" i="20"/>
  <c r="B202" i="20"/>
  <c r="J201" i="20"/>
  <c r="K201" i="20" s="1"/>
  <c r="I201" i="20"/>
  <c r="M201" i="20" s="1"/>
  <c r="N201" i="20" s="1"/>
  <c r="A201" i="20" s="1"/>
  <c r="B201" i="20"/>
  <c r="J200" i="20"/>
  <c r="K200" i="20" s="1"/>
  <c r="I200" i="20"/>
  <c r="B200" i="20"/>
  <c r="J199" i="20"/>
  <c r="K199" i="20" s="1"/>
  <c r="I199" i="20"/>
  <c r="M199" i="20" s="1"/>
  <c r="N199" i="20" s="1"/>
  <c r="A199" i="20" s="1"/>
  <c r="B199" i="20"/>
  <c r="J198" i="20"/>
  <c r="K198" i="20" s="1"/>
  <c r="I198" i="20"/>
  <c r="B198" i="20"/>
  <c r="J197" i="20"/>
  <c r="K197" i="20" s="1"/>
  <c r="I197" i="20"/>
  <c r="B197" i="20"/>
  <c r="J196" i="20"/>
  <c r="K196" i="20" s="1"/>
  <c r="I196" i="20"/>
  <c r="B196" i="20"/>
  <c r="J195" i="20"/>
  <c r="K195" i="20" s="1"/>
  <c r="I195" i="20"/>
  <c r="B195" i="20"/>
  <c r="J194" i="20"/>
  <c r="K194" i="20" s="1"/>
  <c r="I194" i="20"/>
  <c r="B194" i="20"/>
  <c r="J193" i="20"/>
  <c r="K193" i="20" s="1"/>
  <c r="I193" i="20"/>
  <c r="M193" i="20" s="1"/>
  <c r="N193" i="20" s="1"/>
  <c r="A193" i="20" s="1"/>
  <c r="B193" i="20"/>
  <c r="J192" i="20"/>
  <c r="K192" i="20" s="1"/>
  <c r="I192" i="20"/>
  <c r="N192" i="20" s="1"/>
  <c r="A192" i="20" s="1"/>
  <c r="B192" i="20"/>
  <c r="J191" i="20"/>
  <c r="K191" i="20" s="1"/>
  <c r="I191" i="20"/>
  <c r="M191" i="20" s="1"/>
  <c r="N191" i="20" s="1"/>
  <c r="A191" i="20" s="1"/>
  <c r="B191" i="20"/>
  <c r="J190" i="20"/>
  <c r="K190" i="20" s="1"/>
  <c r="I190" i="20"/>
  <c r="B190" i="20"/>
  <c r="J189" i="20"/>
  <c r="K189" i="20" s="1"/>
  <c r="I189" i="20"/>
  <c r="B189" i="20"/>
  <c r="J188" i="20"/>
  <c r="K188" i="20" s="1"/>
  <c r="I188" i="20"/>
  <c r="B188" i="20"/>
  <c r="J187" i="20"/>
  <c r="K187" i="20" s="1"/>
  <c r="I187" i="20"/>
  <c r="B187" i="20"/>
  <c r="J186" i="20"/>
  <c r="K186" i="20" s="1"/>
  <c r="I186" i="20"/>
  <c r="B186" i="20"/>
  <c r="J185" i="20"/>
  <c r="K185" i="20" s="1"/>
  <c r="I185" i="20"/>
  <c r="M185" i="20" s="1"/>
  <c r="N185" i="20" s="1"/>
  <c r="A185" i="20" s="1"/>
  <c r="B185" i="20"/>
  <c r="J184" i="20"/>
  <c r="K184" i="20" s="1"/>
  <c r="I184" i="20"/>
  <c r="B184" i="20"/>
  <c r="J183" i="20"/>
  <c r="K183" i="20" s="1"/>
  <c r="I183" i="20"/>
  <c r="B183" i="20"/>
  <c r="J182" i="20"/>
  <c r="K182" i="20" s="1"/>
  <c r="I182" i="20"/>
  <c r="M182" i="20" s="1"/>
  <c r="N182" i="20" s="1"/>
  <c r="A182" i="20" s="1"/>
  <c r="B182" i="20"/>
  <c r="J181" i="20"/>
  <c r="K181" i="20" s="1"/>
  <c r="I181" i="20"/>
  <c r="B181" i="20"/>
  <c r="J180" i="20"/>
  <c r="K180" i="20" s="1"/>
  <c r="I180" i="20"/>
  <c r="B180" i="20"/>
  <c r="J179" i="20"/>
  <c r="K179" i="20" s="1"/>
  <c r="I179" i="20"/>
  <c r="B179" i="20"/>
  <c r="J178" i="20"/>
  <c r="K178" i="20" s="1"/>
  <c r="I178" i="20"/>
  <c r="B178" i="20"/>
  <c r="J177" i="20"/>
  <c r="K177" i="20" s="1"/>
  <c r="I177" i="20"/>
  <c r="M177" i="20" s="1"/>
  <c r="N177" i="20" s="1"/>
  <c r="A177" i="20" s="1"/>
  <c r="B177" i="20"/>
  <c r="J176" i="20"/>
  <c r="K176" i="20" s="1"/>
  <c r="I176" i="20"/>
  <c r="B176" i="20"/>
  <c r="J175" i="20"/>
  <c r="K175" i="20" s="1"/>
  <c r="I175" i="20"/>
  <c r="B175" i="20"/>
  <c r="J174" i="20"/>
  <c r="K174" i="20" s="1"/>
  <c r="I174" i="20"/>
  <c r="B174" i="20"/>
  <c r="J173" i="20"/>
  <c r="K173" i="20" s="1"/>
  <c r="I173" i="20"/>
  <c r="M173" i="20" s="1"/>
  <c r="B173" i="20"/>
  <c r="J172" i="20"/>
  <c r="K172" i="20" s="1"/>
  <c r="I172" i="20"/>
  <c r="B172" i="20"/>
  <c r="J171" i="20"/>
  <c r="K171" i="20" s="1"/>
  <c r="I171" i="20"/>
  <c r="B171" i="20"/>
  <c r="J170" i="20"/>
  <c r="K170" i="20" s="1"/>
  <c r="I170" i="20"/>
  <c r="B170" i="20"/>
  <c r="J169" i="20"/>
  <c r="K169" i="20" s="1"/>
  <c r="I169" i="20"/>
  <c r="M169" i="20" s="1"/>
  <c r="B169" i="20"/>
  <c r="J168" i="20"/>
  <c r="K168" i="20" s="1"/>
  <c r="I168" i="20"/>
  <c r="B168" i="20"/>
  <c r="J167" i="20"/>
  <c r="K167" i="20" s="1"/>
  <c r="I167" i="20"/>
  <c r="B167" i="20"/>
  <c r="J166" i="20"/>
  <c r="K166" i="20" s="1"/>
  <c r="I166" i="20"/>
  <c r="B166" i="20"/>
  <c r="J165" i="20"/>
  <c r="K165" i="20" s="1"/>
  <c r="I165" i="20"/>
  <c r="B165" i="20"/>
  <c r="J164" i="20"/>
  <c r="K164" i="20" s="1"/>
  <c r="I164" i="20"/>
  <c r="B164" i="20"/>
  <c r="J163" i="20"/>
  <c r="K163" i="20" s="1"/>
  <c r="I163" i="20"/>
  <c r="B163" i="20"/>
  <c r="J162" i="20"/>
  <c r="K162" i="20" s="1"/>
  <c r="I162" i="20"/>
  <c r="B162" i="20"/>
  <c r="J161" i="20"/>
  <c r="K161" i="20" s="1"/>
  <c r="I161" i="20"/>
  <c r="B161" i="20"/>
  <c r="J160" i="20"/>
  <c r="K160" i="20" s="1"/>
  <c r="I160" i="20"/>
  <c r="B160" i="20"/>
  <c r="J159" i="20"/>
  <c r="K159" i="20" s="1"/>
  <c r="I159" i="20"/>
  <c r="B159" i="20"/>
  <c r="J158" i="20"/>
  <c r="K158" i="20" s="1"/>
  <c r="I158" i="20"/>
  <c r="B158" i="20"/>
  <c r="J157" i="20"/>
  <c r="K157" i="20" s="1"/>
  <c r="I157" i="20"/>
  <c r="B157" i="20"/>
  <c r="J156" i="20"/>
  <c r="K156" i="20" s="1"/>
  <c r="I156" i="20"/>
  <c r="B156" i="20"/>
  <c r="J155" i="20"/>
  <c r="K155" i="20" s="1"/>
  <c r="I155" i="20"/>
  <c r="B155" i="20"/>
  <c r="J154" i="20"/>
  <c r="K154" i="20" s="1"/>
  <c r="I154" i="20"/>
  <c r="B154" i="20"/>
  <c r="J153" i="20"/>
  <c r="K153" i="20" s="1"/>
  <c r="I153" i="20"/>
  <c r="M153" i="20" s="1"/>
  <c r="B153" i="20"/>
  <c r="J152" i="20"/>
  <c r="K152" i="20" s="1"/>
  <c r="I152" i="20"/>
  <c r="M152" i="20" s="1"/>
  <c r="N152" i="20" s="1"/>
  <c r="A152" i="20" s="1"/>
  <c r="B152" i="20"/>
  <c r="J151" i="20"/>
  <c r="K151" i="20" s="1"/>
  <c r="I151" i="20"/>
  <c r="B151" i="20"/>
  <c r="J150" i="20"/>
  <c r="K150" i="20" s="1"/>
  <c r="I150" i="20"/>
  <c r="B150" i="20"/>
  <c r="J149" i="20"/>
  <c r="K149" i="20" s="1"/>
  <c r="I149" i="20"/>
  <c r="M149" i="20" s="1"/>
  <c r="B149" i="20"/>
  <c r="J148" i="20"/>
  <c r="K148" i="20" s="1"/>
  <c r="I148" i="20"/>
  <c r="B148" i="20"/>
  <c r="J147" i="20"/>
  <c r="K147" i="20" s="1"/>
  <c r="I147" i="20"/>
  <c r="B147" i="20"/>
  <c r="J146" i="20"/>
  <c r="K146" i="20" s="1"/>
  <c r="I146" i="20"/>
  <c r="M146" i="20" s="1"/>
  <c r="B146" i="20"/>
  <c r="J145" i="20"/>
  <c r="K145" i="20" s="1"/>
  <c r="I145" i="20"/>
  <c r="B145" i="20"/>
  <c r="J144" i="20"/>
  <c r="K144" i="20" s="1"/>
  <c r="I144" i="20"/>
  <c r="B144" i="20"/>
  <c r="J143" i="20"/>
  <c r="K143" i="20" s="1"/>
  <c r="I143" i="20"/>
  <c r="M143" i="20" s="1"/>
  <c r="B143" i="20"/>
  <c r="J142" i="20"/>
  <c r="K142" i="20" s="1"/>
  <c r="I142" i="20"/>
  <c r="M142" i="20" s="1"/>
  <c r="N142" i="20" s="1"/>
  <c r="A142" i="20" s="1"/>
  <c r="B142" i="20"/>
  <c r="J141" i="20"/>
  <c r="K141" i="20" s="1"/>
  <c r="I141" i="20"/>
  <c r="B141" i="20"/>
  <c r="J140" i="20"/>
  <c r="K140" i="20" s="1"/>
  <c r="I140" i="20"/>
  <c r="B140" i="20"/>
  <c r="J139" i="20"/>
  <c r="K139" i="20" s="1"/>
  <c r="I139" i="20"/>
  <c r="M139" i="20" s="1"/>
  <c r="B139" i="20"/>
  <c r="J138" i="20"/>
  <c r="K138" i="20" s="1"/>
  <c r="I138" i="20"/>
  <c r="B138" i="20"/>
  <c r="J137" i="20"/>
  <c r="K137" i="20" s="1"/>
  <c r="I137" i="20"/>
  <c r="B137" i="20"/>
  <c r="J136" i="20"/>
  <c r="K136" i="20" s="1"/>
  <c r="I136" i="20"/>
  <c r="M136" i="20" s="1"/>
  <c r="N136" i="20" s="1"/>
  <c r="A136" i="20" s="1"/>
  <c r="B136" i="20"/>
  <c r="J135" i="20"/>
  <c r="K135" i="20" s="1"/>
  <c r="I135" i="20"/>
  <c r="B135" i="20"/>
  <c r="J134" i="20"/>
  <c r="K134" i="20" s="1"/>
  <c r="I134" i="20"/>
  <c r="B134" i="20"/>
  <c r="J133" i="20"/>
  <c r="K133" i="20" s="1"/>
  <c r="I133" i="20"/>
  <c r="B133" i="20"/>
  <c r="J132" i="20"/>
  <c r="K132" i="20" s="1"/>
  <c r="I132" i="20"/>
  <c r="B132" i="20"/>
  <c r="J131" i="20"/>
  <c r="K131" i="20" s="1"/>
  <c r="I131" i="20"/>
  <c r="B131" i="20"/>
  <c r="J130" i="20"/>
  <c r="K130" i="20" s="1"/>
  <c r="I130" i="20"/>
  <c r="M130" i="20" s="1"/>
  <c r="B130" i="20"/>
  <c r="J129" i="20"/>
  <c r="K129" i="20" s="1"/>
  <c r="I129" i="20"/>
  <c r="B129" i="20"/>
  <c r="J128" i="20"/>
  <c r="K128" i="20" s="1"/>
  <c r="I128" i="20"/>
  <c r="B128" i="20"/>
  <c r="J127" i="20"/>
  <c r="K127" i="20" s="1"/>
  <c r="I127" i="20"/>
  <c r="M127" i="20" s="1"/>
  <c r="B127" i="20"/>
  <c r="J126" i="20"/>
  <c r="K126" i="20" s="1"/>
  <c r="I126" i="20"/>
  <c r="B126" i="20"/>
  <c r="J125" i="20"/>
  <c r="K125" i="20" s="1"/>
  <c r="I125" i="20"/>
  <c r="B125" i="20"/>
  <c r="J124" i="20"/>
  <c r="K124" i="20" s="1"/>
  <c r="I124" i="20"/>
  <c r="B124" i="20"/>
  <c r="J123" i="20"/>
  <c r="K123" i="20" s="1"/>
  <c r="I123" i="20"/>
  <c r="B123" i="20"/>
  <c r="J122" i="20"/>
  <c r="K122" i="20" s="1"/>
  <c r="I122" i="20"/>
  <c r="B122" i="20"/>
  <c r="J121" i="20"/>
  <c r="K121" i="20" s="1"/>
  <c r="I121" i="20"/>
  <c r="B121" i="20"/>
  <c r="J120" i="20"/>
  <c r="K120" i="20" s="1"/>
  <c r="I120" i="20"/>
  <c r="M120" i="20" s="1"/>
  <c r="N120" i="20" s="1"/>
  <c r="A120" i="20" s="1"/>
  <c r="B120" i="20"/>
  <c r="J119" i="20"/>
  <c r="K119" i="20" s="1"/>
  <c r="I119" i="20"/>
  <c r="B119" i="20"/>
  <c r="J118" i="20"/>
  <c r="K118" i="20" s="1"/>
  <c r="I118" i="20"/>
  <c r="B118" i="20"/>
  <c r="J117" i="20"/>
  <c r="K117" i="20" s="1"/>
  <c r="I117" i="20"/>
  <c r="B117" i="20"/>
  <c r="J116" i="20"/>
  <c r="K116" i="20" s="1"/>
  <c r="I116" i="20"/>
  <c r="B116" i="20"/>
  <c r="J115" i="20"/>
  <c r="K115" i="20" s="1"/>
  <c r="I115" i="20"/>
  <c r="B115" i="20"/>
  <c r="J114" i="20"/>
  <c r="K114" i="20" s="1"/>
  <c r="I114" i="20"/>
  <c r="B114" i="20"/>
  <c r="J113" i="20"/>
  <c r="K113" i="20" s="1"/>
  <c r="I113" i="20"/>
  <c r="B113" i="20"/>
  <c r="J112" i="20"/>
  <c r="K112" i="20" s="1"/>
  <c r="I112" i="20"/>
  <c r="B112" i="20"/>
  <c r="J111" i="20"/>
  <c r="K111" i="20" s="1"/>
  <c r="I111" i="20"/>
  <c r="B111" i="20"/>
  <c r="J110" i="20"/>
  <c r="K110" i="20" s="1"/>
  <c r="I110" i="20"/>
  <c r="J109" i="20"/>
  <c r="K109" i="20" s="1"/>
  <c r="I109" i="20"/>
  <c r="J108" i="20"/>
  <c r="K108" i="20" s="1"/>
  <c r="I108" i="20"/>
  <c r="J107" i="20"/>
  <c r="K107" i="20" s="1"/>
  <c r="I107" i="20"/>
  <c r="J106" i="20"/>
  <c r="K106" i="20" s="1"/>
  <c r="I106" i="20"/>
  <c r="J105" i="20"/>
  <c r="K105" i="20" s="1"/>
  <c r="I105" i="20"/>
  <c r="J104" i="20"/>
  <c r="K104" i="20" s="1"/>
  <c r="I104" i="20"/>
  <c r="J103" i="20"/>
  <c r="K103" i="20" s="1"/>
  <c r="I103" i="20"/>
  <c r="M103" i="20" s="1"/>
  <c r="N103" i="20" s="1"/>
  <c r="A103" i="20" s="1"/>
  <c r="J102" i="20"/>
  <c r="K102" i="20" s="1"/>
  <c r="I102" i="20"/>
  <c r="J101" i="20"/>
  <c r="K101" i="20" s="1"/>
  <c r="I101" i="20"/>
  <c r="J100" i="20"/>
  <c r="K100" i="20" s="1"/>
  <c r="I100" i="20"/>
  <c r="J99" i="20"/>
  <c r="K99" i="20" s="1"/>
  <c r="I99" i="20"/>
  <c r="J98" i="20"/>
  <c r="K98" i="20" s="1"/>
  <c r="I98" i="20"/>
  <c r="J97" i="20"/>
  <c r="K97" i="20" s="1"/>
  <c r="I97" i="20"/>
  <c r="M97" i="20" s="1"/>
  <c r="N97" i="20" s="1"/>
  <c r="A97" i="20" s="1"/>
  <c r="J96" i="20"/>
  <c r="K96" i="20" s="1"/>
  <c r="I96" i="20"/>
  <c r="J95" i="20"/>
  <c r="K95" i="20" s="1"/>
  <c r="I95" i="20"/>
  <c r="M95" i="20" s="1"/>
  <c r="J94" i="20"/>
  <c r="K94" i="20" s="1"/>
  <c r="I94" i="20"/>
  <c r="J93" i="20"/>
  <c r="K93" i="20" s="1"/>
  <c r="I93" i="20"/>
  <c r="J92" i="20"/>
  <c r="K92" i="20" s="1"/>
  <c r="I92" i="20"/>
  <c r="J91" i="20"/>
  <c r="K91" i="20" s="1"/>
  <c r="I91" i="20"/>
  <c r="J90" i="20"/>
  <c r="K90" i="20" s="1"/>
  <c r="I90" i="20"/>
  <c r="J89" i="20"/>
  <c r="K89" i="20" s="1"/>
  <c r="I89" i="20"/>
  <c r="M89" i="20" s="1"/>
  <c r="J88" i="20"/>
  <c r="K88" i="20" s="1"/>
  <c r="I88" i="20"/>
  <c r="J87" i="20"/>
  <c r="K87" i="20" s="1"/>
  <c r="I87" i="20"/>
  <c r="J86" i="20"/>
  <c r="K86" i="20" s="1"/>
  <c r="I86" i="20"/>
  <c r="J85" i="20"/>
  <c r="K85" i="20" s="1"/>
  <c r="I85" i="20"/>
  <c r="J84" i="20"/>
  <c r="K84" i="20" s="1"/>
  <c r="I84" i="20"/>
  <c r="J83" i="20"/>
  <c r="K83" i="20" s="1"/>
  <c r="I83" i="20"/>
  <c r="J82" i="20"/>
  <c r="K82" i="20" s="1"/>
  <c r="I82" i="20"/>
  <c r="J81" i="20"/>
  <c r="K81" i="20" s="1"/>
  <c r="I81" i="20"/>
  <c r="J80" i="20"/>
  <c r="K80" i="20" s="1"/>
  <c r="I80" i="20"/>
  <c r="J79" i="20"/>
  <c r="K79" i="20" s="1"/>
  <c r="I79" i="20"/>
  <c r="J78" i="20"/>
  <c r="K78" i="20" s="1"/>
  <c r="I78" i="20"/>
  <c r="M78" i="20" s="1"/>
  <c r="N78" i="20" s="1"/>
  <c r="A78" i="20" s="1"/>
  <c r="J77" i="20"/>
  <c r="K77" i="20" s="1"/>
  <c r="I77" i="20"/>
  <c r="J76" i="20"/>
  <c r="K76" i="20" s="1"/>
  <c r="I76" i="20"/>
  <c r="J75" i="20"/>
  <c r="K75" i="20" s="1"/>
  <c r="I75" i="20"/>
  <c r="M75" i="20" s="1"/>
  <c r="N75" i="20" s="1"/>
  <c r="A75" i="20" s="1"/>
  <c r="J74" i="20"/>
  <c r="K74" i="20" s="1"/>
  <c r="I74" i="20"/>
  <c r="J73" i="20"/>
  <c r="K73" i="20" s="1"/>
  <c r="I73" i="20"/>
  <c r="J72" i="20"/>
  <c r="K72" i="20" s="1"/>
  <c r="I72" i="20"/>
  <c r="J71" i="20"/>
  <c r="K71" i="20" s="1"/>
  <c r="I71" i="20"/>
  <c r="J70" i="20"/>
  <c r="K70" i="20" s="1"/>
  <c r="I70" i="20"/>
  <c r="J69" i="20"/>
  <c r="K69" i="20" s="1"/>
  <c r="I69" i="20"/>
  <c r="J68" i="20"/>
  <c r="K68" i="20" s="1"/>
  <c r="I68" i="20"/>
  <c r="J67" i="20"/>
  <c r="K67" i="20" s="1"/>
  <c r="I67" i="20"/>
  <c r="J66" i="20"/>
  <c r="K66" i="20" s="1"/>
  <c r="I66" i="20"/>
  <c r="J65" i="20"/>
  <c r="K65" i="20" s="1"/>
  <c r="I65" i="20"/>
  <c r="J64" i="20"/>
  <c r="K64" i="20" s="1"/>
  <c r="I64" i="20"/>
  <c r="J63" i="20"/>
  <c r="K63" i="20" s="1"/>
  <c r="I63" i="20"/>
  <c r="J62" i="20"/>
  <c r="K62" i="20" s="1"/>
  <c r="I62" i="20"/>
  <c r="M62" i="20" s="1"/>
  <c r="N62" i="20" s="1"/>
  <c r="A62" i="20" s="1"/>
  <c r="J61" i="20"/>
  <c r="K61" i="20" s="1"/>
  <c r="I61" i="20"/>
  <c r="M61" i="20" s="1"/>
  <c r="N61" i="20" s="1"/>
  <c r="A61" i="20" s="1"/>
  <c r="J60" i="20"/>
  <c r="K60" i="20" s="1"/>
  <c r="I60" i="20"/>
  <c r="J59" i="20"/>
  <c r="K59" i="20" s="1"/>
  <c r="I59" i="20"/>
  <c r="J58" i="20"/>
  <c r="K58" i="20" s="1"/>
  <c r="I58" i="20"/>
  <c r="J57" i="20"/>
  <c r="K57" i="20" s="1"/>
  <c r="I57" i="20"/>
  <c r="J56" i="20"/>
  <c r="K56" i="20" s="1"/>
  <c r="I56" i="20"/>
  <c r="J55" i="20"/>
  <c r="K55" i="20" s="1"/>
  <c r="I55" i="20"/>
  <c r="J54" i="20"/>
  <c r="K54" i="20" s="1"/>
  <c r="I54" i="20"/>
  <c r="J53" i="20"/>
  <c r="K53" i="20" s="1"/>
  <c r="I53" i="20"/>
  <c r="M53" i="20" s="1"/>
  <c r="N53" i="20" s="1"/>
  <c r="A53" i="20" s="1"/>
  <c r="J52" i="20"/>
  <c r="K52" i="20" s="1"/>
  <c r="I52" i="20"/>
  <c r="J51" i="20"/>
  <c r="K51" i="20" s="1"/>
  <c r="I51" i="20"/>
  <c r="J50" i="20"/>
  <c r="K50" i="20" s="1"/>
  <c r="I50" i="20"/>
  <c r="J49" i="20"/>
  <c r="K49" i="20" s="1"/>
  <c r="I49" i="20"/>
  <c r="J48" i="20"/>
  <c r="K48" i="20" s="1"/>
  <c r="I48" i="20"/>
  <c r="J47" i="20"/>
  <c r="K47" i="20" s="1"/>
  <c r="I47" i="20"/>
  <c r="J46" i="20"/>
  <c r="K46" i="20" s="1"/>
  <c r="I46" i="20"/>
  <c r="J45" i="20"/>
  <c r="K45" i="20" s="1"/>
  <c r="I45" i="20"/>
  <c r="M45" i="20" s="1"/>
  <c r="N45" i="20" s="1"/>
  <c r="A45" i="20" s="1"/>
  <c r="J44" i="20"/>
  <c r="K44" i="20" s="1"/>
  <c r="I44" i="20"/>
  <c r="J43" i="20"/>
  <c r="K43" i="20" s="1"/>
  <c r="I43" i="20"/>
  <c r="J42" i="20"/>
  <c r="K42" i="20" s="1"/>
  <c r="I42" i="20"/>
  <c r="J41" i="20"/>
  <c r="K41" i="20" s="1"/>
  <c r="I41" i="20"/>
  <c r="J40" i="20"/>
  <c r="K40" i="20" s="1"/>
  <c r="I40" i="20"/>
  <c r="J39" i="20"/>
  <c r="K39" i="20" s="1"/>
  <c r="I39" i="20"/>
  <c r="M39" i="20" s="1"/>
  <c r="J38" i="20"/>
  <c r="K38" i="20" s="1"/>
  <c r="I38" i="20"/>
  <c r="M38" i="20" s="1"/>
  <c r="N38" i="20" s="1"/>
  <c r="A38" i="20" s="1"/>
  <c r="J37" i="20"/>
  <c r="K37" i="20" s="1"/>
  <c r="I37" i="20"/>
  <c r="AF23" i="28" a="1"/>
  <c r="AF23" i="28" s="1"/>
  <c r="AD23" i="28"/>
  <c r="AB23" i="28"/>
  <c r="AC23" i="28" s="1"/>
  <c r="AN23" i="28" s="1"/>
  <c r="Z23" i="28"/>
  <c r="X23" i="28"/>
  <c r="Y23" i="28" s="1"/>
  <c r="AL23" i="28" s="1"/>
  <c r="V23" i="28"/>
  <c r="T23" i="28"/>
  <c r="U23" i="28" s="1"/>
  <c r="AJ23" i="28" s="1"/>
  <c r="R23" i="28"/>
  <c r="AF22" i="28" a="1"/>
  <c r="AF22" i="28" s="1"/>
  <c r="AD22" i="28"/>
  <c r="AB22" i="28"/>
  <c r="AC22" i="28" s="1"/>
  <c r="AN22" i="28" s="1"/>
  <c r="Z22" i="28"/>
  <c r="X22" i="28"/>
  <c r="Y22" i="28" s="1"/>
  <c r="AL22" i="28" s="1"/>
  <c r="V22" i="28"/>
  <c r="T22" i="28"/>
  <c r="U22" i="28" s="1"/>
  <c r="AJ22" i="28" s="1"/>
  <c r="R22" i="28"/>
  <c r="AF21" i="28" a="1"/>
  <c r="AF21" i="28" s="1"/>
  <c r="AD21" i="28"/>
  <c r="AB21" i="28"/>
  <c r="AC21" i="28" s="1"/>
  <c r="AN21" i="28" s="1"/>
  <c r="Z21" i="28"/>
  <c r="X21" i="28"/>
  <c r="Y21" i="28" s="1"/>
  <c r="AL21" i="28" s="1"/>
  <c r="V21" i="28"/>
  <c r="T21" i="28"/>
  <c r="U21" i="28" s="1"/>
  <c r="AJ21" i="28" s="1"/>
  <c r="R21" i="28"/>
  <c r="AF20" i="28" a="1"/>
  <c r="AF20" i="28" s="1"/>
  <c r="AD20" i="28"/>
  <c r="AB20" i="28"/>
  <c r="AC20" i="28" s="1"/>
  <c r="AN20" i="28" s="1"/>
  <c r="Z20" i="28"/>
  <c r="X20" i="28"/>
  <c r="Y20" i="28" s="1"/>
  <c r="AL20" i="28" s="1"/>
  <c r="V20" i="28"/>
  <c r="T20" i="28"/>
  <c r="U20" i="28" s="1"/>
  <c r="AJ20" i="28" s="1"/>
  <c r="R20" i="28"/>
  <c r="AF19" i="28" a="1"/>
  <c r="AF19" i="28" s="1"/>
  <c r="AG19" i="28" s="1"/>
  <c r="AD19" i="28"/>
  <c r="AE19" i="28" s="1"/>
  <c r="AO19" i="28" s="1"/>
  <c r="AB19" i="28"/>
  <c r="AC19" i="28" s="1"/>
  <c r="AN19" i="28" s="1"/>
  <c r="Z19" i="28"/>
  <c r="X19" i="28"/>
  <c r="Y19" i="28" s="1"/>
  <c r="AL19" i="28" s="1"/>
  <c r="V19" i="28"/>
  <c r="T19" i="28"/>
  <c r="U19" i="28" s="1"/>
  <c r="AJ19" i="28" s="1"/>
  <c r="R19" i="28"/>
  <c r="AF18" i="28" a="1"/>
  <c r="AF18" i="28" s="1"/>
  <c r="AG18" i="28" s="1"/>
  <c r="AD18" i="28"/>
  <c r="AB18" i="28"/>
  <c r="Z18" i="28"/>
  <c r="X18" i="28"/>
  <c r="Y18" i="28" s="1"/>
  <c r="AL18" i="28" s="1"/>
  <c r="V18" i="28"/>
  <c r="T18" i="28"/>
  <c r="U18" i="28" s="1"/>
  <c r="AJ18" i="28" s="1"/>
  <c r="R18" i="28"/>
  <c r="X17" i="28"/>
  <c r="Y17" i="28" s="1"/>
  <c r="AL17" i="28" s="1"/>
  <c r="T17" i="28"/>
  <c r="U17" i="28" s="1"/>
  <c r="AJ17" i="28" s="1"/>
  <c r="AF16" i="28" a="1"/>
  <c r="AF16" i="28" s="1"/>
  <c r="AG16" i="28" s="1"/>
  <c r="AD16" i="28"/>
  <c r="AE16" i="28" s="1"/>
  <c r="AO16" i="28" s="1"/>
  <c r="AB16" i="28"/>
  <c r="AC16" i="28" s="1"/>
  <c r="AN16" i="28" s="1"/>
  <c r="X16" i="28"/>
  <c r="Y16" i="28" s="1"/>
  <c r="AL16" i="28" s="1"/>
  <c r="T16" i="28"/>
  <c r="U16" i="28" s="1"/>
  <c r="AJ16" i="28" s="1"/>
  <c r="X15" i="28"/>
  <c r="Y15" i="28" s="1"/>
  <c r="AL15" i="28" s="1"/>
  <c r="T15" i="28"/>
  <c r="U15" i="28" s="1"/>
  <c r="AJ15" i="28" s="1"/>
  <c r="AD14" i="28"/>
  <c r="AE14" i="28" s="1"/>
  <c r="AO14" i="28" s="1"/>
  <c r="X14" i="28"/>
  <c r="Y14" i="28" s="1"/>
  <c r="AL14" i="28" s="1"/>
  <c r="T14" i="28"/>
  <c r="U14" i="28" s="1"/>
  <c r="AJ14" i="28" s="1"/>
  <c r="AB13" i="28"/>
  <c r="AC13" i="28" s="1"/>
  <c r="AN13" i="28" s="1"/>
  <c r="X13" i="28"/>
  <c r="Y13" i="28" s="1"/>
  <c r="AL13" i="28" s="1"/>
  <c r="T13" i="28"/>
  <c r="U13" i="28" s="1"/>
  <c r="AJ13" i="28" s="1"/>
  <c r="AF9" i="28" a="1"/>
  <c r="AF9" i="28" s="1"/>
  <c r="AD9" i="28"/>
  <c r="AE9" i="28" s="1"/>
  <c r="AB9" i="28"/>
  <c r="Z9" i="28"/>
  <c r="X9" i="28"/>
  <c r="Y9" i="28" s="1"/>
  <c r="AL12" i="28" s="1"/>
  <c r="T9" i="28"/>
  <c r="U9" i="28" s="1"/>
  <c r="AJ12" i="28" s="1"/>
  <c r="R9" i="28"/>
  <c r="AF11" i="28" a="1"/>
  <c r="AF11" i="28" s="1"/>
  <c r="AG11" i="28" s="1"/>
  <c r="AD11" i="28"/>
  <c r="AE11" i="28" s="1"/>
  <c r="AB11" i="28"/>
  <c r="AC11" i="28" s="1"/>
  <c r="Z11" i="28"/>
  <c r="X11" i="28"/>
  <c r="Y11" i="28" s="1"/>
  <c r="T11" i="28"/>
  <c r="U11" i="28" s="1"/>
  <c r="R11" i="28"/>
  <c r="AF12" i="28" a="1"/>
  <c r="AF12" i="28" s="1"/>
  <c r="AG12" i="28" s="1"/>
  <c r="AD12" i="28"/>
  <c r="AB12" i="28"/>
  <c r="AC12" i="28" s="1"/>
  <c r="Z12" i="28"/>
  <c r="X12" i="28"/>
  <c r="Y12" i="28" s="1"/>
  <c r="V12" i="28"/>
  <c r="T12" i="28"/>
  <c r="U12" i="28" s="1"/>
  <c r="R12" i="28"/>
  <c r="AF10" i="28" a="1"/>
  <c r="AF10" i="28" s="1"/>
  <c r="AG10" i="28" s="1"/>
  <c r="AD10" i="28"/>
  <c r="AE10" i="28" s="1"/>
  <c r="AB10" i="28"/>
  <c r="AC10" i="28" s="1"/>
  <c r="Z10" i="28"/>
  <c r="X10" i="28"/>
  <c r="Y10" i="28" s="1"/>
  <c r="V10" i="28"/>
  <c r="T10" i="28"/>
  <c r="U10" i="28" s="1"/>
  <c r="R10" i="28"/>
  <c r="AF8" i="28" a="1"/>
  <c r="AF8" i="28" s="1"/>
  <c r="AG8" i="28" s="1"/>
  <c r="AD8" i="28"/>
  <c r="AB8" i="28"/>
  <c r="AC8" i="28" s="1"/>
  <c r="AN8" i="28" s="1"/>
  <c r="Z8" i="28"/>
  <c r="X8" i="28"/>
  <c r="Y8" i="28" s="1"/>
  <c r="V8" i="28"/>
  <c r="T8" i="28"/>
  <c r="U8" i="28" s="1"/>
  <c r="R8" i="28"/>
  <c r="AF6" i="28" a="1"/>
  <c r="AF6" i="28" s="1"/>
  <c r="AD6" i="28"/>
  <c r="AB6" i="28"/>
  <c r="AC6" i="28" s="1"/>
  <c r="Z6" i="28"/>
  <c r="AA6" i="28" s="1"/>
  <c r="X6" i="28"/>
  <c r="Y6" i="28" s="1"/>
  <c r="T6" i="28"/>
  <c r="U6" i="28" s="1"/>
  <c r="AJ7" i="28" s="1"/>
  <c r="R6" i="28"/>
  <c r="AF7" i="28" a="1"/>
  <c r="AF7" i="28" s="1"/>
  <c r="AD7" i="28"/>
  <c r="AB7" i="28"/>
  <c r="AC7" i="28" s="1"/>
  <c r="Z7" i="28"/>
  <c r="X7" i="28"/>
  <c r="Y7" i="28" s="1"/>
  <c r="AL6" i="28" s="1"/>
  <c r="T7" i="28"/>
  <c r="U7" i="28" s="1"/>
  <c r="O23" i="28"/>
  <c r="P23" i="28" s="1"/>
  <c r="M23" i="28"/>
  <c r="N23" i="28" s="1"/>
  <c r="K23" i="28"/>
  <c r="L23" i="28" s="1"/>
  <c r="I23" i="28"/>
  <c r="G23" i="28"/>
  <c r="E23" i="28"/>
  <c r="O22" i="28"/>
  <c r="P22" i="28" s="1"/>
  <c r="M22" i="28"/>
  <c r="N22" i="28" s="1"/>
  <c r="K22" i="28"/>
  <c r="L22" i="28" s="1"/>
  <c r="I22" i="28"/>
  <c r="G22" i="28"/>
  <c r="E22" i="28"/>
  <c r="O21" i="28"/>
  <c r="P21" i="28" s="1"/>
  <c r="M21" i="28"/>
  <c r="N21" i="28" s="1"/>
  <c r="K21" i="28"/>
  <c r="L21" i="28" s="1"/>
  <c r="I21" i="28"/>
  <c r="G21" i="28"/>
  <c r="E21" i="28"/>
  <c r="O20" i="28"/>
  <c r="P20" i="28" s="1"/>
  <c r="M20" i="28"/>
  <c r="N20" i="28" s="1"/>
  <c r="K20" i="28"/>
  <c r="L20" i="28" s="1"/>
  <c r="I20" i="28"/>
  <c r="G20" i="28"/>
  <c r="E20" i="28"/>
  <c r="O19" i="28"/>
  <c r="P19" i="28" s="1"/>
  <c r="M19" i="28"/>
  <c r="N19" i="28" s="1"/>
  <c r="K19" i="28"/>
  <c r="L19" i="28" s="1"/>
  <c r="I19" i="28"/>
  <c r="G19" i="28"/>
  <c r="E19" i="28"/>
  <c r="O18" i="28"/>
  <c r="P18" i="28" s="1"/>
  <c r="M18" i="28"/>
  <c r="N18" i="28" s="1"/>
  <c r="K18" i="28"/>
  <c r="L18" i="28" s="1"/>
  <c r="I18" i="28"/>
  <c r="G18" i="28"/>
  <c r="E18" i="28"/>
  <c r="O17" i="28"/>
  <c r="P17" i="28" s="1"/>
  <c r="M17" i="28"/>
  <c r="N17" i="28" s="1"/>
  <c r="K17" i="28"/>
  <c r="L17" i="28" s="1"/>
  <c r="G17" i="28"/>
  <c r="O16" i="28"/>
  <c r="P16" i="28" s="1"/>
  <c r="M16" i="28"/>
  <c r="N16" i="28" s="1"/>
  <c r="K16" i="28"/>
  <c r="L16" i="28" s="1"/>
  <c r="G16" i="28"/>
  <c r="O15" i="28"/>
  <c r="P15" i="28" s="1"/>
  <c r="M15" i="28"/>
  <c r="N15" i="28" s="1"/>
  <c r="K15" i="28"/>
  <c r="L15" i="28" s="1"/>
  <c r="O14" i="28"/>
  <c r="P14" i="28" s="1"/>
  <c r="M14" i="28"/>
  <c r="N14" i="28" s="1"/>
  <c r="K14" i="28"/>
  <c r="L14" i="28" s="1"/>
  <c r="G14" i="28"/>
  <c r="O13" i="28"/>
  <c r="P13" i="28" s="1"/>
  <c r="M13" i="28"/>
  <c r="N13" i="28" s="1"/>
  <c r="K13" i="28"/>
  <c r="L13" i="28" s="1"/>
  <c r="O9" i="28"/>
  <c r="P9" i="28" s="1"/>
  <c r="M9" i="28"/>
  <c r="N9" i="28" s="1"/>
  <c r="K9" i="28"/>
  <c r="L9" i="28" s="1"/>
  <c r="O11" i="28"/>
  <c r="P11" i="28" s="1"/>
  <c r="M11" i="28"/>
  <c r="N11" i="28" s="1"/>
  <c r="K11" i="28"/>
  <c r="L11" i="28" s="1"/>
  <c r="I11" i="28"/>
  <c r="E11" i="28"/>
  <c r="O12" i="28"/>
  <c r="P12" i="28" s="1"/>
  <c r="M12" i="28"/>
  <c r="N12" i="28" s="1"/>
  <c r="K12" i="28"/>
  <c r="L12" i="28" s="1"/>
  <c r="I12" i="28"/>
  <c r="G12" i="28"/>
  <c r="E12" i="28"/>
  <c r="O10" i="28"/>
  <c r="P10" i="28" s="1"/>
  <c r="M10" i="28"/>
  <c r="N10" i="28" s="1"/>
  <c r="K10" i="28"/>
  <c r="L10" i="28" s="1"/>
  <c r="I10" i="28"/>
  <c r="J10" i="28" s="1"/>
  <c r="G10" i="28"/>
  <c r="O8" i="28"/>
  <c r="P8" i="28" s="1"/>
  <c r="M8" i="28"/>
  <c r="N8" i="28" s="1"/>
  <c r="K8" i="28"/>
  <c r="L8" i="28" s="1"/>
  <c r="I8" i="28"/>
  <c r="G8" i="28"/>
  <c r="O6" i="28"/>
  <c r="P6" i="28" s="1"/>
  <c r="M6" i="28"/>
  <c r="N6" i="28" s="1"/>
  <c r="K6" i="28"/>
  <c r="L6" i="28" s="1"/>
  <c r="I6" i="28"/>
  <c r="G6" i="28"/>
  <c r="O7" i="28"/>
  <c r="M7" i="28"/>
  <c r="N7" i="28" s="1"/>
  <c r="K7" i="28"/>
  <c r="I7" i="28"/>
  <c r="G7" i="28"/>
  <c r="E7" i="28"/>
  <c r="A23" i="28"/>
  <c r="A22" i="28"/>
  <c r="A21" i="28"/>
  <c r="A20" i="28"/>
  <c r="A19" i="28"/>
  <c r="A18" i="28"/>
  <c r="A17" i="28"/>
  <c r="A16" i="28"/>
  <c r="A15" i="28"/>
  <c r="A14" i="28"/>
  <c r="A13" i="28"/>
  <c r="A9" i="28"/>
  <c r="A11" i="28"/>
  <c r="A12" i="28"/>
  <c r="A10" i="28"/>
  <c r="A8" i="28"/>
  <c r="A6" i="28"/>
  <c r="A7" i="28"/>
  <c r="J374" i="27"/>
  <c r="J373" i="27"/>
  <c r="J372" i="27"/>
  <c r="J371" i="27"/>
  <c r="J370" i="27"/>
  <c r="J369" i="27"/>
  <c r="J368" i="27"/>
  <c r="J367" i="27"/>
  <c r="J366" i="27"/>
  <c r="J365" i="27"/>
  <c r="J364" i="27"/>
  <c r="J363" i="27"/>
  <c r="J362" i="27"/>
  <c r="J361" i="27"/>
  <c r="J360" i="27"/>
  <c r="J359" i="27"/>
  <c r="J358" i="27"/>
  <c r="J357" i="27"/>
  <c r="J356" i="27"/>
  <c r="J355" i="27"/>
  <c r="J354" i="27"/>
  <c r="J353" i="27"/>
  <c r="J352" i="27"/>
  <c r="J351" i="27"/>
  <c r="J350" i="27"/>
  <c r="J349" i="27"/>
  <c r="J348" i="27"/>
  <c r="J347" i="27"/>
  <c r="J346" i="27"/>
  <c r="J345" i="27"/>
  <c r="J344" i="27"/>
  <c r="J343" i="27"/>
  <c r="J342" i="27"/>
  <c r="J341" i="27"/>
  <c r="J340" i="27"/>
  <c r="J339" i="27"/>
  <c r="J338" i="27"/>
  <c r="J337" i="27"/>
  <c r="J336" i="27"/>
  <c r="J335" i="27"/>
  <c r="J334" i="27"/>
  <c r="J333" i="27"/>
  <c r="J332" i="27"/>
  <c r="J331" i="27"/>
  <c r="J330" i="27"/>
  <c r="J329" i="27"/>
  <c r="J328" i="27"/>
  <c r="J327" i="27"/>
  <c r="J326" i="27"/>
  <c r="J325" i="27"/>
  <c r="J324" i="27"/>
  <c r="J323" i="27"/>
  <c r="J322" i="27"/>
  <c r="J321" i="27"/>
  <c r="J320" i="27"/>
  <c r="J319" i="27"/>
  <c r="J318" i="27"/>
  <c r="J317" i="27"/>
  <c r="J316" i="27"/>
  <c r="J315" i="27"/>
  <c r="J314" i="27"/>
  <c r="J313" i="27"/>
  <c r="J312" i="27"/>
  <c r="J311" i="27"/>
  <c r="J310" i="27"/>
  <c r="J309" i="27"/>
  <c r="J308" i="27"/>
  <c r="J307" i="27"/>
  <c r="J306" i="27"/>
  <c r="M305" i="27"/>
  <c r="J305" i="27"/>
  <c r="K305" i="27" s="1"/>
  <c r="I305" i="27"/>
  <c r="J304" i="27"/>
  <c r="K304" i="27" s="1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K300" i="27"/>
  <c r="J300" i="27"/>
  <c r="I300" i="27"/>
  <c r="M300" i="27" s="1"/>
  <c r="J299" i="27"/>
  <c r="K299" i="27" s="1"/>
  <c r="I299" i="27"/>
  <c r="M299" i="27" s="1"/>
  <c r="J298" i="27"/>
  <c r="K298" i="27" s="1"/>
  <c r="I298" i="27"/>
  <c r="M298" i="27" s="1"/>
  <c r="J297" i="27"/>
  <c r="K297" i="27" s="1"/>
  <c r="I297" i="27"/>
  <c r="M297" i="27" s="1"/>
  <c r="J296" i="27"/>
  <c r="K296" i="27" s="1"/>
  <c r="I296" i="27"/>
  <c r="M296" i="27" s="1"/>
  <c r="K295" i="27"/>
  <c r="J295" i="27"/>
  <c r="I295" i="27"/>
  <c r="M295" i="27" s="1"/>
  <c r="J294" i="27"/>
  <c r="K294" i="27" s="1"/>
  <c r="I294" i="27"/>
  <c r="M294" i="27" s="1"/>
  <c r="M293" i="27"/>
  <c r="J293" i="27"/>
  <c r="K293" i="27" s="1"/>
  <c r="I293" i="27"/>
  <c r="J292" i="27"/>
  <c r="K292" i="27" s="1"/>
  <c r="I292" i="27"/>
  <c r="M292" i="27" s="1"/>
  <c r="M291" i="27"/>
  <c r="K291" i="27"/>
  <c r="J291" i="27"/>
  <c r="I291" i="27"/>
  <c r="J290" i="27"/>
  <c r="K290" i="27" s="1"/>
  <c r="I290" i="27"/>
  <c r="M290" i="27" s="1"/>
  <c r="M289" i="27"/>
  <c r="J289" i="27"/>
  <c r="K289" i="27" s="1"/>
  <c r="I289" i="27"/>
  <c r="K288" i="27"/>
  <c r="J288" i="27"/>
  <c r="I288" i="27"/>
  <c r="M288" i="27" s="1"/>
  <c r="K287" i="27"/>
  <c r="J287" i="27"/>
  <c r="I287" i="27"/>
  <c r="M287" i="27" s="1"/>
  <c r="J286" i="27"/>
  <c r="K286" i="27" s="1"/>
  <c r="I286" i="27"/>
  <c r="M286" i="27" s="1"/>
  <c r="K285" i="27"/>
  <c r="J285" i="27"/>
  <c r="I285" i="27"/>
  <c r="M285" i="27" s="1"/>
  <c r="K284" i="27"/>
  <c r="J284" i="27"/>
  <c r="I284" i="27"/>
  <c r="M284" i="27" s="1"/>
  <c r="J283" i="27"/>
  <c r="K283" i="27" s="1"/>
  <c r="I283" i="27"/>
  <c r="M283" i="27" s="1"/>
  <c r="K282" i="27"/>
  <c r="J282" i="27"/>
  <c r="I282" i="27"/>
  <c r="M282" i="27" s="1"/>
  <c r="J281" i="27"/>
  <c r="K281" i="27" s="1"/>
  <c r="I281" i="27"/>
  <c r="M281" i="27" s="1"/>
  <c r="J280" i="27"/>
  <c r="K280" i="27" s="1"/>
  <c r="I280" i="27"/>
  <c r="M280" i="27" s="1"/>
  <c r="K279" i="27"/>
  <c r="J279" i="27"/>
  <c r="I279" i="27"/>
  <c r="M279" i="27" s="1"/>
  <c r="K278" i="27"/>
  <c r="J278" i="27"/>
  <c r="I278" i="27"/>
  <c r="M278" i="27" s="1"/>
  <c r="M277" i="27"/>
  <c r="J277" i="27"/>
  <c r="K277" i="27" s="1"/>
  <c r="I277" i="27"/>
  <c r="J276" i="27"/>
  <c r="K276" i="27" s="1"/>
  <c r="I276" i="27"/>
  <c r="M276" i="27" s="1"/>
  <c r="M275" i="27"/>
  <c r="K275" i="27"/>
  <c r="J275" i="27"/>
  <c r="I275" i="27"/>
  <c r="J274" i="27"/>
  <c r="K274" i="27" s="1"/>
  <c r="I274" i="27"/>
  <c r="M274" i="27" s="1"/>
  <c r="M273" i="27"/>
  <c r="J273" i="27"/>
  <c r="K273" i="27" s="1"/>
  <c r="I273" i="27"/>
  <c r="K272" i="27"/>
  <c r="J272" i="27"/>
  <c r="I272" i="27"/>
  <c r="M272" i="27" s="1"/>
  <c r="M271" i="27"/>
  <c r="K271" i="27"/>
  <c r="J271" i="27"/>
  <c r="I271" i="27"/>
  <c r="J270" i="27"/>
  <c r="K270" i="27" s="1"/>
  <c r="I270" i="27"/>
  <c r="M270" i="27" s="1"/>
  <c r="J269" i="27"/>
  <c r="K269" i="27" s="1"/>
  <c r="I269" i="27"/>
  <c r="M269" i="27" s="1"/>
  <c r="K268" i="27"/>
  <c r="J268" i="27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J264" i="27"/>
  <c r="K264" i="27" s="1"/>
  <c r="I264" i="27"/>
  <c r="M264" i="27" s="1"/>
  <c r="K263" i="27"/>
  <c r="J263" i="27"/>
  <c r="I263" i="27"/>
  <c r="M263" i="27" s="1"/>
  <c r="K262" i="27"/>
  <c r="J262" i="27"/>
  <c r="I262" i="27"/>
  <c r="M262" i="27" s="1"/>
  <c r="M261" i="27"/>
  <c r="J261" i="27"/>
  <c r="K261" i="27" s="1"/>
  <c r="I261" i="27"/>
  <c r="J260" i="27"/>
  <c r="K260" i="27" s="1"/>
  <c r="I260" i="27"/>
  <c r="M260" i="27" s="1"/>
  <c r="M259" i="27"/>
  <c r="K259" i="27"/>
  <c r="J259" i="27"/>
  <c r="I259" i="27"/>
  <c r="J258" i="27"/>
  <c r="K258" i="27" s="1"/>
  <c r="I258" i="27"/>
  <c r="M258" i="27" s="1"/>
  <c r="M257" i="27"/>
  <c r="K257" i="27"/>
  <c r="J257" i="27"/>
  <c r="I257" i="27"/>
  <c r="K256" i="27"/>
  <c r="J256" i="27"/>
  <c r="I256" i="27"/>
  <c r="M256" i="27" s="1"/>
  <c r="M255" i="27"/>
  <c r="K255" i="27"/>
  <c r="J255" i="27"/>
  <c r="I255" i="27"/>
  <c r="J254" i="27"/>
  <c r="K254" i="27" s="1"/>
  <c r="I254" i="27"/>
  <c r="M254" i="27" s="1"/>
  <c r="J253" i="27"/>
  <c r="K253" i="27" s="1"/>
  <c r="I253" i="27"/>
  <c r="M253" i="27" s="1"/>
  <c r="K252" i="27"/>
  <c r="J252" i="27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J248" i="27"/>
  <c r="K248" i="27" s="1"/>
  <c r="I248" i="27"/>
  <c r="M248" i="27" s="1"/>
  <c r="K247" i="27"/>
  <c r="J247" i="27"/>
  <c r="I247" i="27"/>
  <c r="M247" i="27" s="1"/>
  <c r="J246" i="27"/>
  <c r="K246" i="27" s="1"/>
  <c r="I246" i="27"/>
  <c r="M246" i="27" s="1"/>
  <c r="M245" i="27"/>
  <c r="J245" i="27"/>
  <c r="K245" i="27" s="1"/>
  <c r="I245" i="27"/>
  <c r="K244" i="27"/>
  <c r="J244" i="27"/>
  <c r="I244" i="27"/>
  <c r="M244" i="27" s="1"/>
  <c r="M243" i="27"/>
  <c r="K243" i="27"/>
  <c r="J243" i="27"/>
  <c r="I243" i="27"/>
  <c r="J242" i="27"/>
  <c r="K242" i="27" s="1"/>
  <c r="I242" i="27"/>
  <c r="M242" i="27" s="1"/>
  <c r="M241" i="27"/>
  <c r="J241" i="27"/>
  <c r="K241" i="27" s="1"/>
  <c r="I241" i="27"/>
  <c r="K240" i="27"/>
  <c r="J240" i="27"/>
  <c r="I240" i="27"/>
  <c r="M240" i="27" s="1"/>
  <c r="M239" i="27"/>
  <c r="K239" i="27"/>
  <c r="J239" i="27"/>
  <c r="I239" i="27"/>
  <c r="J238" i="27"/>
  <c r="K238" i="27" s="1"/>
  <c r="I238" i="27"/>
  <c r="M238" i="27" s="1"/>
  <c r="M237" i="27"/>
  <c r="J237" i="27"/>
  <c r="K237" i="27" s="1"/>
  <c r="I237" i="27"/>
  <c r="K236" i="27"/>
  <c r="J236" i="27"/>
  <c r="I236" i="27"/>
  <c r="M236" i="27" s="1"/>
  <c r="J235" i="27"/>
  <c r="K235" i="27" s="1"/>
  <c r="I235" i="27"/>
  <c r="M235" i="27" s="1"/>
  <c r="K234" i="27"/>
  <c r="J234" i="27"/>
  <c r="I234" i="27"/>
  <c r="M234" i="27" s="1"/>
  <c r="J233" i="27"/>
  <c r="K233" i="27" s="1"/>
  <c r="I233" i="27"/>
  <c r="M233" i="27" s="1"/>
  <c r="J232" i="27"/>
  <c r="K232" i="27" s="1"/>
  <c r="I232" i="27"/>
  <c r="M232" i="27" s="1"/>
  <c r="K231" i="27"/>
  <c r="J231" i="27"/>
  <c r="I231" i="27"/>
  <c r="M231" i="27" s="1"/>
  <c r="K230" i="27"/>
  <c r="J230" i="27"/>
  <c r="I230" i="27"/>
  <c r="M230" i="27" s="1"/>
  <c r="M229" i="27"/>
  <c r="J229" i="27"/>
  <c r="K229" i="27" s="1"/>
  <c r="I229" i="27"/>
  <c r="K228" i="27"/>
  <c r="J228" i="27"/>
  <c r="I228" i="27"/>
  <c r="M228" i="27" s="1"/>
  <c r="M227" i="27"/>
  <c r="K227" i="27"/>
  <c r="J227" i="27"/>
  <c r="I227" i="27"/>
  <c r="J226" i="27"/>
  <c r="K226" i="27" s="1"/>
  <c r="I226" i="27"/>
  <c r="M226" i="27" s="1"/>
  <c r="M225" i="27"/>
  <c r="K225" i="27"/>
  <c r="J225" i="27"/>
  <c r="I225" i="27"/>
  <c r="K224" i="27"/>
  <c r="J224" i="27"/>
  <c r="I224" i="27"/>
  <c r="M224" i="27" s="1"/>
  <c r="M223" i="27"/>
  <c r="J223" i="27"/>
  <c r="K223" i="27" s="1"/>
  <c r="I223" i="27"/>
  <c r="J222" i="27"/>
  <c r="K222" i="27" s="1"/>
  <c r="I222" i="27"/>
  <c r="M222" i="27" s="1"/>
  <c r="M221" i="27"/>
  <c r="K221" i="27"/>
  <c r="J221" i="27"/>
  <c r="I221" i="27"/>
  <c r="K220" i="27"/>
  <c r="J220" i="27"/>
  <c r="I220" i="27"/>
  <c r="M220" i="27" s="1"/>
  <c r="J219" i="27"/>
  <c r="K219" i="27" s="1"/>
  <c r="I219" i="27"/>
  <c r="M219" i="27" s="1"/>
  <c r="K218" i="27"/>
  <c r="J218" i="27"/>
  <c r="I218" i="27"/>
  <c r="M218" i="27" s="1"/>
  <c r="J217" i="27"/>
  <c r="K217" i="27" s="1"/>
  <c r="I217" i="27"/>
  <c r="M217" i="27" s="1"/>
  <c r="J216" i="27"/>
  <c r="K216" i="27" s="1"/>
  <c r="I216" i="27"/>
  <c r="M216" i="27" s="1"/>
  <c r="K215" i="27"/>
  <c r="J215" i="27"/>
  <c r="I215" i="27"/>
  <c r="M215" i="27" s="1"/>
  <c r="J214" i="27"/>
  <c r="K214" i="27" s="1"/>
  <c r="I214" i="27"/>
  <c r="M214" i="27" s="1"/>
  <c r="M213" i="27"/>
  <c r="J213" i="27"/>
  <c r="K213" i="27" s="1"/>
  <c r="I213" i="27"/>
  <c r="J212" i="27"/>
  <c r="K212" i="27" s="1"/>
  <c r="I212" i="27"/>
  <c r="M212" i="27" s="1"/>
  <c r="M211" i="27"/>
  <c r="K211" i="27"/>
  <c r="J211" i="27"/>
  <c r="I211" i="27"/>
  <c r="J210" i="27"/>
  <c r="K210" i="27" s="1"/>
  <c r="I210" i="27"/>
  <c r="M210" i="27" s="1"/>
  <c r="M209" i="27"/>
  <c r="J209" i="27"/>
  <c r="K209" i="27" s="1"/>
  <c r="I209" i="27"/>
  <c r="K208" i="27"/>
  <c r="J208" i="27"/>
  <c r="I208" i="27"/>
  <c r="M208" i="27" s="1"/>
  <c r="K207" i="27"/>
  <c r="J207" i="27"/>
  <c r="I207" i="27"/>
  <c r="M207" i="27" s="1"/>
  <c r="J206" i="27"/>
  <c r="K206" i="27" s="1"/>
  <c r="I206" i="27"/>
  <c r="M206" i="27" s="1"/>
  <c r="M205" i="27"/>
  <c r="K205" i="27"/>
  <c r="J205" i="27"/>
  <c r="I205" i="27"/>
  <c r="K204" i="27"/>
  <c r="J204" i="27"/>
  <c r="I204" i="27"/>
  <c r="M204" i="27" s="1"/>
  <c r="J203" i="27"/>
  <c r="K203" i="27" s="1"/>
  <c r="I203" i="27"/>
  <c r="M203" i="27" s="1"/>
  <c r="J202" i="27"/>
  <c r="K202" i="27" s="1"/>
  <c r="I202" i="27"/>
  <c r="M202" i="27" s="1"/>
  <c r="J201" i="27"/>
  <c r="K201" i="27" s="1"/>
  <c r="I201" i="27"/>
  <c r="M201" i="27" s="1"/>
  <c r="J200" i="27"/>
  <c r="K200" i="27" s="1"/>
  <c r="I200" i="27"/>
  <c r="M200" i="27" s="1"/>
  <c r="K199" i="27"/>
  <c r="J199" i="27"/>
  <c r="I199" i="27"/>
  <c r="M199" i="27" s="1"/>
  <c r="J198" i="27"/>
  <c r="K198" i="27" s="1"/>
  <c r="I198" i="27"/>
  <c r="M198" i="27" s="1"/>
  <c r="M197" i="27"/>
  <c r="J197" i="27"/>
  <c r="K197" i="27" s="1"/>
  <c r="I197" i="27"/>
  <c r="K196" i="27"/>
  <c r="J196" i="27"/>
  <c r="I196" i="27"/>
  <c r="M196" i="27" s="1"/>
  <c r="M195" i="27"/>
  <c r="K195" i="27"/>
  <c r="J195" i="27"/>
  <c r="I195" i="27"/>
  <c r="J194" i="27"/>
  <c r="K194" i="27" s="1"/>
  <c r="I194" i="27"/>
  <c r="M194" i="27" s="1"/>
  <c r="M193" i="27"/>
  <c r="J193" i="27"/>
  <c r="K193" i="27" s="1"/>
  <c r="I193" i="27"/>
  <c r="K192" i="27"/>
  <c r="J192" i="27"/>
  <c r="I192" i="27"/>
  <c r="M192" i="27" s="1"/>
  <c r="J191" i="27"/>
  <c r="K191" i="27" s="1"/>
  <c r="I191" i="27"/>
  <c r="M191" i="27" s="1"/>
  <c r="J190" i="27"/>
  <c r="K190" i="27" s="1"/>
  <c r="I190" i="27"/>
  <c r="M190" i="27" s="1"/>
  <c r="M189" i="27"/>
  <c r="J189" i="27"/>
  <c r="K189" i="27" s="1"/>
  <c r="I189" i="27"/>
  <c r="K188" i="27"/>
  <c r="J188" i="27"/>
  <c r="I188" i="27"/>
  <c r="M188" i="27" s="1"/>
  <c r="K187" i="27"/>
  <c r="J187" i="27"/>
  <c r="I187" i="27"/>
  <c r="M187" i="27" s="1"/>
  <c r="K186" i="27"/>
  <c r="J186" i="27"/>
  <c r="I186" i="27"/>
  <c r="M186" i="27" s="1"/>
  <c r="J185" i="27"/>
  <c r="K185" i="27" s="1"/>
  <c r="I185" i="27"/>
  <c r="M185" i="27" s="1"/>
  <c r="K184" i="27"/>
  <c r="J184" i="27"/>
  <c r="I184" i="27"/>
  <c r="M184" i="27" s="1"/>
  <c r="K183" i="27"/>
  <c r="J183" i="27"/>
  <c r="I183" i="27"/>
  <c r="M183" i="27" s="1"/>
  <c r="J182" i="27"/>
  <c r="K182" i="27" s="1"/>
  <c r="I182" i="27"/>
  <c r="M182" i="27" s="1"/>
  <c r="M181" i="27"/>
  <c r="J181" i="27"/>
  <c r="K181" i="27" s="1"/>
  <c r="I181" i="27"/>
  <c r="J180" i="27"/>
  <c r="K180" i="27" s="1"/>
  <c r="I180" i="27"/>
  <c r="M180" i="27" s="1"/>
  <c r="M179" i="27"/>
  <c r="K179" i="27"/>
  <c r="J179" i="27"/>
  <c r="I179" i="27"/>
  <c r="J178" i="27"/>
  <c r="K178" i="27" s="1"/>
  <c r="I178" i="27"/>
  <c r="M178" i="27" s="1"/>
  <c r="M177" i="27"/>
  <c r="J177" i="27"/>
  <c r="K177" i="27" s="1"/>
  <c r="I177" i="27"/>
  <c r="K176" i="27"/>
  <c r="J176" i="27"/>
  <c r="I176" i="27"/>
  <c r="M176" i="27" s="1"/>
  <c r="J175" i="27"/>
  <c r="K175" i="27" s="1"/>
  <c r="I175" i="27"/>
  <c r="M175" i="27" s="1"/>
  <c r="J174" i="27"/>
  <c r="K174" i="27" s="1"/>
  <c r="I174" i="27"/>
  <c r="M174" i="27" s="1"/>
  <c r="K173" i="27"/>
  <c r="J173" i="27"/>
  <c r="I173" i="27"/>
  <c r="M173" i="27" s="1"/>
  <c r="K172" i="27"/>
  <c r="J172" i="27"/>
  <c r="I172" i="27"/>
  <c r="M172" i="27" s="1"/>
  <c r="K171" i="27"/>
  <c r="J171" i="27"/>
  <c r="I171" i="27"/>
  <c r="M171" i="27" s="1"/>
  <c r="J170" i="27"/>
  <c r="K170" i="27" s="1"/>
  <c r="I170" i="27"/>
  <c r="M170" i="27" s="1"/>
  <c r="J169" i="27"/>
  <c r="K169" i="27" s="1"/>
  <c r="I169" i="27"/>
  <c r="M169" i="27" s="1"/>
  <c r="K168" i="27"/>
  <c r="J168" i="27"/>
  <c r="I168" i="27"/>
  <c r="M168" i="27" s="1"/>
  <c r="K167" i="27"/>
  <c r="J167" i="27"/>
  <c r="I167" i="27"/>
  <c r="M167" i="27" s="1"/>
  <c r="J166" i="27"/>
  <c r="K166" i="27" s="1"/>
  <c r="I166" i="27"/>
  <c r="M166" i="27" s="1"/>
  <c r="M165" i="27"/>
  <c r="J165" i="27"/>
  <c r="K165" i="27" s="1"/>
  <c r="I165" i="27"/>
  <c r="J164" i="27"/>
  <c r="K164" i="27" s="1"/>
  <c r="I164" i="27"/>
  <c r="M164" i="27" s="1"/>
  <c r="M163" i="27"/>
  <c r="K163" i="27"/>
  <c r="J163" i="27"/>
  <c r="I163" i="27"/>
  <c r="J162" i="27"/>
  <c r="K162" i="27" s="1"/>
  <c r="I162" i="27"/>
  <c r="M162" i="27" s="1"/>
  <c r="M161" i="27"/>
  <c r="J161" i="27"/>
  <c r="K161" i="27" s="1"/>
  <c r="I161" i="27"/>
  <c r="K160" i="27"/>
  <c r="J160" i="27"/>
  <c r="I160" i="27"/>
  <c r="M160" i="27" s="1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K156" i="27"/>
  <c r="J156" i="27"/>
  <c r="I156" i="27"/>
  <c r="M156" i="27" s="1"/>
  <c r="J155" i="27"/>
  <c r="K155" i="27" s="1"/>
  <c r="I155" i="27"/>
  <c r="M155" i="27" s="1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K151" i="27"/>
  <c r="J151" i="27"/>
  <c r="I151" i="27"/>
  <c r="M151" i="27" s="1"/>
  <c r="K150" i="27"/>
  <c r="J150" i="27"/>
  <c r="I150" i="27"/>
  <c r="M150" i="27" s="1"/>
  <c r="M149" i="27"/>
  <c r="J149" i="27"/>
  <c r="K149" i="27" s="1"/>
  <c r="I149" i="27"/>
  <c r="J148" i="27"/>
  <c r="K148" i="27" s="1"/>
  <c r="I148" i="27"/>
  <c r="M148" i="27" s="1"/>
  <c r="K147" i="27"/>
  <c r="J147" i="27"/>
  <c r="I147" i="27"/>
  <c r="M147" i="27" s="1"/>
  <c r="J146" i="27"/>
  <c r="K146" i="27" s="1"/>
  <c r="I146" i="27"/>
  <c r="M146" i="27" s="1"/>
  <c r="M145" i="27"/>
  <c r="K145" i="27"/>
  <c r="J145" i="27"/>
  <c r="I145" i="27"/>
  <c r="K144" i="27"/>
  <c r="J144" i="27"/>
  <c r="I144" i="27"/>
  <c r="M144" i="27" s="1"/>
  <c r="M143" i="27"/>
  <c r="J143" i="27"/>
  <c r="K143" i="27" s="1"/>
  <c r="I143" i="27"/>
  <c r="J142" i="27"/>
  <c r="K142" i="27" s="1"/>
  <c r="I142" i="27"/>
  <c r="M142" i="27" s="1"/>
  <c r="J141" i="27"/>
  <c r="K141" i="27" s="1"/>
  <c r="I141" i="27"/>
  <c r="M141" i="27" s="1"/>
  <c r="K140" i="27"/>
  <c r="J140" i="27"/>
  <c r="I140" i="27"/>
  <c r="M140" i="27" s="1"/>
  <c r="K139" i="27"/>
  <c r="J139" i="27"/>
  <c r="I139" i="27"/>
  <c r="M139" i="27" s="1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K135" i="27"/>
  <c r="J135" i="27"/>
  <c r="I135" i="27"/>
  <c r="M135" i="27" s="1"/>
  <c r="K134" i="27"/>
  <c r="J134" i="27"/>
  <c r="I134" i="27"/>
  <c r="M134" i="27" s="1"/>
  <c r="K133" i="27"/>
  <c r="J133" i="27"/>
  <c r="I133" i="27"/>
  <c r="M133" i="27" s="1"/>
  <c r="J132" i="27"/>
  <c r="K132" i="27" s="1"/>
  <c r="I132" i="27"/>
  <c r="M132" i="27" s="1"/>
  <c r="K131" i="27"/>
  <c r="J131" i="27"/>
  <c r="I131" i="27"/>
  <c r="M131" i="27" s="1"/>
  <c r="M130" i="27"/>
  <c r="K130" i="27"/>
  <c r="J130" i="27"/>
  <c r="I130" i="27"/>
  <c r="K129" i="27"/>
  <c r="J129" i="27"/>
  <c r="I129" i="27"/>
  <c r="M129" i="27" s="1"/>
  <c r="M128" i="27"/>
  <c r="K128" i="27"/>
  <c r="J128" i="27"/>
  <c r="I128" i="27"/>
  <c r="K127" i="27"/>
  <c r="J127" i="27"/>
  <c r="I127" i="27"/>
  <c r="M127" i="27" s="1"/>
  <c r="M126" i="27"/>
  <c r="J126" i="27"/>
  <c r="K126" i="27" s="1"/>
  <c r="I126" i="27"/>
  <c r="K125" i="27"/>
  <c r="J125" i="27"/>
  <c r="I125" i="27"/>
  <c r="M125" i="27" s="1"/>
  <c r="J124" i="27"/>
  <c r="K124" i="27" s="1"/>
  <c r="I124" i="27"/>
  <c r="M124" i="27" s="1"/>
  <c r="K123" i="27"/>
  <c r="J123" i="27"/>
  <c r="I123" i="27"/>
  <c r="M123" i="27" s="1"/>
  <c r="J122" i="27"/>
  <c r="K122" i="27" s="1"/>
  <c r="I122" i="27"/>
  <c r="M122" i="27" s="1"/>
  <c r="K121" i="27"/>
  <c r="J121" i="27"/>
  <c r="I121" i="27"/>
  <c r="M121" i="27" s="1"/>
  <c r="J120" i="27"/>
  <c r="K120" i="27" s="1"/>
  <c r="I120" i="27"/>
  <c r="M120" i="27" s="1"/>
  <c r="K119" i="27"/>
  <c r="J119" i="27"/>
  <c r="I119" i="27"/>
  <c r="M119" i="27" s="1"/>
  <c r="J118" i="27"/>
  <c r="K118" i="27" s="1"/>
  <c r="I118" i="27"/>
  <c r="M118" i="27" s="1"/>
  <c r="K117" i="27"/>
  <c r="J117" i="27"/>
  <c r="I117" i="27"/>
  <c r="M117" i="27" s="1"/>
  <c r="J116" i="27"/>
  <c r="K116" i="27" s="1"/>
  <c r="I116" i="27"/>
  <c r="M116" i="27" s="1"/>
  <c r="K115" i="27"/>
  <c r="J115" i="27"/>
  <c r="I115" i="27"/>
  <c r="M115" i="27" s="1"/>
  <c r="M114" i="27"/>
  <c r="K114" i="27"/>
  <c r="J114" i="27"/>
  <c r="I114" i="27"/>
  <c r="K113" i="27"/>
  <c r="J113" i="27"/>
  <c r="I113" i="27"/>
  <c r="M113" i="27" s="1"/>
  <c r="M112" i="27"/>
  <c r="K112" i="27"/>
  <c r="J112" i="27"/>
  <c r="I112" i="27"/>
  <c r="K111" i="27"/>
  <c r="J111" i="27"/>
  <c r="I111" i="27"/>
  <c r="M111" i="27" s="1"/>
  <c r="M110" i="27"/>
  <c r="J110" i="27"/>
  <c r="K110" i="27" s="1"/>
  <c r="I110" i="27"/>
  <c r="K109" i="27"/>
  <c r="J109" i="27"/>
  <c r="I109" i="27"/>
  <c r="M109" i="27" s="1"/>
  <c r="J108" i="27"/>
  <c r="K108" i="27" s="1"/>
  <c r="I108" i="27"/>
  <c r="M108" i="27" s="1"/>
  <c r="K107" i="27"/>
  <c r="J107" i="27"/>
  <c r="I107" i="27"/>
  <c r="M107" i="27" s="1"/>
  <c r="J106" i="27"/>
  <c r="K106" i="27" s="1"/>
  <c r="I106" i="27"/>
  <c r="M106" i="27" s="1"/>
  <c r="K105" i="27"/>
  <c r="J105" i="27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J100" i="27"/>
  <c r="K100" i="27" s="1"/>
  <c r="I100" i="27"/>
  <c r="M100" i="27" s="1"/>
  <c r="J99" i="27"/>
  <c r="K99" i="27" s="1"/>
  <c r="I99" i="27"/>
  <c r="M99" i="27" s="1"/>
  <c r="M98" i="27"/>
  <c r="K98" i="27"/>
  <c r="J98" i="27"/>
  <c r="I98" i="27"/>
  <c r="J97" i="27"/>
  <c r="K97" i="27" s="1"/>
  <c r="I97" i="27"/>
  <c r="M97" i="27" s="1"/>
  <c r="M96" i="27"/>
  <c r="K96" i="27"/>
  <c r="J96" i="27"/>
  <c r="I96" i="27"/>
  <c r="J95" i="27"/>
  <c r="K95" i="27" s="1"/>
  <c r="I95" i="27"/>
  <c r="M95" i="27" s="1"/>
  <c r="M94" i="27"/>
  <c r="J94" i="27"/>
  <c r="K94" i="27" s="1"/>
  <c r="I94" i="27"/>
  <c r="J93" i="27"/>
  <c r="K93" i="27" s="1"/>
  <c r="I93" i="27"/>
  <c r="M93" i="27" s="1"/>
  <c r="J92" i="27"/>
  <c r="K92" i="27" s="1"/>
  <c r="I92" i="27"/>
  <c r="M92" i="27" s="1"/>
  <c r="K91" i="27"/>
  <c r="J91" i="27"/>
  <c r="I91" i="27"/>
  <c r="M91" i="27" s="1"/>
  <c r="J90" i="27"/>
  <c r="K90" i="27" s="1"/>
  <c r="I90" i="27"/>
  <c r="M90" i="27" s="1"/>
  <c r="K89" i="27"/>
  <c r="J89" i="27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J85" i="27"/>
  <c r="K85" i="27" s="1"/>
  <c r="I85" i="27"/>
  <c r="M85" i="27" s="1"/>
  <c r="J84" i="27"/>
  <c r="K84" i="27" s="1"/>
  <c r="I84" i="27"/>
  <c r="M84" i="27" s="1"/>
  <c r="J83" i="27"/>
  <c r="K83" i="27" s="1"/>
  <c r="I83" i="27"/>
  <c r="M83" i="27" s="1"/>
  <c r="M82" i="27"/>
  <c r="K82" i="27"/>
  <c r="J82" i="27"/>
  <c r="I82" i="27"/>
  <c r="J81" i="27"/>
  <c r="K81" i="27" s="1"/>
  <c r="I81" i="27"/>
  <c r="M81" i="27" s="1"/>
  <c r="M80" i="27"/>
  <c r="K80" i="27"/>
  <c r="J80" i="27"/>
  <c r="I80" i="27"/>
  <c r="J79" i="27"/>
  <c r="K79" i="27" s="1"/>
  <c r="I79" i="27"/>
  <c r="M79" i="27" s="1"/>
  <c r="M78" i="27"/>
  <c r="J78" i="27"/>
  <c r="K78" i="27" s="1"/>
  <c r="I78" i="27"/>
  <c r="J77" i="27"/>
  <c r="K77" i="27" s="1"/>
  <c r="I77" i="27"/>
  <c r="M77" i="27" s="1"/>
  <c r="J76" i="27"/>
  <c r="K76" i="27" s="1"/>
  <c r="I76" i="27"/>
  <c r="M76" i="27" s="1"/>
  <c r="K75" i="27"/>
  <c r="J75" i="27"/>
  <c r="I75" i="27"/>
  <c r="M75" i="27" s="1"/>
  <c r="J74" i="27"/>
  <c r="K74" i="27" s="1"/>
  <c r="I74" i="27"/>
  <c r="M74" i="27" s="1"/>
  <c r="K73" i="27"/>
  <c r="J73" i="27"/>
  <c r="I73" i="27"/>
  <c r="M73" i="27" s="1"/>
  <c r="J72" i="27"/>
  <c r="K72" i="27" s="1"/>
  <c r="I72" i="27"/>
  <c r="M72" i="27" s="1"/>
  <c r="J71" i="27"/>
  <c r="K71" i="27" s="1"/>
  <c r="I71" i="27"/>
  <c r="M71" i="27" s="1"/>
  <c r="J70" i="27"/>
  <c r="K70" i="27" s="1"/>
  <c r="I70" i="27"/>
  <c r="M70" i="27" s="1"/>
  <c r="J69" i="27"/>
  <c r="K69" i="27" s="1"/>
  <c r="I69" i="27"/>
  <c r="M69" i="27" s="1"/>
  <c r="J68" i="27"/>
  <c r="K68" i="27" s="1"/>
  <c r="I68" i="27"/>
  <c r="M68" i="27" s="1"/>
  <c r="J67" i="27"/>
  <c r="K67" i="27" s="1"/>
  <c r="I67" i="27"/>
  <c r="M67" i="27" s="1"/>
  <c r="M66" i="27"/>
  <c r="K66" i="27"/>
  <c r="J66" i="27"/>
  <c r="I66" i="27"/>
  <c r="J65" i="27"/>
  <c r="K65" i="27" s="1"/>
  <c r="I65" i="27"/>
  <c r="M65" i="27" s="1"/>
  <c r="B65" i="27"/>
  <c r="M64" i="27"/>
  <c r="K64" i="27"/>
  <c r="J64" i="27"/>
  <c r="I64" i="27"/>
  <c r="B64" i="27"/>
  <c r="J63" i="27"/>
  <c r="K63" i="27" s="1"/>
  <c r="I63" i="27"/>
  <c r="M63" i="27" s="1"/>
  <c r="B63" i="27"/>
  <c r="J62" i="27"/>
  <c r="K62" i="27" s="1"/>
  <c r="I62" i="27"/>
  <c r="M62" i="27" s="1"/>
  <c r="B62" i="27"/>
  <c r="M61" i="27"/>
  <c r="J61" i="27"/>
  <c r="K61" i="27" s="1"/>
  <c r="I61" i="27"/>
  <c r="B61" i="27"/>
  <c r="J60" i="27"/>
  <c r="K60" i="27" s="1"/>
  <c r="I60" i="27"/>
  <c r="M60" i="27" s="1"/>
  <c r="B60" i="27"/>
  <c r="M59" i="27"/>
  <c r="K59" i="27"/>
  <c r="J59" i="27"/>
  <c r="I59" i="27"/>
  <c r="B59" i="27"/>
  <c r="J58" i="27"/>
  <c r="K58" i="27" s="1"/>
  <c r="I58" i="27"/>
  <c r="M58" i="27" s="1"/>
  <c r="B58" i="27"/>
  <c r="J57" i="27"/>
  <c r="K57" i="27" s="1"/>
  <c r="I57" i="27"/>
  <c r="M57" i="27" s="1"/>
  <c r="B57" i="27"/>
  <c r="M56" i="27"/>
  <c r="J56" i="27"/>
  <c r="K56" i="27" s="1"/>
  <c r="I56" i="27"/>
  <c r="B56" i="27"/>
  <c r="J55" i="27"/>
  <c r="K55" i="27" s="1"/>
  <c r="I55" i="27"/>
  <c r="M55" i="27" s="1"/>
  <c r="B55" i="27"/>
  <c r="M54" i="27"/>
  <c r="J54" i="27"/>
  <c r="K54" i="27" s="1"/>
  <c r="I54" i="27"/>
  <c r="B54" i="27"/>
  <c r="J53" i="27"/>
  <c r="K53" i="27" s="1"/>
  <c r="I53" i="27"/>
  <c r="M53" i="27" s="1"/>
  <c r="B53" i="27"/>
  <c r="J52" i="27"/>
  <c r="K52" i="27" s="1"/>
  <c r="I52" i="27"/>
  <c r="M52" i="27" s="1"/>
  <c r="B52" i="27"/>
  <c r="M51" i="27"/>
  <c r="K51" i="27"/>
  <c r="J51" i="27"/>
  <c r="I51" i="27"/>
  <c r="B51" i="27"/>
  <c r="J50" i="27"/>
  <c r="K50" i="27" s="1"/>
  <c r="I50" i="27"/>
  <c r="M50" i="27" s="1"/>
  <c r="B50" i="27"/>
  <c r="K49" i="27"/>
  <c r="J49" i="27"/>
  <c r="I49" i="27"/>
  <c r="M49" i="27" s="1"/>
  <c r="B49" i="27"/>
  <c r="M48" i="27"/>
  <c r="J48" i="27"/>
  <c r="K48" i="27" s="1"/>
  <c r="I48" i="27"/>
  <c r="B48" i="27"/>
  <c r="J47" i="27"/>
  <c r="K47" i="27" s="1"/>
  <c r="I47" i="27"/>
  <c r="M47" i="27" s="1"/>
  <c r="B47" i="27"/>
  <c r="T46" i="27"/>
  <c r="R46" i="27"/>
  <c r="U46" i="27" s="1"/>
  <c r="J46" i="27"/>
  <c r="K46" i="27" s="1"/>
  <c r="I46" i="27"/>
  <c r="M46" i="27" s="1"/>
  <c r="B46" i="27"/>
  <c r="J45" i="27"/>
  <c r="K45" i="27" s="1"/>
  <c r="I45" i="27"/>
  <c r="M45" i="27" s="1"/>
  <c r="B45" i="27"/>
  <c r="K44" i="27"/>
  <c r="J44" i="27"/>
  <c r="I44" i="27"/>
  <c r="M44" i="27" s="1"/>
  <c r="B44" i="27"/>
  <c r="M43" i="27"/>
  <c r="K43" i="27"/>
  <c r="J43" i="27"/>
  <c r="I43" i="27"/>
  <c r="B43" i="27"/>
  <c r="K42" i="27"/>
  <c r="J42" i="27"/>
  <c r="I42" i="27"/>
  <c r="M42" i="27" s="1"/>
  <c r="B42" i="27"/>
  <c r="J41" i="27"/>
  <c r="K41" i="27" s="1"/>
  <c r="I41" i="27"/>
  <c r="M41" i="27" s="1"/>
  <c r="B41" i="27"/>
  <c r="J40" i="27"/>
  <c r="K40" i="27" s="1"/>
  <c r="I40" i="27"/>
  <c r="M40" i="27" s="1"/>
  <c r="B40" i="27"/>
  <c r="M39" i="27"/>
  <c r="K39" i="27"/>
  <c r="J39" i="27"/>
  <c r="I39" i="27"/>
  <c r="B39" i="27"/>
  <c r="M38" i="27"/>
  <c r="K38" i="27"/>
  <c r="J38" i="27"/>
  <c r="I38" i="27"/>
  <c r="B38" i="27"/>
  <c r="J37" i="27"/>
  <c r="K37" i="27" s="1"/>
  <c r="I37" i="27"/>
  <c r="M37" i="27" s="1"/>
  <c r="A37" i="27" s="1"/>
  <c r="B37" i="27"/>
  <c r="M36" i="27"/>
  <c r="J36" i="27"/>
  <c r="K36" i="27" s="1"/>
  <c r="I36" i="27"/>
  <c r="B36" i="27"/>
  <c r="A36" i="27"/>
  <c r="M35" i="27"/>
  <c r="A35" i="27" s="1"/>
  <c r="K35" i="27"/>
  <c r="J35" i="27"/>
  <c r="I35" i="27"/>
  <c r="B35" i="27"/>
  <c r="J34" i="27"/>
  <c r="K34" i="27" s="1"/>
  <c r="I34" i="27"/>
  <c r="M34" i="27" s="1"/>
  <c r="A34" i="27" s="1"/>
  <c r="B34" i="27"/>
  <c r="J33" i="27"/>
  <c r="K33" i="27" s="1"/>
  <c r="I33" i="27"/>
  <c r="M33" i="27" s="1"/>
  <c r="A33" i="27" s="1"/>
  <c r="B33" i="27"/>
  <c r="M32" i="27"/>
  <c r="A32" i="27" s="1"/>
  <c r="K32" i="27"/>
  <c r="J32" i="27"/>
  <c r="I32" i="27"/>
  <c r="B32" i="27"/>
  <c r="J31" i="27"/>
  <c r="K31" i="27" s="1"/>
  <c r="I31" i="27"/>
  <c r="M31" i="27" s="1"/>
  <c r="A31" i="27" s="1"/>
  <c r="B31" i="27"/>
  <c r="K30" i="27"/>
  <c r="J30" i="27"/>
  <c r="I30" i="27"/>
  <c r="M30" i="27" s="1"/>
  <c r="A30" i="27" s="1"/>
  <c r="B30" i="27"/>
  <c r="M29" i="27"/>
  <c r="A29" i="27" s="1"/>
  <c r="J29" i="27"/>
  <c r="K29" i="27" s="1"/>
  <c r="I29" i="27"/>
  <c r="B29" i="27"/>
  <c r="M28" i="27"/>
  <c r="A28" i="27" s="1"/>
  <c r="J28" i="27"/>
  <c r="K28" i="27" s="1"/>
  <c r="I28" i="27"/>
  <c r="B28" i="27"/>
  <c r="J27" i="27"/>
  <c r="K27" i="27" s="1"/>
  <c r="I27" i="27"/>
  <c r="M27" i="27" s="1"/>
  <c r="A27" i="27" s="1"/>
  <c r="B27" i="27"/>
  <c r="M26" i="27"/>
  <c r="A26" i="27" s="1"/>
  <c r="K26" i="27"/>
  <c r="J26" i="27"/>
  <c r="I26" i="27"/>
  <c r="B26" i="27"/>
  <c r="J25" i="27"/>
  <c r="K25" i="27" s="1"/>
  <c r="I25" i="27"/>
  <c r="M25" i="27" s="1"/>
  <c r="A25" i="27" s="1"/>
  <c r="B25" i="27"/>
  <c r="M24" i="27"/>
  <c r="J24" i="27"/>
  <c r="K24" i="27" s="1"/>
  <c r="I24" i="27"/>
  <c r="B24" i="27"/>
  <c r="A24" i="27"/>
  <c r="J23" i="27"/>
  <c r="K23" i="27" s="1"/>
  <c r="I23" i="27"/>
  <c r="M23" i="27" s="1"/>
  <c r="A23" i="27" s="1"/>
  <c r="B23" i="27"/>
  <c r="M22" i="27"/>
  <c r="A22" i="27" s="1"/>
  <c r="J22" i="27"/>
  <c r="K22" i="27" s="1"/>
  <c r="I22" i="27"/>
  <c r="B22" i="27"/>
  <c r="J21" i="27"/>
  <c r="K21" i="27" s="1"/>
  <c r="I21" i="27"/>
  <c r="M21" i="27" s="1"/>
  <c r="A21" i="27" s="1"/>
  <c r="B21" i="27"/>
  <c r="M20" i="27"/>
  <c r="J20" i="27"/>
  <c r="K20" i="27" s="1"/>
  <c r="I20" i="27"/>
  <c r="B20" i="27"/>
  <c r="A20" i="27"/>
  <c r="M19" i="27"/>
  <c r="A19" i="27" s="1"/>
  <c r="K19" i="27"/>
  <c r="J19" i="27"/>
  <c r="I19" i="27"/>
  <c r="B19" i="27"/>
  <c r="J18" i="27"/>
  <c r="K18" i="27" s="1"/>
  <c r="I18" i="27"/>
  <c r="M18" i="27" s="1"/>
  <c r="A18" i="27" s="1"/>
  <c r="B18" i="27"/>
  <c r="J17" i="27"/>
  <c r="K17" i="27" s="1"/>
  <c r="I17" i="27"/>
  <c r="M17" i="27" s="1"/>
  <c r="A17" i="27" s="1"/>
  <c r="B17" i="27"/>
  <c r="AI16" i="27"/>
  <c r="M16" i="27"/>
  <c r="A16" i="27" s="1"/>
  <c r="K16" i="27"/>
  <c r="J16" i="27"/>
  <c r="I16" i="27"/>
  <c r="B16" i="27"/>
  <c r="M15" i="27"/>
  <c r="A15" i="27" s="1"/>
  <c r="J15" i="27"/>
  <c r="K15" i="27" s="1"/>
  <c r="I15" i="27"/>
  <c r="B15" i="27"/>
  <c r="AI14" i="27"/>
  <c r="J14" i="27"/>
  <c r="K14" i="27" s="1"/>
  <c r="I14" i="27"/>
  <c r="M14" i="27" s="1"/>
  <c r="A14" i="27" s="1"/>
  <c r="B14" i="27"/>
  <c r="AI13" i="27"/>
  <c r="J13" i="27"/>
  <c r="K13" i="27" s="1"/>
  <c r="I13" i="27"/>
  <c r="M13" i="27" s="1"/>
  <c r="A13" i="27" s="1"/>
  <c r="B13" i="27"/>
  <c r="AI12" i="27"/>
  <c r="K12" i="27"/>
  <c r="J12" i="27"/>
  <c r="I12" i="27"/>
  <c r="M12" i="27" s="1"/>
  <c r="A12" i="27" s="1"/>
  <c r="B12" i="27"/>
  <c r="M11" i="27"/>
  <c r="A11" i="27" s="1"/>
  <c r="K11" i="27"/>
  <c r="J11" i="27"/>
  <c r="I11" i="27"/>
  <c r="B11" i="27"/>
  <c r="M10" i="27"/>
  <c r="A10" i="27" s="1"/>
  <c r="J10" i="27"/>
  <c r="K10" i="27" s="1"/>
  <c r="I10" i="27"/>
  <c r="B10" i="27"/>
  <c r="J8" i="27"/>
  <c r="K8" i="27" s="1"/>
  <c r="I8" i="27"/>
  <c r="M8" i="27" s="1"/>
  <c r="A8" i="27" s="1"/>
  <c r="B8" i="27"/>
  <c r="K7" i="27"/>
  <c r="J7" i="27"/>
  <c r="I7" i="27"/>
  <c r="M7" i="27" s="1"/>
  <c r="A7" i="27" s="1"/>
  <c r="B7" i="27"/>
  <c r="M6" i="27"/>
  <c r="A6" i="27" s="1"/>
  <c r="J6" i="27"/>
  <c r="K6" i="27" s="1"/>
  <c r="I6" i="27"/>
  <c r="B6" i="27"/>
  <c r="K2" i="27"/>
  <c r="L6" i="27" s="1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J301" i="26"/>
  <c r="K301" i="26" s="1"/>
  <c r="I301" i="26"/>
  <c r="M301" i="26" s="1"/>
  <c r="J300" i="26"/>
  <c r="K300" i="26" s="1"/>
  <c r="I300" i="26"/>
  <c r="M300" i="26" s="1"/>
  <c r="J299" i="26"/>
  <c r="K299" i="26" s="1"/>
  <c r="I299" i="26"/>
  <c r="M299" i="26" s="1"/>
  <c r="J298" i="26"/>
  <c r="K298" i="26" s="1"/>
  <c r="I298" i="26"/>
  <c r="M298" i="26" s="1"/>
  <c r="J297" i="26"/>
  <c r="K297" i="26" s="1"/>
  <c r="I297" i="26"/>
  <c r="M297" i="26" s="1"/>
  <c r="J296" i="26"/>
  <c r="K296" i="26" s="1"/>
  <c r="I296" i="26"/>
  <c r="M296" i="26" s="1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J292" i="26"/>
  <c r="K292" i="26" s="1"/>
  <c r="I292" i="26"/>
  <c r="M292" i="26" s="1"/>
  <c r="J291" i="26"/>
  <c r="K291" i="26" s="1"/>
  <c r="I291" i="26"/>
  <c r="M291" i="26" s="1"/>
  <c r="J290" i="26"/>
  <c r="K290" i="26" s="1"/>
  <c r="I290" i="26"/>
  <c r="M290" i="26" s="1"/>
  <c r="J289" i="26"/>
  <c r="K289" i="26" s="1"/>
  <c r="I289" i="26"/>
  <c r="M289" i="26" s="1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J284" i="26"/>
  <c r="K284" i="26" s="1"/>
  <c r="I284" i="26"/>
  <c r="M284" i="26" s="1"/>
  <c r="J283" i="26"/>
  <c r="K283" i="26" s="1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J277" i="26"/>
  <c r="K277" i="26" s="1"/>
  <c r="I277" i="26"/>
  <c r="M277" i="26" s="1"/>
  <c r="J276" i="26"/>
  <c r="K276" i="26" s="1"/>
  <c r="I276" i="26"/>
  <c r="M276" i="26" s="1"/>
  <c r="J275" i="26"/>
  <c r="K275" i="26" s="1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J251" i="26"/>
  <c r="K251" i="26" s="1"/>
  <c r="I251" i="26"/>
  <c r="M251" i="26" s="1"/>
  <c r="J250" i="26"/>
  <c r="K250" i="26" s="1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J221" i="26"/>
  <c r="K221" i="26" s="1"/>
  <c r="I221" i="26"/>
  <c r="M221" i="26" s="1"/>
  <c r="J220" i="26"/>
  <c r="K220" i="26" s="1"/>
  <c r="I220" i="26"/>
  <c r="M220" i="26" s="1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J215" i="26"/>
  <c r="K215" i="26" s="1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J203" i="26"/>
  <c r="K203" i="26" s="1"/>
  <c r="I203" i="26"/>
  <c r="M203" i="26" s="1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J170" i="26"/>
  <c r="K170" i="26" s="1"/>
  <c r="I170" i="26"/>
  <c r="M170" i="26" s="1"/>
  <c r="J169" i="26"/>
  <c r="K169" i="26" s="1"/>
  <c r="I169" i="26"/>
  <c r="M169" i="26" s="1"/>
  <c r="J168" i="26"/>
  <c r="K168" i="26" s="1"/>
  <c r="I168" i="26"/>
  <c r="M168" i="26" s="1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J151" i="26"/>
  <c r="K151" i="26" s="1"/>
  <c r="I151" i="26"/>
  <c r="M151" i="26" s="1"/>
  <c r="J150" i="26"/>
  <c r="K150" i="26" s="1"/>
  <c r="I150" i="26"/>
  <c r="M150" i="26" s="1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J135" i="26"/>
  <c r="K135" i="26" s="1"/>
  <c r="I135" i="26"/>
  <c r="M135" i="26" s="1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J124" i="26"/>
  <c r="K124" i="26" s="1"/>
  <c r="I124" i="26"/>
  <c r="M124" i="26" s="1"/>
  <c r="J123" i="26"/>
  <c r="K123" i="26" s="1"/>
  <c r="I123" i="26"/>
  <c r="M123" i="26" s="1"/>
  <c r="J122" i="26"/>
  <c r="K122" i="26" s="1"/>
  <c r="I122" i="26"/>
  <c r="M122" i="26" s="1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M108" i="26" s="1"/>
  <c r="J107" i="26"/>
  <c r="K107" i="26" s="1"/>
  <c r="I107" i="26"/>
  <c r="M107" i="26" s="1"/>
  <c r="J106" i="26"/>
  <c r="K106" i="26" s="1"/>
  <c r="I106" i="26"/>
  <c r="M106" i="26" s="1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M92" i="26" s="1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J84" i="26"/>
  <c r="K84" i="26" s="1"/>
  <c r="I84" i="26"/>
  <c r="M84" i="26" s="1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J63" i="26"/>
  <c r="K63" i="26" s="1"/>
  <c r="I63" i="26"/>
  <c r="M63" i="26" s="1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J59" i="26"/>
  <c r="K59" i="26" s="1"/>
  <c r="I59" i="26"/>
  <c r="M59" i="26" s="1"/>
  <c r="B59" i="26"/>
  <c r="J58" i="26"/>
  <c r="K58" i="26" s="1"/>
  <c r="I58" i="26"/>
  <c r="M58" i="26" s="1"/>
  <c r="B58" i="26"/>
  <c r="J57" i="26"/>
  <c r="K57" i="26" s="1"/>
  <c r="I57" i="26"/>
  <c r="M57" i="26" s="1"/>
  <c r="B57" i="26"/>
  <c r="J56" i="26"/>
  <c r="K56" i="26" s="1"/>
  <c r="I56" i="26"/>
  <c r="M56" i="26" s="1"/>
  <c r="B56" i="26"/>
  <c r="J55" i="26"/>
  <c r="K55" i="26" s="1"/>
  <c r="I55" i="26"/>
  <c r="M55" i="26" s="1"/>
  <c r="B55" i="26"/>
  <c r="J54" i="26"/>
  <c r="K54" i="26" s="1"/>
  <c r="I54" i="26"/>
  <c r="M54" i="26" s="1"/>
  <c r="B54" i="26"/>
  <c r="J53" i="26"/>
  <c r="K53" i="26" s="1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J50" i="26"/>
  <c r="K50" i="26" s="1"/>
  <c r="I50" i="26"/>
  <c r="M50" i="26" s="1"/>
  <c r="B50" i="26"/>
  <c r="J49" i="26"/>
  <c r="K49" i="26" s="1"/>
  <c r="I49" i="26"/>
  <c r="M49" i="26" s="1"/>
  <c r="B49" i="26"/>
  <c r="J48" i="26"/>
  <c r="K48" i="26" s="1"/>
  <c r="I48" i="26"/>
  <c r="M48" i="26" s="1"/>
  <c r="B48" i="26"/>
  <c r="J47" i="26"/>
  <c r="K47" i="26" s="1"/>
  <c r="I47" i="26"/>
  <c r="M47" i="26" s="1"/>
  <c r="B47" i="26"/>
  <c r="T46" i="26"/>
  <c r="R46" i="26"/>
  <c r="J46" i="26"/>
  <c r="K46" i="26" s="1"/>
  <c r="I46" i="26"/>
  <c r="M46" i="26" s="1"/>
  <c r="B46" i="26"/>
  <c r="J45" i="26"/>
  <c r="K45" i="26" s="1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J40" i="26"/>
  <c r="K40" i="26" s="1"/>
  <c r="I40" i="26"/>
  <c r="M40" i="26" s="1"/>
  <c r="B40" i="26"/>
  <c r="J39" i="26"/>
  <c r="K39" i="26" s="1"/>
  <c r="I39" i="26"/>
  <c r="M39" i="26" s="1"/>
  <c r="B39" i="26"/>
  <c r="J38" i="26"/>
  <c r="K38" i="26" s="1"/>
  <c r="I38" i="26"/>
  <c r="M38" i="26" s="1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J31" i="26"/>
  <c r="K31" i="26" s="1"/>
  <c r="I31" i="26"/>
  <c r="M31" i="26" s="1"/>
  <c r="A31" i="26" s="1"/>
  <c r="B31" i="26"/>
  <c r="J30" i="26"/>
  <c r="K30" i="26" s="1"/>
  <c r="I30" i="26"/>
  <c r="M30" i="26" s="1"/>
  <c r="B30" i="26"/>
  <c r="A30" i="26"/>
  <c r="J29" i="26"/>
  <c r="K29" i="26" s="1"/>
  <c r="I29" i="26"/>
  <c r="M29" i="26" s="1"/>
  <c r="A29" i="26" s="1"/>
  <c r="B29" i="26"/>
  <c r="J28" i="26"/>
  <c r="K28" i="26" s="1"/>
  <c r="I28" i="26"/>
  <c r="M28" i="26" s="1"/>
  <c r="A28" i="26" s="1"/>
  <c r="B28" i="26"/>
  <c r="J27" i="26"/>
  <c r="K27" i="26" s="1"/>
  <c r="I27" i="26"/>
  <c r="M27" i="26" s="1"/>
  <c r="B27" i="26"/>
  <c r="A27" i="26"/>
  <c r="J26" i="26"/>
  <c r="K26" i="26" s="1"/>
  <c r="I26" i="26"/>
  <c r="M26" i="26" s="1"/>
  <c r="A26" i="26" s="1"/>
  <c r="B26" i="26"/>
  <c r="J25" i="26"/>
  <c r="K25" i="26" s="1"/>
  <c r="I25" i="26"/>
  <c r="M25" i="26" s="1"/>
  <c r="A25" i="26" s="1"/>
  <c r="B25" i="26"/>
  <c r="J24" i="26"/>
  <c r="K24" i="26" s="1"/>
  <c r="I24" i="26"/>
  <c r="M24" i="26" s="1"/>
  <c r="A24" i="26" s="1"/>
  <c r="B24" i="26"/>
  <c r="J23" i="26"/>
  <c r="K23" i="26" s="1"/>
  <c r="I23" i="26"/>
  <c r="M23" i="26" s="1"/>
  <c r="A23" i="26" s="1"/>
  <c r="B23" i="26"/>
  <c r="J22" i="26"/>
  <c r="K22" i="26" s="1"/>
  <c r="I22" i="26"/>
  <c r="M22" i="26" s="1"/>
  <c r="A22" i="26" s="1"/>
  <c r="B22" i="26"/>
  <c r="J21" i="26"/>
  <c r="K21" i="26" s="1"/>
  <c r="I21" i="26"/>
  <c r="M21" i="26" s="1"/>
  <c r="A21" i="26" s="1"/>
  <c r="B21" i="26"/>
  <c r="J20" i="26"/>
  <c r="K20" i="26" s="1"/>
  <c r="I20" i="26"/>
  <c r="M20" i="26" s="1"/>
  <c r="A20" i="26" s="1"/>
  <c r="B20" i="26"/>
  <c r="J19" i="26"/>
  <c r="K19" i="26" s="1"/>
  <c r="I19" i="26"/>
  <c r="M19" i="26" s="1"/>
  <c r="B19" i="26"/>
  <c r="A19" i="26"/>
  <c r="J18" i="26"/>
  <c r="K18" i="26" s="1"/>
  <c r="I18" i="26"/>
  <c r="M18" i="26" s="1"/>
  <c r="B18" i="26"/>
  <c r="A18" i="26"/>
  <c r="J17" i="26"/>
  <c r="K17" i="26" s="1"/>
  <c r="I17" i="26"/>
  <c r="M17" i="26" s="1"/>
  <c r="A17" i="26" s="1"/>
  <c r="B17" i="26"/>
  <c r="J16" i="26"/>
  <c r="K16" i="26" s="1"/>
  <c r="I16" i="26"/>
  <c r="M16" i="26" s="1"/>
  <c r="A16" i="26" s="1"/>
  <c r="B16" i="26"/>
  <c r="J15" i="26"/>
  <c r="K15" i="26" s="1"/>
  <c r="I15" i="26"/>
  <c r="M15" i="26" s="1"/>
  <c r="A15" i="26" s="1"/>
  <c r="B15" i="26"/>
  <c r="AI14" i="26"/>
  <c r="J14" i="26"/>
  <c r="K14" i="26" s="1"/>
  <c r="I14" i="26"/>
  <c r="M14" i="26" s="1"/>
  <c r="AI13" i="26"/>
  <c r="J13" i="26"/>
  <c r="K13" i="26" s="1"/>
  <c r="I13" i="26"/>
  <c r="M13" i="26" s="1"/>
  <c r="B13" i="26"/>
  <c r="V9" i="28" s="1"/>
  <c r="A13" i="26"/>
  <c r="AI12" i="26"/>
  <c r="AI16" i="26" s="1"/>
  <c r="J12" i="26"/>
  <c r="K12" i="26" s="1"/>
  <c r="I12" i="26"/>
  <c r="B12" i="26"/>
  <c r="V11" i="28" s="1"/>
  <c r="J11" i="26"/>
  <c r="K11" i="26" s="1"/>
  <c r="I11" i="26"/>
  <c r="M11" i="26" s="1"/>
  <c r="A11" i="26" s="1"/>
  <c r="B11" i="26"/>
  <c r="J10" i="26"/>
  <c r="K10" i="26" s="1"/>
  <c r="I10" i="26"/>
  <c r="M10" i="26" s="1"/>
  <c r="A10" i="26" s="1"/>
  <c r="B10" i="26"/>
  <c r="J9" i="26"/>
  <c r="K9" i="26" s="1"/>
  <c r="I9" i="26"/>
  <c r="J8" i="26"/>
  <c r="K8" i="26" s="1"/>
  <c r="I8" i="26"/>
  <c r="B8" i="26"/>
  <c r="V6" i="28" s="1"/>
  <c r="J7" i="26"/>
  <c r="K7" i="26" s="1"/>
  <c r="I7" i="26"/>
  <c r="B7" i="26"/>
  <c r="J6" i="26"/>
  <c r="K6" i="26" s="1"/>
  <c r="I6" i="26"/>
  <c r="B6" i="26"/>
  <c r="K2" i="26"/>
  <c r="J305" i="25"/>
  <c r="K305" i="25" s="1"/>
  <c r="I305" i="25"/>
  <c r="M305" i="25" s="1"/>
  <c r="K304" i="25"/>
  <c r="J304" i="25"/>
  <c r="I304" i="25"/>
  <c r="M304" i="25" s="1"/>
  <c r="J303" i="25"/>
  <c r="K303" i="25" s="1"/>
  <c r="I303" i="25"/>
  <c r="M303" i="25" s="1"/>
  <c r="M302" i="25"/>
  <c r="J302" i="25"/>
  <c r="K302" i="25" s="1"/>
  <c r="I302" i="25"/>
  <c r="J301" i="25"/>
  <c r="K301" i="25" s="1"/>
  <c r="I301" i="25"/>
  <c r="M301" i="25" s="1"/>
  <c r="M300" i="25"/>
  <c r="K300" i="25"/>
  <c r="J300" i="25"/>
  <c r="I300" i="25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M294" i="25"/>
  <c r="J294" i="25"/>
  <c r="K294" i="25" s="1"/>
  <c r="I294" i="25"/>
  <c r="J293" i="25"/>
  <c r="K293" i="25" s="1"/>
  <c r="I293" i="25"/>
  <c r="M293" i="25" s="1"/>
  <c r="M292" i="25"/>
  <c r="K292" i="25"/>
  <c r="J292" i="25"/>
  <c r="I292" i="25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M286" i="25"/>
  <c r="J286" i="25"/>
  <c r="K286" i="25" s="1"/>
  <c r="I286" i="25"/>
  <c r="J285" i="25"/>
  <c r="K285" i="25" s="1"/>
  <c r="I285" i="25"/>
  <c r="M285" i="25" s="1"/>
  <c r="M284" i="25"/>
  <c r="K284" i="25"/>
  <c r="J284" i="25"/>
  <c r="I284" i="25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M278" i="25"/>
  <c r="J278" i="25"/>
  <c r="K278" i="25" s="1"/>
  <c r="I278" i="25"/>
  <c r="J277" i="25"/>
  <c r="K277" i="25" s="1"/>
  <c r="I277" i="25"/>
  <c r="M277" i="25" s="1"/>
  <c r="M276" i="25"/>
  <c r="K276" i="25"/>
  <c r="J276" i="25"/>
  <c r="I276" i="25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M270" i="25"/>
  <c r="J270" i="25"/>
  <c r="K270" i="25" s="1"/>
  <c r="I270" i="25"/>
  <c r="J269" i="25"/>
  <c r="K269" i="25" s="1"/>
  <c r="I269" i="25"/>
  <c r="M269" i="25" s="1"/>
  <c r="M268" i="25"/>
  <c r="K268" i="25"/>
  <c r="J268" i="25"/>
  <c r="I268" i="25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M262" i="25"/>
  <c r="J262" i="25"/>
  <c r="K262" i="25" s="1"/>
  <c r="I262" i="25"/>
  <c r="J261" i="25"/>
  <c r="K261" i="25" s="1"/>
  <c r="I261" i="25"/>
  <c r="M261" i="25" s="1"/>
  <c r="M260" i="25"/>
  <c r="K260" i="25"/>
  <c r="J260" i="25"/>
  <c r="I260" i="25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M254" i="25"/>
  <c r="J254" i="25"/>
  <c r="K254" i="25" s="1"/>
  <c r="I254" i="25"/>
  <c r="J253" i="25"/>
  <c r="K253" i="25" s="1"/>
  <c r="I253" i="25"/>
  <c r="M253" i="25" s="1"/>
  <c r="M252" i="25"/>
  <c r="K252" i="25"/>
  <c r="J252" i="25"/>
  <c r="I252" i="25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M246" i="25"/>
  <c r="J246" i="25"/>
  <c r="K246" i="25" s="1"/>
  <c r="I246" i="25"/>
  <c r="J245" i="25"/>
  <c r="K245" i="25" s="1"/>
  <c r="I245" i="25"/>
  <c r="M245" i="25" s="1"/>
  <c r="M244" i="25"/>
  <c r="K244" i="25"/>
  <c r="J244" i="25"/>
  <c r="I244" i="25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M238" i="25"/>
  <c r="J238" i="25"/>
  <c r="K238" i="25" s="1"/>
  <c r="I238" i="25"/>
  <c r="J237" i="25"/>
  <c r="K237" i="25" s="1"/>
  <c r="I237" i="25"/>
  <c r="M237" i="25" s="1"/>
  <c r="M236" i="25"/>
  <c r="K236" i="25"/>
  <c r="J236" i="25"/>
  <c r="I236" i="25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M230" i="25"/>
  <c r="J230" i="25"/>
  <c r="K230" i="25" s="1"/>
  <c r="I230" i="25"/>
  <c r="J229" i="25"/>
  <c r="K229" i="25" s="1"/>
  <c r="I229" i="25"/>
  <c r="M229" i="25" s="1"/>
  <c r="M228" i="25"/>
  <c r="K228" i="25"/>
  <c r="J228" i="25"/>
  <c r="I228" i="25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M222" i="25"/>
  <c r="J222" i="25"/>
  <c r="K222" i="25" s="1"/>
  <c r="I222" i="25"/>
  <c r="J221" i="25"/>
  <c r="K221" i="25" s="1"/>
  <c r="I221" i="25"/>
  <c r="M221" i="25" s="1"/>
  <c r="M220" i="25"/>
  <c r="K220" i="25"/>
  <c r="J220" i="25"/>
  <c r="I220" i="25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M214" i="25"/>
  <c r="J214" i="25"/>
  <c r="K214" i="25" s="1"/>
  <c r="I214" i="25"/>
  <c r="J213" i="25"/>
  <c r="K213" i="25" s="1"/>
  <c r="I213" i="25"/>
  <c r="M213" i="25" s="1"/>
  <c r="M212" i="25"/>
  <c r="K212" i="25"/>
  <c r="J212" i="25"/>
  <c r="I212" i="25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M206" i="25"/>
  <c r="J206" i="25"/>
  <c r="K206" i="25" s="1"/>
  <c r="I206" i="25"/>
  <c r="J205" i="25"/>
  <c r="K205" i="25" s="1"/>
  <c r="I205" i="25"/>
  <c r="M205" i="25" s="1"/>
  <c r="M204" i="25"/>
  <c r="K204" i="25"/>
  <c r="J204" i="25"/>
  <c r="I204" i="25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M198" i="25"/>
  <c r="J198" i="25"/>
  <c r="K198" i="25" s="1"/>
  <c r="I198" i="25"/>
  <c r="J197" i="25"/>
  <c r="K197" i="25" s="1"/>
  <c r="I197" i="25"/>
  <c r="M197" i="25" s="1"/>
  <c r="M196" i="25"/>
  <c r="K196" i="25"/>
  <c r="J196" i="25"/>
  <c r="I196" i="25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M190" i="25"/>
  <c r="J190" i="25"/>
  <c r="K190" i="25" s="1"/>
  <c r="I190" i="25"/>
  <c r="J189" i="25"/>
  <c r="K189" i="25" s="1"/>
  <c r="I189" i="25"/>
  <c r="M189" i="25" s="1"/>
  <c r="M188" i="25"/>
  <c r="K188" i="25"/>
  <c r="J188" i="25"/>
  <c r="I188" i="25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M182" i="25"/>
  <c r="J182" i="25"/>
  <c r="K182" i="25" s="1"/>
  <c r="I182" i="25"/>
  <c r="J181" i="25"/>
  <c r="K181" i="25" s="1"/>
  <c r="I181" i="25"/>
  <c r="M181" i="25" s="1"/>
  <c r="M180" i="25"/>
  <c r="K180" i="25"/>
  <c r="J180" i="25"/>
  <c r="I180" i="25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M174" i="25"/>
  <c r="J174" i="25"/>
  <c r="K174" i="25" s="1"/>
  <c r="I174" i="25"/>
  <c r="J173" i="25"/>
  <c r="K173" i="25" s="1"/>
  <c r="I173" i="25"/>
  <c r="M173" i="25" s="1"/>
  <c r="M172" i="25"/>
  <c r="K172" i="25"/>
  <c r="J172" i="25"/>
  <c r="I172" i="25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M166" i="25"/>
  <c r="J166" i="25"/>
  <c r="K166" i="25" s="1"/>
  <c r="I166" i="25"/>
  <c r="J165" i="25"/>
  <c r="K165" i="25" s="1"/>
  <c r="I165" i="25"/>
  <c r="M165" i="25" s="1"/>
  <c r="M164" i="25"/>
  <c r="K164" i="25"/>
  <c r="J164" i="25"/>
  <c r="I164" i="25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M158" i="25"/>
  <c r="J158" i="25"/>
  <c r="K158" i="25" s="1"/>
  <c r="I158" i="25"/>
  <c r="J157" i="25"/>
  <c r="K157" i="25" s="1"/>
  <c r="I157" i="25"/>
  <c r="M157" i="25" s="1"/>
  <c r="M156" i="25"/>
  <c r="K156" i="25"/>
  <c r="J156" i="25"/>
  <c r="I156" i="25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M150" i="25"/>
  <c r="J150" i="25"/>
  <c r="K150" i="25" s="1"/>
  <c r="I150" i="25"/>
  <c r="J149" i="25"/>
  <c r="K149" i="25" s="1"/>
  <c r="I149" i="25"/>
  <c r="M149" i="25" s="1"/>
  <c r="M148" i="25"/>
  <c r="K148" i="25"/>
  <c r="J148" i="25"/>
  <c r="I148" i="25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M142" i="25"/>
  <c r="J142" i="25"/>
  <c r="K142" i="25" s="1"/>
  <c r="I142" i="25"/>
  <c r="J141" i="25"/>
  <c r="K141" i="25" s="1"/>
  <c r="I141" i="25"/>
  <c r="M141" i="25" s="1"/>
  <c r="M140" i="25"/>
  <c r="K140" i="25"/>
  <c r="J140" i="25"/>
  <c r="I140" i="25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M135" i="25"/>
  <c r="K135" i="25"/>
  <c r="J135" i="25"/>
  <c r="I135" i="25"/>
  <c r="J134" i="25"/>
  <c r="K134" i="25" s="1"/>
  <c r="I134" i="25"/>
  <c r="M134" i="25" s="1"/>
  <c r="M133" i="25"/>
  <c r="K133" i="25"/>
  <c r="J133" i="25"/>
  <c r="I133" i="25"/>
  <c r="J132" i="25"/>
  <c r="K132" i="25" s="1"/>
  <c r="I132" i="25"/>
  <c r="M132" i="25" s="1"/>
  <c r="M131" i="25"/>
  <c r="K131" i="25"/>
  <c r="J131" i="25"/>
  <c r="I131" i="25"/>
  <c r="J130" i="25"/>
  <c r="K130" i="25" s="1"/>
  <c r="I130" i="25"/>
  <c r="M130" i="25" s="1"/>
  <c r="M129" i="25"/>
  <c r="K129" i="25"/>
  <c r="J129" i="25"/>
  <c r="I129" i="25"/>
  <c r="J128" i="25"/>
  <c r="K128" i="25" s="1"/>
  <c r="I128" i="25"/>
  <c r="M128" i="25" s="1"/>
  <c r="M127" i="25"/>
  <c r="K127" i="25"/>
  <c r="J127" i="25"/>
  <c r="I127" i="25"/>
  <c r="J126" i="25"/>
  <c r="K126" i="25" s="1"/>
  <c r="I126" i="25"/>
  <c r="M126" i="25" s="1"/>
  <c r="M125" i="25"/>
  <c r="K125" i="25"/>
  <c r="J125" i="25"/>
  <c r="I125" i="25"/>
  <c r="J124" i="25"/>
  <c r="K124" i="25" s="1"/>
  <c r="I124" i="25"/>
  <c r="M124" i="25" s="1"/>
  <c r="M123" i="25"/>
  <c r="K123" i="25"/>
  <c r="J123" i="25"/>
  <c r="I123" i="25"/>
  <c r="J122" i="25"/>
  <c r="K122" i="25" s="1"/>
  <c r="I122" i="25"/>
  <c r="M122" i="25" s="1"/>
  <c r="M121" i="25"/>
  <c r="K121" i="25"/>
  <c r="J121" i="25"/>
  <c r="I121" i="25"/>
  <c r="J120" i="25"/>
  <c r="K120" i="25" s="1"/>
  <c r="I120" i="25"/>
  <c r="M120" i="25" s="1"/>
  <c r="M119" i="25"/>
  <c r="K119" i="25"/>
  <c r="J119" i="25"/>
  <c r="I119" i="25"/>
  <c r="J118" i="25"/>
  <c r="K118" i="25" s="1"/>
  <c r="I118" i="25"/>
  <c r="M118" i="25" s="1"/>
  <c r="M117" i="25"/>
  <c r="K117" i="25"/>
  <c r="J117" i="25"/>
  <c r="I117" i="25"/>
  <c r="J116" i="25"/>
  <c r="K116" i="25" s="1"/>
  <c r="I116" i="25"/>
  <c r="M116" i="25" s="1"/>
  <c r="M115" i="25"/>
  <c r="K115" i="25"/>
  <c r="J115" i="25"/>
  <c r="I115" i="25"/>
  <c r="J114" i="25"/>
  <c r="K114" i="25" s="1"/>
  <c r="I114" i="25"/>
  <c r="M114" i="25" s="1"/>
  <c r="M113" i="25"/>
  <c r="K113" i="25"/>
  <c r="J113" i="25"/>
  <c r="I113" i="25"/>
  <c r="J112" i="25"/>
  <c r="K112" i="25" s="1"/>
  <c r="I112" i="25"/>
  <c r="M112" i="25" s="1"/>
  <c r="M111" i="25"/>
  <c r="K111" i="25"/>
  <c r="J111" i="25"/>
  <c r="I111" i="25"/>
  <c r="J110" i="25"/>
  <c r="K110" i="25" s="1"/>
  <c r="I110" i="25"/>
  <c r="M110" i="25" s="1"/>
  <c r="M109" i="25"/>
  <c r="K109" i="25"/>
  <c r="J109" i="25"/>
  <c r="I109" i="25"/>
  <c r="J108" i="25"/>
  <c r="K108" i="25" s="1"/>
  <c r="I108" i="25"/>
  <c r="M108" i="25" s="1"/>
  <c r="M107" i="25"/>
  <c r="K107" i="25"/>
  <c r="J107" i="25"/>
  <c r="I107" i="25"/>
  <c r="J106" i="25"/>
  <c r="K106" i="25" s="1"/>
  <c r="I106" i="25"/>
  <c r="M106" i="25" s="1"/>
  <c r="M105" i="25"/>
  <c r="K105" i="25"/>
  <c r="J105" i="25"/>
  <c r="I105" i="25"/>
  <c r="J104" i="25"/>
  <c r="K104" i="25" s="1"/>
  <c r="I104" i="25"/>
  <c r="M104" i="25" s="1"/>
  <c r="M103" i="25"/>
  <c r="K103" i="25"/>
  <c r="J103" i="25"/>
  <c r="I103" i="25"/>
  <c r="J102" i="25"/>
  <c r="K102" i="25" s="1"/>
  <c r="I102" i="25"/>
  <c r="M102" i="25" s="1"/>
  <c r="M101" i="25"/>
  <c r="K101" i="25"/>
  <c r="J101" i="25"/>
  <c r="I101" i="25"/>
  <c r="J100" i="25"/>
  <c r="K100" i="25" s="1"/>
  <c r="I100" i="25"/>
  <c r="M100" i="25" s="1"/>
  <c r="M99" i="25"/>
  <c r="K99" i="25"/>
  <c r="J99" i="25"/>
  <c r="I99" i="25"/>
  <c r="J98" i="25"/>
  <c r="K98" i="25" s="1"/>
  <c r="I98" i="25"/>
  <c r="M98" i="25" s="1"/>
  <c r="M97" i="25"/>
  <c r="K97" i="25"/>
  <c r="J97" i="25"/>
  <c r="I97" i="25"/>
  <c r="J96" i="25"/>
  <c r="K96" i="25" s="1"/>
  <c r="I96" i="25"/>
  <c r="M96" i="25" s="1"/>
  <c r="M95" i="25"/>
  <c r="K95" i="25"/>
  <c r="J95" i="25"/>
  <c r="I95" i="25"/>
  <c r="J94" i="25"/>
  <c r="K94" i="25" s="1"/>
  <c r="I94" i="25"/>
  <c r="M94" i="25" s="1"/>
  <c r="M93" i="25"/>
  <c r="K93" i="25"/>
  <c r="J93" i="25"/>
  <c r="I93" i="25"/>
  <c r="J92" i="25"/>
  <c r="K92" i="25" s="1"/>
  <c r="I92" i="25"/>
  <c r="M92" i="25" s="1"/>
  <c r="M91" i="25"/>
  <c r="K91" i="25"/>
  <c r="J91" i="25"/>
  <c r="I91" i="25"/>
  <c r="J90" i="25"/>
  <c r="K90" i="25" s="1"/>
  <c r="I90" i="25"/>
  <c r="M90" i="25" s="1"/>
  <c r="M89" i="25"/>
  <c r="K89" i="25"/>
  <c r="J89" i="25"/>
  <c r="I89" i="25"/>
  <c r="J88" i="25"/>
  <c r="K88" i="25" s="1"/>
  <c r="I88" i="25"/>
  <c r="M88" i="25" s="1"/>
  <c r="M87" i="25"/>
  <c r="K87" i="25"/>
  <c r="J87" i="25"/>
  <c r="I87" i="25"/>
  <c r="J86" i="25"/>
  <c r="K86" i="25" s="1"/>
  <c r="I86" i="25"/>
  <c r="M86" i="25" s="1"/>
  <c r="M85" i="25"/>
  <c r="K85" i="25"/>
  <c r="J85" i="25"/>
  <c r="I85" i="25"/>
  <c r="J84" i="25"/>
  <c r="K84" i="25" s="1"/>
  <c r="I84" i="25"/>
  <c r="M84" i="25" s="1"/>
  <c r="M83" i="25"/>
  <c r="K83" i="25"/>
  <c r="J83" i="25"/>
  <c r="I83" i="25"/>
  <c r="J82" i="25"/>
  <c r="K82" i="25" s="1"/>
  <c r="I82" i="25"/>
  <c r="M82" i="25" s="1"/>
  <c r="M81" i="25"/>
  <c r="K81" i="25"/>
  <c r="J81" i="25"/>
  <c r="I81" i="25"/>
  <c r="J80" i="25"/>
  <c r="K80" i="25" s="1"/>
  <c r="I80" i="25"/>
  <c r="M80" i="25" s="1"/>
  <c r="M79" i="25"/>
  <c r="K79" i="25"/>
  <c r="J79" i="25"/>
  <c r="I79" i="25"/>
  <c r="J78" i="25"/>
  <c r="K78" i="25" s="1"/>
  <c r="I78" i="25"/>
  <c r="M78" i="25" s="1"/>
  <c r="M77" i="25"/>
  <c r="K77" i="25"/>
  <c r="J77" i="25"/>
  <c r="I77" i="25"/>
  <c r="J76" i="25"/>
  <c r="K76" i="25" s="1"/>
  <c r="I76" i="25"/>
  <c r="M76" i="25" s="1"/>
  <c r="M75" i="25"/>
  <c r="K75" i="25"/>
  <c r="J75" i="25"/>
  <c r="I75" i="25"/>
  <c r="J74" i="25"/>
  <c r="K74" i="25" s="1"/>
  <c r="I74" i="25"/>
  <c r="M74" i="25" s="1"/>
  <c r="M73" i="25"/>
  <c r="K73" i="25"/>
  <c r="J73" i="25"/>
  <c r="I73" i="25"/>
  <c r="J72" i="25"/>
  <c r="K72" i="25" s="1"/>
  <c r="I72" i="25"/>
  <c r="M72" i="25" s="1"/>
  <c r="M71" i="25"/>
  <c r="K71" i="25"/>
  <c r="J71" i="25"/>
  <c r="I71" i="25"/>
  <c r="J70" i="25"/>
  <c r="K70" i="25" s="1"/>
  <c r="I70" i="25"/>
  <c r="M70" i="25" s="1"/>
  <c r="M69" i="25"/>
  <c r="K69" i="25"/>
  <c r="J69" i="25"/>
  <c r="I69" i="25"/>
  <c r="J68" i="25"/>
  <c r="K68" i="25" s="1"/>
  <c r="I68" i="25"/>
  <c r="M68" i="25" s="1"/>
  <c r="M67" i="25"/>
  <c r="K67" i="25"/>
  <c r="J67" i="25"/>
  <c r="I67" i="25"/>
  <c r="J66" i="25"/>
  <c r="K66" i="25" s="1"/>
  <c r="I66" i="25"/>
  <c r="M66" i="25" s="1"/>
  <c r="M65" i="25"/>
  <c r="K65" i="25"/>
  <c r="J65" i="25"/>
  <c r="I65" i="25"/>
  <c r="B65" i="25"/>
  <c r="J64" i="25"/>
  <c r="K64" i="25" s="1"/>
  <c r="I64" i="25"/>
  <c r="M64" i="25" s="1"/>
  <c r="B64" i="25"/>
  <c r="M63" i="25"/>
  <c r="J63" i="25"/>
  <c r="K63" i="25" s="1"/>
  <c r="I63" i="25"/>
  <c r="B63" i="25"/>
  <c r="M62" i="25"/>
  <c r="J62" i="25"/>
  <c r="K62" i="25" s="1"/>
  <c r="I62" i="25"/>
  <c r="B62" i="25"/>
  <c r="J61" i="25"/>
  <c r="K61" i="25" s="1"/>
  <c r="I61" i="25"/>
  <c r="M61" i="25" s="1"/>
  <c r="B61" i="25"/>
  <c r="M60" i="25"/>
  <c r="K60" i="25"/>
  <c r="J60" i="25"/>
  <c r="I60" i="25"/>
  <c r="B60" i="25"/>
  <c r="J59" i="25"/>
  <c r="K59" i="25" s="1"/>
  <c r="I59" i="25"/>
  <c r="M59" i="25" s="1"/>
  <c r="B59" i="25"/>
  <c r="K58" i="25"/>
  <c r="J58" i="25"/>
  <c r="I58" i="25"/>
  <c r="M58" i="25" s="1"/>
  <c r="B58" i="25"/>
  <c r="M57" i="25"/>
  <c r="K57" i="25"/>
  <c r="J57" i="25"/>
  <c r="I57" i="25"/>
  <c r="B57" i="25"/>
  <c r="J56" i="25"/>
  <c r="K56" i="25" s="1"/>
  <c r="I56" i="25"/>
  <c r="M56" i="25" s="1"/>
  <c r="B56" i="25"/>
  <c r="M55" i="25"/>
  <c r="J55" i="25"/>
  <c r="K55" i="25" s="1"/>
  <c r="I55" i="25"/>
  <c r="B55" i="25"/>
  <c r="M54" i="25"/>
  <c r="K54" i="25"/>
  <c r="J54" i="25"/>
  <c r="I54" i="25"/>
  <c r="B54" i="25"/>
  <c r="J53" i="25"/>
  <c r="K53" i="25" s="1"/>
  <c r="I53" i="25"/>
  <c r="M53" i="25" s="1"/>
  <c r="B53" i="25"/>
  <c r="M52" i="25"/>
  <c r="K52" i="25"/>
  <c r="J52" i="25"/>
  <c r="I52" i="25"/>
  <c r="B52" i="25"/>
  <c r="K51" i="25"/>
  <c r="J51" i="25"/>
  <c r="I51" i="25"/>
  <c r="M51" i="25" s="1"/>
  <c r="B51" i="25"/>
  <c r="K50" i="25"/>
  <c r="J50" i="25"/>
  <c r="I50" i="25"/>
  <c r="M50" i="25" s="1"/>
  <c r="B50" i="25"/>
  <c r="M49" i="25"/>
  <c r="K49" i="25"/>
  <c r="J49" i="25"/>
  <c r="I49" i="25"/>
  <c r="B49" i="25"/>
  <c r="J48" i="25"/>
  <c r="K48" i="25" s="1"/>
  <c r="I48" i="25"/>
  <c r="M48" i="25" s="1"/>
  <c r="B48" i="25"/>
  <c r="M47" i="25"/>
  <c r="J47" i="25"/>
  <c r="K47" i="25" s="1"/>
  <c r="I47" i="25"/>
  <c r="B47" i="25"/>
  <c r="T46" i="25"/>
  <c r="R46" i="25"/>
  <c r="U46" i="25" s="1"/>
  <c r="M46" i="25"/>
  <c r="J46" i="25"/>
  <c r="K46" i="25" s="1"/>
  <c r="I46" i="25"/>
  <c r="B46" i="25"/>
  <c r="M45" i="25"/>
  <c r="K45" i="25"/>
  <c r="J45" i="25"/>
  <c r="I45" i="25"/>
  <c r="B45" i="25"/>
  <c r="J44" i="25"/>
  <c r="K44" i="25" s="1"/>
  <c r="I44" i="25"/>
  <c r="M44" i="25" s="1"/>
  <c r="B44" i="25"/>
  <c r="M43" i="25"/>
  <c r="K43" i="25"/>
  <c r="J43" i="25"/>
  <c r="I43" i="25"/>
  <c r="B43" i="25"/>
  <c r="K42" i="25"/>
  <c r="J42" i="25"/>
  <c r="I42" i="25"/>
  <c r="M42" i="25" s="1"/>
  <c r="B42" i="25"/>
  <c r="K41" i="25"/>
  <c r="J41" i="25"/>
  <c r="I41" i="25"/>
  <c r="M41" i="25" s="1"/>
  <c r="B41" i="25"/>
  <c r="M40" i="25"/>
  <c r="K40" i="25"/>
  <c r="J40" i="25"/>
  <c r="I40" i="25"/>
  <c r="B40" i="25"/>
  <c r="J39" i="25"/>
  <c r="K39" i="25" s="1"/>
  <c r="I39" i="25"/>
  <c r="M39" i="25" s="1"/>
  <c r="B39" i="25"/>
  <c r="M38" i="25"/>
  <c r="J38" i="25"/>
  <c r="K38" i="25" s="1"/>
  <c r="I38" i="25"/>
  <c r="B38" i="25"/>
  <c r="M37" i="25"/>
  <c r="A37" i="25" s="1"/>
  <c r="J37" i="25"/>
  <c r="K37" i="25" s="1"/>
  <c r="I37" i="25"/>
  <c r="B37" i="25"/>
  <c r="J36" i="25"/>
  <c r="K36" i="25" s="1"/>
  <c r="I36" i="25"/>
  <c r="M36" i="25" s="1"/>
  <c r="A36" i="25" s="1"/>
  <c r="B36" i="25"/>
  <c r="K35" i="25"/>
  <c r="J35" i="25"/>
  <c r="I35" i="25"/>
  <c r="M35" i="25" s="1"/>
  <c r="B35" i="25"/>
  <c r="A35" i="25"/>
  <c r="M34" i="25"/>
  <c r="A34" i="25" s="1"/>
  <c r="K34" i="25"/>
  <c r="J34" i="25"/>
  <c r="I34" i="25"/>
  <c r="B34" i="25"/>
  <c r="M33" i="25"/>
  <c r="A33" i="25" s="1"/>
  <c r="J33" i="25"/>
  <c r="K33" i="25" s="1"/>
  <c r="I33" i="25"/>
  <c r="B33" i="25"/>
  <c r="J32" i="25"/>
  <c r="K32" i="25" s="1"/>
  <c r="I32" i="25"/>
  <c r="M32" i="25" s="1"/>
  <c r="A32" i="25" s="1"/>
  <c r="B32" i="25"/>
  <c r="K31" i="25"/>
  <c r="J31" i="25"/>
  <c r="I31" i="25"/>
  <c r="M31" i="25" s="1"/>
  <c r="A31" i="25" s="1"/>
  <c r="B31" i="25"/>
  <c r="M30" i="25"/>
  <c r="A30" i="25" s="1"/>
  <c r="K30" i="25"/>
  <c r="J30" i="25"/>
  <c r="I30" i="25"/>
  <c r="B30" i="25"/>
  <c r="M29" i="25"/>
  <c r="A29" i="25" s="1"/>
  <c r="J29" i="25"/>
  <c r="K29" i="25" s="1"/>
  <c r="I29" i="25"/>
  <c r="B29" i="25"/>
  <c r="J28" i="25"/>
  <c r="K28" i="25" s="1"/>
  <c r="I28" i="25"/>
  <c r="M28" i="25" s="1"/>
  <c r="A28" i="25" s="1"/>
  <c r="B28" i="25"/>
  <c r="K27" i="25"/>
  <c r="J27" i="25"/>
  <c r="I27" i="25"/>
  <c r="M27" i="25" s="1"/>
  <c r="A27" i="25" s="1"/>
  <c r="B27" i="25"/>
  <c r="M26" i="25"/>
  <c r="A26" i="25" s="1"/>
  <c r="K26" i="25"/>
  <c r="J26" i="25"/>
  <c r="I26" i="25"/>
  <c r="B26" i="25"/>
  <c r="M25" i="25"/>
  <c r="A25" i="25" s="1"/>
  <c r="J25" i="25"/>
  <c r="K25" i="25" s="1"/>
  <c r="I25" i="25"/>
  <c r="B25" i="25"/>
  <c r="J24" i="25"/>
  <c r="K24" i="25" s="1"/>
  <c r="I24" i="25"/>
  <c r="M24" i="25" s="1"/>
  <c r="A24" i="25" s="1"/>
  <c r="B24" i="25"/>
  <c r="K23" i="25"/>
  <c r="J23" i="25"/>
  <c r="I23" i="25"/>
  <c r="M23" i="25" s="1"/>
  <c r="B23" i="25"/>
  <c r="A23" i="25"/>
  <c r="M22" i="25"/>
  <c r="A22" i="25" s="1"/>
  <c r="K22" i="25"/>
  <c r="J22" i="25"/>
  <c r="I22" i="25"/>
  <c r="B22" i="25"/>
  <c r="M21" i="25"/>
  <c r="A21" i="25" s="1"/>
  <c r="J21" i="25"/>
  <c r="K21" i="25" s="1"/>
  <c r="I21" i="25"/>
  <c r="B21" i="25"/>
  <c r="K20" i="25"/>
  <c r="J20" i="25"/>
  <c r="I20" i="25"/>
  <c r="M20" i="25" s="1"/>
  <c r="A20" i="25" s="1"/>
  <c r="B20" i="25"/>
  <c r="K19" i="25"/>
  <c r="J19" i="25"/>
  <c r="I19" i="25"/>
  <c r="M19" i="25" s="1"/>
  <c r="A19" i="25" s="1"/>
  <c r="B19" i="25"/>
  <c r="M18" i="25"/>
  <c r="K18" i="25"/>
  <c r="J18" i="25"/>
  <c r="I18" i="25"/>
  <c r="B18" i="25"/>
  <c r="A18" i="25"/>
  <c r="M17" i="25"/>
  <c r="A17" i="25" s="1"/>
  <c r="K17" i="25"/>
  <c r="J17" i="25"/>
  <c r="I17" i="25"/>
  <c r="B17" i="25"/>
  <c r="M16" i="25"/>
  <c r="A16" i="25" s="1"/>
  <c r="J16" i="25"/>
  <c r="K16" i="25" s="1"/>
  <c r="I16" i="25"/>
  <c r="B16" i="25"/>
  <c r="J15" i="25"/>
  <c r="K15" i="25" s="1"/>
  <c r="I15" i="25"/>
  <c r="M15" i="25" s="1"/>
  <c r="B15" i="25"/>
  <c r="A15" i="25"/>
  <c r="AI14" i="25"/>
  <c r="K14" i="25"/>
  <c r="J14" i="25"/>
  <c r="I14" i="25"/>
  <c r="M14" i="25" s="1"/>
  <c r="A14" i="25" s="1"/>
  <c r="B14" i="25"/>
  <c r="AI13" i="25"/>
  <c r="M13" i="25"/>
  <c r="J13" i="25"/>
  <c r="K13" i="25" s="1"/>
  <c r="I13" i="25"/>
  <c r="B13" i="25"/>
  <c r="A13" i="25"/>
  <c r="AI12" i="25"/>
  <c r="M12" i="25"/>
  <c r="A12" i="25" s="1"/>
  <c r="K12" i="25"/>
  <c r="J12" i="25"/>
  <c r="I12" i="25"/>
  <c r="B12" i="25"/>
  <c r="M11" i="25"/>
  <c r="A11" i="25" s="1"/>
  <c r="K11" i="25"/>
  <c r="J11" i="25"/>
  <c r="I11" i="25"/>
  <c r="B11" i="25"/>
  <c r="J10" i="25"/>
  <c r="K10" i="25" s="1"/>
  <c r="I10" i="25"/>
  <c r="M10" i="25" s="1"/>
  <c r="A10" i="25" s="1"/>
  <c r="B10" i="25"/>
  <c r="M8" i="25"/>
  <c r="A8" i="25" s="1"/>
  <c r="J8" i="25"/>
  <c r="K8" i="25" s="1"/>
  <c r="I8" i="25"/>
  <c r="B8" i="25"/>
  <c r="M7" i="25"/>
  <c r="K7" i="25"/>
  <c r="J7" i="25"/>
  <c r="I7" i="25"/>
  <c r="B7" i="25"/>
  <c r="A7" i="25"/>
  <c r="M6" i="25"/>
  <c r="A6" i="25" s="1"/>
  <c r="K6" i="25"/>
  <c r="J6" i="25"/>
  <c r="I6" i="25"/>
  <c r="B6" i="25"/>
  <c r="K2" i="25"/>
  <c r="L8" i="25" s="1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K294" i="24"/>
  <c r="J294" i="24"/>
  <c r="I294" i="24"/>
  <c r="M294" i="24" s="1"/>
  <c r="J293" i="24"/>
  <c r="K293" i="24" s="1"/>
  <c r="I293" i="24"/>
  <c r="M293" i="24" s="1"/>
  <c r="M292" i="24"/>
  <c r="J292" i="24"/>
  <c r="K292" i="24" s="1"/>
  <c r="I292" i="24"/>
  <c r="J291" i="24"/>
  <c r="K291" i="24" s="1"/>
  <c r="I291" i="24"/>
  <c r="M291" i="24" s="1"/>
  <c r="M290" i="24"/>
  <c r="K290" i="24"/>
  <c r="J290" i="24"/>
  <c r="I290" i="24"/>
  <c r="J289" i="24"/>
  <c r="K289" i="24" s="1"/>
  <c r="I289" i="24"/>
  <c r="M289" i="24" s="1"/>
  <c r="J288" i="24"/>
  <c r="K288" i="24" s="1"/>
  <c r="I288" i="24"/>
  <c r="M288" i="24" s="1"/>
  <c r="J287" i="24"/>
  <c r="K287" i="24" s="1"/>
  <c r="I287" i="24"/>
  <c r="M287" i="24" s="1"/>
  <c r="M286" i="24"/>
  <c r="J286" i="24"/>
  <c r="K286" i="24" s="1"/>
  <c r="I286" i="24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K282" i="24"/>
  <c r="J282" i="24"/>
  <c r="I282" i="24"/>
  <c r="M282" i="24" s="1"/>
  <c r="J281" i="24"/>
  <c r="K281" i="24" s="1"/>
  <c r="I281" i="24"/>
  <c r="M281" i="24" s="1"/>
  <c r="J280" i="24"/>
  <c r="K280" i="24" s="1"/>
  <c r="I280" i="24"/>
  <c r="M280" i="24" s="1"/>
  <c r="J279" i="24"/>
  <c r="K279" i="24" s="1"/>
  <c r="I279" i="24"/>
  <c r="M279" i="24" s="1"/>
  <c r="M278" i="24"/>
  <c r="J278" i="24"/>
  <c r="K278" i="24" s="1"/>
  <c r="I278" i="24"/>
  <c r="K277" i="24"/>
  <c r="J277" i="24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K268" i="24"/>
  <c r="J268" i="24"/>
  <c r="I268" i="24"/>
  <c r="M268" i="24" s="1"/>
  <c r="J267" i="24"/>
  <c r="K267" i="24" s="1"/>
  <c r="I267" i="24"/>
  <c r="M267" i="24" s="1"/>
  <c r="J266" i="24"/>
  <c r="K266" i="24" s="1"/>
  <c r="I266" i="24"/>
  <c r="M266" i="24" s="1"/>
  <c r="J265" i="24"/>
  <c r="K265" i="24" s="1"/>
  <c r="I265" i="24"/>
  <c r="M265" i="24" s="1"/>
  <c r="M264" i="24"/>
  <c r="J264" i="24"/>
  <c r="K264" i="24" s="1"/>
  <c r="I264" i="24"/>
  <c r="J263" i="24"/>
  <c r="K263" i="24" s="1"/>
  <c r="I263" i="24"/>
  <c r="M263" i="24" s="1"/>
  <c r="K262" i="24"/>
  <c r="J262" i="24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M258" i="24"/>
  <c r="J258" i="24"/>
  <c r="K258" i="24" s="1"/>
  <c r="I258" i="24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M248" i="24"/>
  <c r="J248" i="24"/>
  <c r="K248" i="24" s="1"/>
  <c r="I248" i="24"/>
  <c r="J247" i="24"/>
  <c r="K247" i="24" s="1"/>
  <c r="I247" i="24"/>
  <c r="M247" i="24" s="1"/>
  <c r="K246" i="24"/>
  <c r="J246" i="24"/>
  <c r="I246" i="24"/>
  <c r="M246" i="24" s="1"/>
  <c r="J245" i="24"/>
  <c r="K245" i="24" s="1"/>
  <c r="I245" i="24"/>
  <c r="M245" i="24" s="1"/>
  <c r="M244" i="24"/>
  <c r="J244" i="24"/>
  <c r="K244" i="24" s="1"/>
  <c r="I244" i="24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K239" i="24"/>
  <c r="J239" i="24"/>
  <c r="I239" i="24"/>
  <c r="M239" i="24" s="1"/>
  <c r="J238" i="24"/>
  <c r="K238" i="24" s="1"/>
  <c r="I238" i="24"/>
  <c r="M238" i="24" s="1"/>
  <c r="J237" i="24"/>
  <c r="K237" i="24" s="1"/>
  <c r="I237" i="24"/>
  <c r="M237" i="24" s="1"/>
  <c r="M236" i="24"/>
  <c r="K236" i="24"/>
  <c r="J236" i="24"/>
  <c r="I236" i="24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K230" i="24"/>
  <c r="J230" i="24"/>
  <c r="I230" i="24"/>
  <c r="M230" i="24" s="1"/>
  <c r="J229" i="24"/>
  <c r="K229" i="24" s="1"/>
  <c r="I229" i="24"/>
  <c r="M229" i="24" s="1"/>
  <c r="M228" i="24"/>
  <c r="J228" i="24"/>
  <c r="K228" i="24" s="1"/>
  <c r="I228" i="24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M222" i="24"/>
  <c r="J222" i="24"/>
  <c r="K222" i="24" s="1"/>
  <c r="I222" i="24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K218" i="24"/>
  <c r="J218" i="24"/>
  <c r="I218" i="24"/>
  <c r="M218" i="24" s="1"/>
  <c r="J217" i="24"/>
  <c r="K217" i="24" s="1"/>
  <c r="I217" i="24"/>
  <c r="M217" i="24" s="1"/>
  <c r="J216" i="24"/>
  <c r="K216" i="24" s="1"/>
  <c r="I216" i="24"/>
  <c r="M216" i="24" s="1"/>
  <c r="J215" i="24"/>
  <c r="K215" i="24" s="1"/>
  <c r="I215" i="24"/>
  <c r="M215" i="24" s="1"/>
  <c r="J214" i="24"/>
  <c r="K214" i="24" s="1"/>
  <c r="I214" i="24"/>
  <c r="M214" i="24" s="1"/>
  <c r="K213" i="24"/>
  <c r="J213" i="24"/>
  <c r="I213" i="24"/>
  <c r="M213" i="24" s="1"/>
  <c r="M212" i="24"/>
  <c r="K212" i="24"/>
  <c r="J212" i="24"/>
  <c r="I212" i="24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K205" i="24"/>
  <c r="J205" i="24"/>
  <c r="I205" i="24"/>
  <c r="M205" i="24" s="1"/>
  <c r="K204" i="24"/>
  <c r="J204" i="24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J197" i="24"/>
  <c r="K197" i="24" s="1"/>
  <c r="I197" i="24"/>
  <c r="M197" i="24" s="1"/>
  <c r="M196" i="24"/>
  <c r="J196" i="24"/>
  <c r="K196" i="24" s="1"/>
  <c r="I196" i="24"/>
  <c r="J195" i="24"/>
  <c r="K195" i="24" s="1"/>
  <c r="I195" i="24"/>
  <c r="M195" i="24" s="1"/>
  <c r="M194" i="24"/>
  <c r="J194" i="24"/>
  <c r="K194" i="24" s="1"/>
  <c r="I194" i="24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M190" i="24"/>
  <c r="J190" i="24"/>
  <c r="K190" i="24" s="1"/>
  <c r="I190" i="24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J185" i="24"/>
  <c r="K185" i="24" s="1"/>
  <c r="I185" i="24"/>
  <c r="M185" i="24" s="1"/>
  <c r="M184" i="24"/>
  <c r="J184" i="24"/>
  <c r="K184" i="24" s="1"/>
  <c r="I184" i="24"/>
  <c r="J183" i="24"/>
  <c r="K183" i="24" s="1"/>
  <c r="I183" i="24"/>
  <c r="M183" i="24" s="1"/>
  <c r="K182" i="24"/>
  <c r="J182" i="24"/>
  <c r="I182" i="24"/>
  <c r="M182" i="24" s="1"/>
  <c r="K181" i="24"/>
  <c r="J181" i="24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K175" i="24"/>
  <c r="J175" i="24"/>
  <c r="I175" i="24"/>
  <c r="M175" i="24" s="1"/>
  <c r="J174" i="24"/>
  <c r="K174" i="24" s="1"/>
  <c r="I174" i="24"/>
  <c r="M174" i="24" s="1"/>
  <c r="J173" i="24"/>
  <c r="K173" i="24" s="1"/>
  <c r="I173" i="24"/>
  <c r="M173" i="24" s="1"/>
  <c r="K172" i="24"/>
  <c r="J172" i="24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J167" i="24"/>
  <c r="K167" i="24" s="1"/>
  <c r="I167" i="24"/>
  <c r="M167" i="24" s="1"/>
  <c r="K166" i="24"/>
  <c r="J166" i="24"/>
  <c r="I166" i="24"/>
  <c r="M166" i="24" s="1"/>
  <c r="K165" i="24"/>
  <c r="J165" i="24"/>
  <c r="I165" i="24"/>
  <c r="M165" i="24" s="1"/>
  <c r="J164" i="24"/>
  <c r="K164" i="24" s="1"/>
  <c r="I164" i="24"/>
  <c r="M164" i="24" s="1"/>
  <c r="J163" i="24"/>
  <c r="K163" i="24" s="1"/>
  <c r="I163" i="24"/>
  <c r="M163" i="24" s="1"/>
  <c r="M162" i="24"/>
  <c r="K162" i="24"/>
  <c r="J162" i="24"/>
  <c r="I162" i="24"/>
  <c r="J161" i="24"/>
  <c r="K161" i="24" s="1"/>
  <c r="I161" i="24"/>
  <c r="M161" i="24" s="1"/>
  <c r="J160" i="24"/>
  <c r="K160" i="24" s="1"/>
  <c r="I160" i="24"/>
  <c r="M160" i="24" s="1"/>
  <c r="K159" i="24"/>
  <c r="J159" i="24"/>
  <c r="I159" i="24"/>
  <c r="M159" i="24" s="1"/>
  <c r="J158" i="24"/>
  <c r="K158" i="24" s="1"/>
  <c r="I158" i="24"/>
  <c r="M158" i="24" s="1"/>
  <c r="J157" i="24"/>
  <c r="K157" i="24" s="1"/>
  <c r="I157" i="24"/>
  <c r="M157" i="24" s="1"/>
  <c r="K156" i="24"/>
  <c r="J156" i="24"/>
  <c r="I156" i="24"/>
  <c r="M156" i="24" s="1"/>
  <c r="J155" i="24"/>
  <c r="K155" i="24" s="1"/>
  <c r="I155" i="24"/>
  <c r="M155" i="24" s="1"/>
  <c r="K154" i="24"/>
  <c r="J154" i="24"/>
  <c r="I154" i="24"/>
  <c r="M154" i="24" s="1"/>
  <c r="K153" i="24"/>
  <c r="J153" i="24"/>
  <c r="I153" i="24"/>
  <c r="M153" i="24" s="1"/>
  <c r="J152" i="24"/>
  <c r="K152" i="24" s="1"/>
  <c r="I152" i="24"/>
  <c r="M152" i="24" s="1"/>
  <c r="J151" i="24"/>
  <c r="K151" i="24" s="1"/>
  <c r="I151" i="24"/>
  <c r="M151" i="24" s="1"/>
  <c r="M150" i="24"/>
  <c r="K150" i="24"/>
  <c r="J150" i="24"/>
  <c r="I150" i="24"/>
  <c r="J149" i="24"/>
  <c r="K149" i="24" s="1"/>
  <c r="I149" i="24"/>
  <c r="M149" i="24" s="1"/>
  <c r="K148" i="24"/>
  <c r="J148" i="24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K141" i="24"/>
  <c r="J141" i="24"/>
  <c r="I141" i="24"/>
  <c r="M141" i="24" s="1"/>
  <c r="J140" i="24"/>
  <c r="K140" i="24" s="1"/>
  <c r="I140" i="24"/>
  <c r="M140" i="24" s="1"/>
  <c r="J139" i="24"/>
  <c r="K139" i="24" s="1"/>
  <c r="I139" i="24"/>
  <c r="M139" i="24" s="1"/>
  <c r="J138" i="24"/>
  <c r="K138" i="24" s="1"/>
  <c r="I138" i="24"/>
  <c r="M138" i="24" s="1"/>
  <c r="J137" i="24"/>
  <c r="K137" i="24" s="1"/>
  <c r="I137" i="24"/>
  <c r="M137" i="24" s="1"/>
  <c r="M136" i="24"/>
  <c r="J136" i="24"/>
  <c r="K136" i="24" s="1"/>
  <c r="I136" i="24"/>
  <c r="K135" i="24"/>
  <c r="J135" i="24"/>
  <c r="I135" i="24"/>
  <c r="M135" i="24" s="1"/>
  <c r="J134" i="24"/>
  <c r="K134" i="24" s="1"/>
  <c r="I134" i="24"/>
  <c r="M134" i="24" s="1"/>
  <c r="J133" i="24"/>
  <c r="K133" i="24" s="1"/>
  <c r="I133" i="24"/>
  <c r="M133" i="24" s="1"/>
  <c r="J132" i="24"/>
  <c r="K132" i="24" s="1"/>
  <c r="I132" i="24"/>
  <c r="M132" i="24" s="1"/>
  <c r="J131" i="24"/>
  <c r="K131" i="24" s="1"/>
  <c r="I131" i="24"/>
  <c r="M131" i="24" s="1"/>
  <c r="J130" i="24"/>
  <c r="K130" i="24" s="1"/>
  <c r="I130" i="24"/>
  <c r="M130" i="24" s="1"/>
  <c r="J129" i="24"/>
  <c r="K129" i="24" s="1"/>
  <c r="I129" i="24"/>
  <c r="M129" i="24" s="1"/>
  <c r="M128" i="24"/>
  <c r="J128" i="24"/>
  <c r="K128" i="24" s="1"/>
  <c r="I128" i="24"/>
  <c r="K127" i="24"/>
  <c r="J127" i="24"/>
  <c r="I127" i="24"/>
  <c r="M127" i="24" s="1"/>
  <c r="J126" i="24"/>
  <c r="K126" i="24" s="1"/>
  <c r="I126" i="24"/>
  <c r="M126" i="24" s="1"/>
  <c r="J125" i="24"/>
  <c r="K125" i="24" s="1"/>
  <c r="I125" i="24"/>
  <c r="M125" i="24" s="1"/>
  <c r="J124" i="24"/>
  <c r="K124" i="24" s="1"/>
  <c r="I124" i="24"/>
  <c r="M124" i="24" s="1"/>
  <c r="J123" i="24"/>
  <c r="K123" i="24" s="1"/>
  <c r="I123" i="24"/>
  <c r="M123" i="24" s="1"/>
  <c r="M122" i="24"/>
  <c r="J122" i="24"/>
  <c r="K122" i="24" s="1"/>
  <c r="I122" i="24"/>
  <c r="J121" i="24"/>
  <c r="K121" i="24" s="1"/>
  <c r="I121" i="24"/>
  <c r="M121" i="24" s="1"/>
  <c r="J120" i="24"/>
  <c r="K120" i="24" s="1"/>
  <c r="I120" i="24"/>
  <c r="M120" i="24" s="1"/>
  <c r="K119" i="24"/>
  <c r="J119" i="24"/>
  <c r="I119" i="24"/>
  <c r="M119" i="24" s="1"/>
  <c r="J118" i="24"/>
  <c r="K118" i="24" s="1"/>
  <c r="I118" i="24"/>
  <c r="M118" i="24" s="1"/>
  <c r="J117" i="24"/>
  <c r="K117" i="24" s="1"/>
  <c r="I117" i="24"/>
  <c r="M117" i="24" s="1"/>
  <c r="J116" i="24"/>
  <c r="K116" i="24" s="1"/>
  <c r="I116" i="24"/>
  <c r="M116" i="24" s="1"/>
  <c r="J115" i="24"/>
  <c r="K115" i="24" s="1"/>
  <c r="I115" i="24"/>
  <c r="M115" i="24" s="1"/>
  <c r="M114" i="24"/>
  <c r="J114" i="24"/>
  <c r="K114" i="24" s="1"/>
  <c r="I114" i="24"/>
  <c r="J113" i="24"/>
  <c r="K113" i="24" s="1"/>
  <c r="I113" i="24"/>
  <c r="M113" i="24" s="1"/>
  <c r="M112" i="24"/>
  <c r="J112" i="24"/>
  <c r="K112" i="24" s="1"/>
  <c r="I112" i="24"/>
  <c r="K111" i="24"/>
  <c r="J111" i="24"/>
  <c r="I111" i="24"/>
  <c r="M111" i="24" s="1"/>
  <c r="J110" i="24"/>
  <c r="K110" i="24" s="1"/>
  <c r="I110" i="24"/>
  <c r="M110" i="24" s="1"/>
  <c r="J109" i="24"/>
  <c r="K109" i="24" s="1"/>
  <c r="I109" i="24"/>
  <c r="M109" i="24" s="1"/>
  <c r="J108" i="24"/>
  <c r="K108" i="24" s="1"/>
  <c r="I108" i="24"/>
  <c r="M108" i="24" s="1"/>
  <c r="J107" i="24"/>
  <c r="K107" i="24" s="1"/>
  <c r="I107" i="24"/>
  <c r="M107" i="24" s="1"/>
  <c r="J106" i="24"/>
  <c r="K106" i="24" s="1"/>
  <c r="I106" i="24"/>
  <c r="M106" i="24" s="1"/>
  <c r="J105" i="24"/>
  <c r="K105" i="24" s="1"/>
  <c r="I105" i="24"/>
  <c r="M105" i="24" s="1"/>
  <c r="M104" i="24"/>
  <c r="J104" i="24"/>
  <c r="K104" i="24" s="1"/>
  <c r="I104" i="24"/>
  <c r="J103" i="24"/>
  <c r="K103" i="24" s="1"/>
  <c r="I103" i="24"/>
  <c r="M103" i="24" s="1"/>
  <c r="J102" i="24"/>
  <c r="K102" i="24" s="1"/>
  <c r="I102" i="24"/>
  <c r="M102" i="24" s="1"/>
  <c r="J101" i="24"/>
  <c r="K101" i="24" s="1"/>
  <c r="I101" i="24"/>
  <c r="M101" i="24" s="1"/>
  <c r="J100" i="24"/>
  <c r="K100" i="24" s="1"/>
  <c r="I100" i="24"/>
  <c r="M100" i="24" s="1"/>
  <c r="J99" i="24"/>
  <c r="K99" i="24" s="1"/>
  <c r="I99" i="24"/>
  <c r="M99" i="24" s="1"/>
  <c r="J98" i="24"/>
  <c r="K98" i="24" s="1"/>
  <c r="I98" i="24"/>
  <c r="M98" i="24" s="1"/>
  <c r="J97" i="24"/>
  <c r="K97" i="24" s="1"/>
  <c r="I97" i="24"/>
  <c r="M97" i="24" s="1"/>
  <c r="J96" i="24"/>
  <c r="K96" i="24" s="1"/>
  <c r="I96" i="24"/>
  <c r="M96" i="24" s="1"/>
  <c r="J95" i="24"/>
  <c r="K95" i="24" s="1"/>
  <c r="I95" i="24"/>
  <c r="M95" i="24" s="1"/>
  <c r="J94" i="24"/>
  <c r="K94" i="24" s="1"/>
  <c r="I94" i="24"/>
  <c r="M94" i="24" s="1"/>
  <c r="J93" i="24"/>
  <c r="K93" i="24" s="1"/>
  <c r="I93" i="24"/>
  <c r="M93" i="24" s="1"/>
  <c r="J92" i="24"/>
  <c r="K92" i="24" s="1"/>
  <c r="I92" i="24"/>
  <c r="M92" i="24" s="1"/>
  <c r="J91" i="24"/>
  <c r="K91" i="24" s="1"/>
  <c r="I91" i="24"/>
  <c r="M91" i="24" s="1"/>
  <c r="M90" i="24"/>
  <c r="J90" i="24"/>
  <c r="K90" i="24" s="1"/>
  <c r="I90" i="24"/>
  <c r="J89" i="24"/>
  <c r="K89" i="24" s="1"/>
  <c r="I89" i="24"/>
  <c r="M89" i="24" s="1"/>
  <c r="J88" i="24"/>
  <c r="K88" i="24" s="1"/>
  <c r="I88" i="24"/>
  <c r="M88" i="24" s="1"/>
  <c r="K87" i="24"/>
  <c r="J87" i="24"/>
  <c r="I87" i="24"/>
  <c r="M87" i="24" s="1"/>
  <c r="J86" i="24"/>
  <c r="K86" i="24" s="1"/>
  <c r="I86" i="24"/>
  <c r="M86" i="24" s="1"/>
  <c r="J85" i="24"/>
  <c r="K85" i="24" s="1"/>
  <c r="I85" i="24"/>
  <c r="M85" i="24" s="1"/>
  <c r="J84" i="24"/>
  <c r="K84" i="24" s="1"/>
  <c r="I84" i="24"/>
  <c r="M84" i="24" s="1"/>
  <c r="J83" i="24"/>
  <c r="K83" i="24" s="1"/>
  <c r="I83" i="24"/>
  <c r="M83" i="24" s="1"/>
  <c r="M82" i="24"/>
  <c r="J82" i="24"/>
  <c r="K82" i="24" s="1"/>
  <c r="I82" i="24"/>
  <c r="J81" i="24"/>
  <c r="K81" i="24" s="1"/>
  <c r="I81" i="24"/>
  <c r="M81" i="24" s="1"/>
  <c r="M80" i="24"/>
  <c r="J80" i="24"/>
  <c r="K80" i="24" s="1"/>
  <c r="I80" i="24"/>
  <c r="J79" i="24"/>
  <c r="K79" i="24" s="1"/>
  <c r="I79" i="24"/>
  <c r="M79" i="24" s="1"/>
  <c r="J78" i="24"/>
  <c r="K78" i="24" s="1"/>
  <c r="I78" i="24"/>
  <c r="M78" i="24" s="1"/>
  <c r="J77" i="24"/>
  <c r="K77" i="24" s="1"/>
  <c r="I77" i="24"/>
  <c r="M77" i="24" s="1"/>
  <c r="J76" i="24"/>
  <c r="K76" i="24" s="1"/>
  <c r="I76" i="24"/>
  <c r="M76" i="24" s="1"/>
  <c r="J75" i="24"/>
  <c r="K75" i="24" s="1"/>
  <c r="I75" i="24"/>
  <c r="M75" i="24" s="1"/>
  <c r="M74" i="24"/>
  <c r="J74" i="24"/>
  <c r="K74" i="24" s="1"/>
  <c r="I74" i="24"/>
  <c r="J73" i="24"/>
  <c r="K73" i="24" s="1"/>
  <c r="I73" i="24"/>
  <c r="M73" i="24" s="1"/>
  <c r="M72" i="24"/>
  <c r="J72" i="24"/>
  <c r="K72" i="24" s="1"/>
  <c r="I72" i="24"/>
  <c r="K71" i="24"/>
  <c r="J71" i="24"/>
  <c r="I71" i="24"/>
  <c r="M71" i="24" s="1"/>
  <c r="J70" i="24"/>
  <c r="K70" i="24" s="1"/>
  <c r="I70" i="24"/>
  <c r="M70" i="24" s="1"/>
  <c r="J69" i="24"/>
  <c r="K69" i="24" s="1"/>
  <c r="I69" i="24"/>
  <c r="M69" i="24" s="1"/>
  <c r="J68" i="24"/>
  <c r="K68" i="24" s="1"/>
  <c r="I68" i="24"/>
  <c r="M68" i="24" s="1"/>
  <c r="J67" i="24"/>
  <c r="K67" i="24" s="1"/>
  <c r="I67" i="24"/>
  <c r="M67" i="24" s="1"/>
  <c r="J66" i="24"/>
  <c r="K66" i="24" s="1"/>
  <c r="I66" i="24"/>
  <c r="M66" i="24" s="1"/>
  <c r="J65" i="24"/>
  <c r="K65" i="24" s="1"/>
  <c r="I65" i="24"/>
  <c r="M65" i="24" s="1"/>
  <c r="B65" i="24"/>
  <c r="J64" i="24"/>
  <c r="K64" i="24" s="1"/>
  <c r="I64" i="24"/>
  <c r="M64" i="24" s="1"/>
  <c r="B64" i="24"/>
  <c r="J63" i="24"/>
  <c r="K63" i="24" s="1"/>
  <c r="I63" i="24"/>
  <c r="M63" i="24" s="1"/>
  <c r="B63" i="24"/>
  <c r="M62" i="24"/>
  <c r="J62" i="24"/>
  <c r="K62" i="24" s="1"/>
  <c r="I62" i="24"/>
  <c r="B62" i="24"/>
  <c r="J61" i="24"/>
  <c r="K61" i="24" s="1"/>
  <c r="I61" i="24"/>
  <c r="M61" i="24" s="1"/>
  <c r="B61" i="24"/>
  <c r="J60" i="24"/>
  <c r="K60" i="24" s="1"/>
  <c r="I60" i="24"/>
  <c r="M60" i="24" s="1"/>
  <c r="B60" i="24"/>
  <c r="J59" i="24"/>
  <c r="K59" i="24" s="1"/>
  <c r="I59" i="24"/>
  <c r="M59" i="24" s="1"/>
  <c r="B59" i="24"/>
  <c r="K58" i="24"/>
  <c r="J58" i="24"/>
  <c r="I58" i="24"/>
  <c r="M58" i="24" s="1"/>
  <c r="B58" i="24"/>
  <c r="J57" i="24"/>
  <c r="K57" i="24" s="1"/>
  <c r="I57" i="24"/>
  <c r="M57" i="24" s="1"/>
  <c r="B57" i="24"/>
  <c r="J56" i="24"/>
  <c r="K56" i="24" s="1"/>
  <c r="I56" i="24"/>
  <c r="M56" i="24" s="1"/>
  <c r="B56" i="24"/>
  <c r="M55" i="24"/>
  <c r="J55" i="24"/>
  <c r="K55" i="24" s="1"/>
  <c r="I55" i="24"/>
  <c r="B55" i="24"/>
  <c r="J54" i="24"/>
  <c r="K54" i="24" s="1"/>
  <c r="I54" i="24"/>
  <c r="M54" i="24" s="1"/>
  <c r="B54" i="24"/>
  <c r="M53" i="24"/>
  <c r="J53" i="24"/>
  <c r="K53" i="24" s="1"/>
  <c r="I53" i="24"/>
  <c r="B53" i="24"/>
  <c r="M52" i="24"/>
  <c r="J52" i="24"/>
  <c r="K52" i="24" s="1"/>
  <c r="I52" i="24"/>
  <c r="B52" i="24"/>
  <c r="M51" i="24"/>
  <c r="K51" i="24"/>
  <c r="J51" i="24"/>
  <c r="I51" i="24"/>
  <c r="B51" i="24"/>
  <c r="M50" i="24"/>
  <c r="J50" i="24"/>
  <c r="K50" i="24" s="1"/>
  <c r="I50" i="24"/>
  <c r="B50" i="24"/>
  <c r="J49" i="24"/>
  <c r="K49" i="24" s="1"/>
  <c r="I49" i="24"/>
  <c r="M49" i="24" s="1"/>
  <c r="B49" i="24"/>
  <c r="J48" i="24"/>
  <c r="K48" i="24" s="1"/>
  <c r="I48" i="24"/>
  <c r="M48" i="24" s="1"/>
  <c r="B48" i="24"/>
  <c r="M47" i="24"/>
  <c r="J47" i="24"/>
  <c r="K47" i="24" s="1"/>
  <c r="I47" i="24"/>
  <c r="B47" i="24"/>
  <c r="U46" i="24"/>
  <c r="T46" i="24"/>
  <c r="R46" i="24"/>
  <c r="M46" i="24"/>
  <c r="J46" i="24"/>
  <c r="K46" i="24" s="1"/>
  <c r="I46" i="24"/>
  <c r="B46" i="24"/>
  <c r="J45" i="24"/>
  <c r="K45" i="24" s="1"/>
  <c r="I45" i="24"/>
  <c r="M45" i="24" s="1"/>
  <c r="B45" i="24"/>
  <c r="J44" i="24"/>
  <c r="K44" i="24" s="1"/>
  <c r="I44" i="24"/>
  <c r="M44" i="24" s="1"/>
  <c r="B44" i="24"/>
  <c r="K43" i="24"/>
  <c r="J43" i="24"/>
  <c r="I43" i="24"/>
  <c r="M43" i="24" s="1"/>
  <c r="B43" i="24"/>
  <c r="K42" i="24"/>
  <c r="J42" i="24"/>
  <c r="I42" i="24"/>
  <c r="M42" i="24" s="1"/>
  <c r="B42" i="24"/>
  <c r="J41" i="24"/>
  <c r="K41" i="24" s="1"/>
  <c r="I41" i="24"/>
  <c r="M41" i="24" s="1"/>
  <c r="B41" i="24"/>
  <c r="J40" i="24"/>
  <c r="K40" i="24" s="1"/>
  <c r="I40" i="24"/>
  <c r="M40" i="24" s="1"/>
  <c r="B40" i="24"/>
  <c r="J39" i="24"/>
  <c r="K39" i="24" s="1"/>
  <c r="I39" i="24"/>
  <c r="M39" i="24" s="1"/>
  <c r="B39" i="24"/>
  <c r="M38" i="24"/>
  <c r="J38" i="24"/>
  <c r="K38" i="24" s="1"/>
  <c r="I38" i="24"/>
  <c r="B38" i="24"/>
  <c r="J37" i="24"/>
  <c r="K37" i="24" s="1"/>
  <c r="I37" i="24"/>
  <c r="M37" i="24" s="1"/>
  <c r="A37" i="24" s="1"/>
  <c r="B37" i="24"/>
  <c r="J36" i="24"/>
  <c r="K36" i="24" s="1"/>
  <c r="I36" i="24"/>
  <c r="M36" i="24" s="1"/>
  <c r="B36" i="24"/>
  <c r="A36" i="24"/>
  <c r="K35" i="24"/>
  <c r="J35" i="24"/>
  <c r="I35" i="24"/>
  <c r="M35" i="24" s="1"/>
  <c r="A35" i="24" s="1"/>
  <c r="B35" i="24"/>
  <c r="J34" i="24"/>
  <c r="K34" i="24" s="1"/>
  <c r="I34" i="24"/>
  <c r="M34" i="24" s="1"/>
  <c r="A34" i="24" s="1"/>
  <c r="B34" i="24"/>
  <c r="M33" i="24"/>
  <c r="A33" i="24" s="1"/>
  <c r="J33" i="24"/>
  <c r="K33" i="24" s="1"/>
  <c r="I33" i="24"/>
  <c r="B33" i="24"/>
  <c r="K32" i="24"/>
  <c r="J32" i="24"/>
  <c r="I32" i="24"/>
  <c r="M32" i="24" s="1"/>
  <c r="A32" i="24" s="1"/>
  <c r="B32" i="24"/>
  <c r="J31" i="24"/>
  <c r="K31" i="24" s="1"/>
  <c r="I31" i="24"/>
  <c r="M31" i="24" s="1"/>
  <c r="A31" i="24" s="1"/>
  <c r="B31" i="24"/>
  <c r="K30" i="24"/>
  <c r="J30" i="24"/>
  <c r="I30" i="24"/>
  <c r="M30" i="24" s="1"/>
  <c r="A30" i="24" s="1"/>
  <c r="B30" i="24"/>
  <c r="M29" i="24"/>
  <c r="A29" i="24" s="1"/>
  <c r="J29" i="24"/>
  <c r="K29" i="24" s="1"/>
  <c r="I29" i="24"/>
  <c r="B29" i="24"/>
  <c r="J28" i="24"/>
  <c r="K28" i="24" s="1"/>
  <c r="I28" i="24"/>
  <c r="M28" i="24" s="1"/>
  <c r="A28" i="24" s="1"/>
  <c r="B28" i="24"/>
  <c r="K27" i="24"/>
  <c r="J27" i="24"/>
  <c r="I27" i="24"/>
  <c r="M27" i="24" s="1"/>
  <c r="A27" i="24" s="1"/>
  <c r="B27" i="24"/>
  <c r="K26" i="24"/>
  <c r="J26" i="24"/>
  <c r="I26" i="24"/>
  <c r="M26" i="24" s="1"/>
  <c r="A26" i="24" s="1"/>
  <c r="B26" i="24"/>
  <c r="J25" i="24"/>
  <c r="K25" i="24" s="1"/>
  <c r="I25" i="24"/>
  <c r="M25" i="24" s="1"/>
  <c r="A25" i="24" s="1"/>
  <c r="B25" i="24"/>
  <c r="J24" i="24"/>
  <c r="K24" i="24" s="1"/>
  <c r="I24" i="24"/>
  <c r="M24" i="24" s="1"/>
  <c r="A24" i="24" s="1"/>
  <c r="B24" i="24"/>
  <c r="M23" i="24"/>
  <c r="A23" i="24" s="1"/>
  <c r="J23" i="24"/>
  <c r="K23" i="24" s="1"/>
  <c r="I23" i="24"/>
  <c r="B23" i="24"/>
  <c r="J22" i="24"/>
  <c r="K22" i="24" s="1"/>
  <c r="I22" i="24"/>
  <c r="M22" i="24" s="1"/>
  <c r="A22" i="24" s="1"/>
  <c r="B22" i="24"/>
  <c r="M21" i="24"/>
  <c r="J21" i="24"/>
  <c r="K21" i="24" s="1"/>
  <c r="I21" i="24"/>
  <c r="B21" i="24"/>
  <c r="A21" i="24"/>
  <c r="J20" i="24"/>
  <c r="K20" i="24" s="1"/>
  <c r="I20" i="24"/>
  <c r="B20" i="24"/>
  <c r="K19" i="24"/>
  <c r="J19" i="24"/>
  <c r="I19" i="24"/>
  <c r="M19" i="24" s="1"/>
  <c r="A19" i="24" s="1"/>
  <c r="B19" i="24"/>
  <c r="J18" i="24"/>
  <c r="K18" i="24" s="1"/>
  <c r="I18" i="24"/>
  <c r="M18" i="24" s="1"/>
  <c r="A18" i="24" s="1"/>
  <c r="B18" i="24"/>
  <c r="J17" i="24"/>
  <c r="K17" i="24" s="1"/>
  <c r="M17" i="24" s="1"/>
  <c r="A17" i="24" s="1"/>
  <c r="I17" i="24"/>
  <c r="B17" i="24"/>
  <c r="J16" i="24"/>
  <c r="K16" i="24" s="1"/>
  <c r="I16" i="24"/>
  <c r="B16" i="24"/>
  <c r="J15" i="24"/>
  <c r="K15" i="24" s="1"/>
  <c r="M15" i="24" s="1"/>
  <c r="A15" i="24" s="1"/>
  <c r="I15" i="24"/>
  <c r="B15" i="24"/>
  <c r="AI14" i="24"/>
  <c r="K14" i="24"/>
  <c r="J14" i="24"/>
  <c r="I14" i="24"/>
  <c r="M14" i="24" s="1"/>
  <c r="A14" i="24" s="1"/>
  <c r="B14" i="24"/>
  <c r="AI13" i="24"/>
  <c r="K13" i="24"/>
  <c r="M13" i="24" s="1"/>
  <c r="A13" i="24" s="1"/>
  <c r="J13" i="24"/>
  <c r="I13" i="24"/>
  <c r="B13" i="24"/>
  <c r="AI12" i="24"/>
  <c r="J12" i="24"/>
  <c r="K12" i="24" s="1"/>
  <c r="I12" i="24"/>
  <c r="B12" i="24"/>
  <c r="J11" i="24"/>
  <c r="K11" i="24" s="1"/>
  <c r="I11" i="24"/>
  <c r="B11" i="24"/>
  <c r="J10" i="24"/>
  <c r="K10" i="24" s="1"/>
  <c r="I10" i="24"/>
  <c r="B10" i="24"/>
  <c r="J8" i="24"/>
  <c r="K8" i="24" s="1"/>
  <c r="I8" i="24"/>
  <c r="B8" i="24"/>
  <c r="J7" i="24"/>
  <c r="K7" i="24" s="1"/>
  <c r="I7" i="24"/>
  <c r="B7" i="24"/>
  <c r="J6" i="24"/>
  <c r="K6" i="24" s="1"/>
  <c r="I6" i="24"/>
  <c r="B6" i="24"/>
  <c r="K2" i="24"/>
  <c r="L8" i="24" s="1"/>
  <c r="J305" i="23"/>
  <c r="K305" i="23" s="1"/>
  <c r="I305" i="23"/>
  <c r="M305" i="23" s="1"/>
  <c r="J304" i="23"/>
  <c r="K304" i="23" s="1"/>
  <c r="I304" i="23"/>
  <c r="M304" i="23" s="1"/>
  <c r="K303" i="23"/>
  <c r="J303" i="23"/>
  <c r="I303" i="23"/>
  <c r="M303" i="23" s="1"/>
  <c r="J302" i="23"/>
  <c r="K302" i="23" s="1"/>
  <c r="I302" i="23"/>
  <c r="M302" i="23" s="1"/>
  <c r="J301" i="23"/>
  <c r="K301" i="23" s="1"/>
  <c r="I301" i="23"/>
  <c r="M301" i="23" s="1"/>
  <c r="K300" i="23"/>
  <c r="J300" i="23"/>
  <c r="I300" i="23"/>
  <c r="M300" i="23" s="1"/>
  <c r="J299" i="23"/>
  <c r="K299" i="23" s="1"/>
  <c r="I299" i="23"/>
  <c r="M299" i="23" s="1"/>
  <c r="J298" i="23"/>
  <c r="K298" i="23" s="1"/>
  <c r="I298" i="23"/>
  <c r="M298" i="23" s="1"/>
  <c r="J297" i="23"/>
  <c r="K297" i="23" s="1"/>
  <c r="I297" i="23"/>
  <c r="M297" i="23" s="1"/>
  <c r="J296" i="23"/>
  <c r="K296" i="23" s="1"/>
  <c r="I296" i="23"/>
  <c r="M296" i="23" s="1"/>
  <c r="J295" i="23"/>
  <c r="K295" i="23" s="1"/>
  <c r="I295" i="23"/>
  <c r="M295" i="23" s="1"/>
  <c r="M294" i="23"/>
  <c r="K294" i="23"/>
  <c r="J294" i="23"/>
  <c r="I294" i="23"/>
  <c r="K293" i="23"/>
  <c r="J293" i="23"/>
  <c r="I293" i="23"/>
  <c r="M293" i="23" s="1"/>
  <c r="M292" i="23"/>
  <c r="J292" i="23"/>
  <c r="K292" i="23" s="1"/>
  <c r="I292" i="23"/>
  <c r="J291" i="23"/>
  <c r="K291" i="23" s="1"/>
  <c r="I291" i="23"/>
  <c r="M291" i="23" s="1"/>
  <c r="J290" i="23"/>
  <c r="K290" i="23" s="1"/>
  <c r="I290" i="23"/>
  <c r="M290" i="23" s="1"/>
  <c r="J289" i="23"/>
  <c r="K289" i="23" s="1"/>
  <c r="I289" i="23"/>
  <c r="M289" i="23" s="1"/>
  <c r="J288" i="23"/>
  <c r="K288" i="23" s="1"/>
  <c r="I288" i="23"/>
  <c r="M288" i="23" s="1"/>
  <c r="K287" i="23"/>
  <c r="J287" i="23"/>
  <c r="I287" i="23"/>
  <c r="M287" i="23" s="1"/>
  <c r="M286" i="23"/>
  <c r="J286" i="23"/>
  <c r="K286" i="23" s="1"/>
  <c r="I286" i="23"/>
  <c r="J285" i="23"/>
  <c r="K285" i="23" s="1"/>
  <c r="I285" i="23"/>
  <c r="M285" i="23" s="1"/>
  <c r="K284" i="23"/>
  <c r="J284" i="23"/>
  <c r="I284" i="23"/>
  <c r="M284" i="23" s="1"/>
  <c r="J283" i="23"/>
  <c r="K283" i="23" s="1"/>
  <c r="I283" i="23"/>
  <c r="M283" i="23" s="1"/>
  <c r="J282" i="23"/>
  <c r="K282" i="23" s="1"/>
  <c r="I282" i="23"/>
  <c r="M282" i="23" s="1"/>
  <c r="J281" i="23"/>
  <c r="K281" i="23" s="1"/>
  <c r="I281" i="23"/>
  <c r="M281" i="23" s="1"/>
  <c r="J280" i="23"/>
  <c r="K280" i="23" s="1"/>
  <c r="I280" i="23"/>
  <c r="M280" i="23" s="1"/>
  <c r="J279" i="23"/>
  <c r="K279" i="23" s="1"/>
  <c r="I279" i="23"/>
  <c r="M279" i="23" s="1"/>
  <c r="M278" i="23"/>
  <c r="K278" i="23"/>
  <c r="J278" i="23"/>
  <c r="I278" i="23"/>
  <c r="K277" i="23"/>
  <c r="J277" i="23"/>
  <c r="I277" i="23"/>
  <c r="M277" i="23" s="1"/>
  <c r="M276" i="23"/>
  <c r="J276" i="23"/>
  <c r="K276" i="23" s="1"/>
  <c r="I276" i="23"/>
  <c r="J275" i="23"/>
  <c r="K275" i="23" s="1"/>
  <c r="I275" i="23"/>
  <c r="M275" i="23" s="1"/>
  <c r="J274" i="23"/>
  <c r="K274" i="23" s="1"/>
  <c r="I274" i="23"/>
  <c r="M274" i="23" s="1"/>
  <c r="J273" i="23"/>
  <c r="K273" i="23" s="1"/>
  <c r="I273" i="23"/>
  <c r="M273" i="23" s="1"/>
  <c r="J272" i="23"/>
  <c r="K272" i="23" s="1"/>
  <c r="I272" i="23"/>
  <c r="M272" i="23" s="1"/>
  <c r="K271" i="23"/>
  <c r="J271" i="23"/>
  <c r="I271" i="23"/>
  <c r="M271" i="23" s="1"/>
  <c r="M270" i="23"/>
  <c r="J270" i="23"/>
  <c r="K270" i="23" s="1"/>
  <c r="I270" i="23"/>
  <c r="J269" i="23"/>
  <c r="K269" i="23" s="1"/>
  <c r="I269" i="23"/>
  <c r="M269" i="23" s="1"/>
  <c r="K268" i="23"/>
  <c r="J268" i="23"/>
  <c r="I268" i="23"/>
  <c r="M268" i="23" s="1"/>
  <c r="K267" i="23"/>
  <c r="J267" i="23"/>
  <c r="I267" i="23"/>
  <c r="M267" i="23" s="1"/>
  <c r="J266" i="23"/>
  <c r="K266" i="23" s="1"/>
  <c r="I266" i="23"/>
  <c r="M266" i="23" s="1"/>
  <c r="J265" i="23"/>
  <c r="K265" i="23" s="1"/>
  <c r="I265" i="23"/>
  <c r="M265" i="23" s="1"/>
  <c r="M264" i="23"/>
  <c r="J264" i="23"/>
  <c r="K264" i="23" s="1"/>
  <c r="I264" i="23"/>
  <c r="J263" i="23"/>
  <c r="K263" i="23" s="1"/>
  <c r="I263" i="23"/>
  <c r="M263" i="23" s="1"/>
  <c r="M262" i="23"/>
  <c r="K262" i="23"/>
  <c r="J262" i="23"/>
  <c r="I262" i="23"/>
  <c r="K261" i="23"/>
  <c r="J261" i="23"/>
  <c r="I261" i="23"/>
  <c r="M261" i="23" s="1"/>
  <c r="M260" i="23"/>
  <c r="J260" i="23"/>
  <c r="K260" i="23" s="1"/>
  <c r="I260" i="23"/>
  <c r="J259" i="23"/>
  <c r="K259" i="23" s="1"/>
  <c r="I259" i="23"/>
  <c r="M259" i="23" s="1"/>
  <c r="J258" i="23"/>
  <c r="K258" i="23" s="1"/>
  <c r="I258" i="23"/>
  <c r="M258" i="23" s="1"/>
  <c r="J257" i="23"/>
  <c r="K257" i="23" s="1"/>
  <c r="I257" i="23"/>
  <c r="M257" i="23" s="1"/>
  <c r="K256" i="23"/>
  <c r="J256" i="23"/>
  <c r="I256" i="23"/>
  <c r="M256" i="23" s="1"/>
  <c r="K255" i="23"/>
  <c r="J255" i="23"/>
  <c r="I255" i="23"/>
  <c r="M255" i="23" s="1"/>
  <c r="J254" i="23"/>
  <c r="K254" i="23" s="1"/>
  <c r="I254" i="23"/>
  <c r="M254" i="23" s="1"/>
  <c r="J253" i="23"/>
  <c r="K253" i="23" s="1"/>
  <c r="I253" i="23"/>
  <c r="M253" i="23" s="1"/>
  <c r="K252" i="23"/>
  <c r="J252" i="23"/>
  <c r="I252" i="23"/>
  <c r="M252" i="23" s="1"/>
  <c r="J251" i="23"/>
  <c r="K251" i="23" s="1"/>
  <c r="I251" i="23"/>
  <c r="M251" i="23" s="1"/>
  <c r="J250" i="23"/>
  <c r="K250" i="23" s="1"/>
  <c r="I250" i="23"/>
  <c r="M250" i="23" s="1"/>
  <c r="J249" i="23"/>
  <c r="K249" i="23" s="1"/>
  <c r="I249" i="23"/>
  <c r="M249" i="23" s="1"/>
  <c r="M248" i="23"/>
  <c r="J248" i="23"/>
  <c r="K248" i="23" s="1"/>
  <c r="I248" i="23"/>
  <c r="J247" i="23"/>
  <c r="K247" i="23" s="1"/>
  <c r="I247" i="23"/>
  <c r="M247" i="23" s="1"/>
  <c r="M246" i="23"/>
  <c r="K246" i="23"/>
  <c r="J246" i="23"/>
  <c r="I246" i="23"/>
  <c r="K245" i="23"/>
  <c r="J245" i="23"/>
  <c r="I245" i="23"/>
  <c r="M245" i="23" s="1"/>
  <c r="M244" i="23"/>
  <c r="J244" i="23"/>
  <c r="K244" i="23" s="1"/>
  <c r="I244" i="23"/>
  <c r="J243" i="23"/>
  <c r="K243" i="23" s="1"/>
  <c r="I243" i="23"/>
  <c r="M243" i="23" s="1"/>
  <c r="J242" i="23"/>
  <c r="K242" i="23" s="1"/>
  <c r="I242" i="23"/>
  <c r="M242" i="23" s="1"/>
  <c r="J241" i="23"/>
  <c r="K241" i="23" s="1"/>
  <c r="I241" i="23"/>
  <c r="M241" i="23" s="1"/>
  <c r="J240" i="23"/>
  <c r="K240" i="23" s="1"/>
  <c r="I240" i="23"/>
  <c r="M240" i="23" s="1"/>
  <c r="K239" i="23"/>
  <c r="J239" i="23"/>
  <c r="I239" i="23"/>
  <c r="M239" i="23" s="1"/>
  <c r="J238" i="23"/>
  <c r="K238" i="23" s="1"/>
  <c r="I238" i="23"/>
  <c r="M238" i="23" s="1"/>
  <c r="K237" i="23"/>
  <c r="J237" i="23"/>
  <c r="I237" i="23"/>
  <c r="M237" i="23" s="1"/>
  <c r="K236" i="23"/>
  <c r="J236" i="23"/>
  <c r="I236" i="23"/>
  <c r="M236" i="23" s="1"/>
  <c r="J235" i="23"/>
  <c r="K235" i="23" s="1"/>
  <c r="I235" i="23"/>
  <c r="M235" i="23" s="1"/>
  <c r="J234" i="23"/>
  <c r="K234" i="23" s="1"/>
  <c r="I234" i="23"/>
  <c r="M234" i="23" s="1"/>
  <c r="J233" i="23"/>
  <c r="K233" i="23" s="1"/>
  <c r="I233" i="23"/>
  <c r="M233" i="23" s="1"/>
  <c r="J232" i="23"/>
  <c r="K232" i="23" s="1"/>
  <c r="I232" i="23"/>
  <c r="M232" i="23" s="1"/>
  <c r="J231" i="23"/>
  <c r="K231" i="23" s="1"/>
  <c r="I231" i="23"/>
  <c r="M231" i="23" s="1"/>
  <c r="M230" i="23"/>
  <c r="K230" i="23"/>
  <c r="J230" i="23"/>
  <c r="I230" i="23"/>
  <c r="K229" i="23"/>
  <c r="J229" i="23"/>
  <c r="I229" i="23"/>
  <c r="M229" i="23" s="1"/>
  <c r="M228" i="23"/>
  <c r="J228" i="23"/>
  <c r="K228" i="23" s="1"/>
  <c r="I228" i="23"/>
  <c r="J227" i="23"/>
  <c r="K227" i="23" s="1"/>
  <c r="I227" i="23"/>
  <c r="M227" i="23" s="1"/>
  <c r="M226" i="23"/>
  <c r="J226" i="23"/>
  <c r="K226" i="23" s="1"/>
  <c r="I226" i="23"/>
  <c r="J225" i="23"/>
  <c r="K225" i="23" s="1"/>
  <c r="I225" i="23"/>
  <c r="M225" i="23" s="1"/>
  <c r="J224" i="23"/>
  <c r="K224" i="23" s="1"/>
  <c r="I224" i="23"/>
  <c r="M224" i="23" s="1"/>
  <c r="K223" i="23"/>
  <c r="J223" i="23"/>
  <c r="I223" i="23"/>
  <c r="M223" i="23" s="1"/>
  <c r="J222" i="23"/>
  <c r="K222" i="23" s="1"/>
  <c r="I222" i="23"/>
  <c r="M222" i="23" s="1"/>
  <c r="J221" i="23"/>
  <c r="K221" i="23" s="1"/>
  <c r="I221" i="23"/>
  <c r="M221" i="23" s="1"/>
  <c r="K220" i="23"/>
  <c r="J220" i="23"/>
  <c r="I220" i="23"/>
  <c r="M220" i="23" s="1"/>
  <c r="J219" i="23"/>
  <c r="K219" i="23" s="1"/>
  <c r="I219" i="23"/>
  <c r="M219" i="23" s="1"/>
  <c r="J218" i="23"/>
  <c r="K218" i="23" s="1"/>
  <c r="I218" i="23"/>
  <c r="M218" i="23" s="1"/>
  <c r="J217" i="23"/>
  <c r="K217" i="23" s="1"/>
  <c r="I217" i="23"/>
  <c r="M217" i="23" s="1"/>
  <c r="J216" i="23"/>
  <c r="K216" i="23" s="1"/>
  <c r="I216" i="23"/>
  <c r="M216" i="23" s="1"/>
  <c r="J215" i="23"/>
  <c r="K215" i="23" s="1"/>
  <c r="I215" i="23"/>
  <c r="M215" i="23" s="1"/>
  <c r="M214" i="23"/>
  <c r="K214" i="23"/>
  <c r="J214" i="23"/>
  <c r="I214" i="23"/>
  <c r="K213" i="23"/>
  <c r="J213" i="23"/>
  <c r="I213" i="23"/>
  <c r="M213" i="23" s="1"/>
  <c r="M212" i="23"/>
  <c r="J212" i="23"/>
  <c r="K212" i="23" s="1"/>
  <c r="I212" i="23"/>
  <c r="J211" i="23"/>
  <c r="K211" i="23" s="1"/>
  <c r="I211" i="23"/>
  <c r="M211" i="23" s="1"/>
  <c r="M210" i="23"/>
  <c r="K210" i="23"/>
  <c r="J210" i="23"/>
  <c r="I210" i="23"/>
  <c r="J209" i="23"/>
  <c r="K209" i="23" s="1"/>
  <c r="I209" i="23"/>
  <c r="M209" i="23" s="1"/>
  <c r="J208" i="23"/>
  <c r="K208" i="23" s="1"/>
  <c r="I208" i="23"/>
  <c r="M208" i="23" s="1"/>
  <c r="K207" i="23"/>
  <c r="J207" i="23"/>
  <c r="I207" i="23"/>
  <c r="M207" i="23" s="1"/>
  <c r="J206" i="23"/>
  <c r="K206" i="23" s="1"/>
  <c r="I206" i="23"/>
  <c r="M206" i="23" s="1"/>
  <c r="J205" i="23"/>
  <c r="K205" i="23" s="1"/>
  <c r="I205" i="23"/>
  <c r="M205" i="23" s="1"/>
  <c r="K204" i="23"/>
  <c r="J204" i="23"/>
  <c r="I204" i="23"/>
  <c r="M204" i="23" s="1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J200" i="23"/>
  <c r="K200" i="23" s="1"/>
  <c r="I200" i="23"/>
  <c r="M200" i="23" s="1"/>
  <c r="J199" i="23"/>
  <c r="K199" i="23" s="1"/>
  <c r="I199" i="23"/>
  <c r="M199" i="23" s="1"/>
  <c r="M198" i="23"/>
  <c r="K198" i="23"/>
  <c r="J198" i="23"/>
  <c r="I198" i="23"/>
  <c r="K197" i="23"/>
  <c r="J197" i="23"/>
  <c r="I197" i="23"/>
  <c r="M197" i="23" s="1"/>
  <c r="M196" i="23"/>
  <c r="J196" i="23"/>
  <c r="K196" i="23" s="1"/>
  <c r="I196" i="23"/>
  <c r="J195" i="23"/>
  <c r="K195" i="23" s="1"/>
  <c r="I195" i="23"/>
  <c r="M195" i="23" s="1"/>
  <c r="M194" i="23"/>
  <c r="K194" i="23"/>
  <c r="J194" i="23"/>
  <c r="I194" i="23"/>
  <c r="J193" i="23"/>
  <c r="K193" i="23" s="1"/>
  <c r="I193" i="23"/>
  <c r="M193" i="23" s="1"/>
  <c r="J192" i="23"/>
  <c r="K192" i="23" s="1"/>
  <c r="I192" i="23"/>
  <c r="M192" i="23" s="1"/>
  <c r="K191" i="23"/>
  <c r="J191" i="23"/>
  <c r="I191" i="23"/>
  <c r="M191" i="23" s="1"/>
  <c r="J190" i="23"/>
  <c r="K190" i="23" s="1"/>
  <c r="I190" i="23"/>
  <c r="M190" i="23" s="1"/>
  <c r="J189" i="23"/>
  <c r="K189" i="23" s="1"/>
  <c r="I189" i="23"/>
  <c r="M189" i="23" s="1"/>
  <c r="K188" i="23"/>
  <c r="J188" i="23"/>
  <c r="I188" i="23"/>
  <c r="M188" i="23" s="1"/>
  <c r="J187" i="23"/>
  <c r="K187" i="23" s="1"/>
  <c r="I187" i="23"/>
  <c r="M187" i="23" s="1"/>
  <c r="J186" i="23"/>
  <c r="K186" i="23" s="1"/>
  <c r="I186" i="23"/>
  <c r="M186" i="23" s="1"/>
  <c r="K185" i="23"/>
  <c r="J185" i="23"/>
  <c r="I185" i="23"/>
  <c r="M185" i="23" s="1"/>
  <c r="J184" i="23"/>
  <c r="K184" i="23" s="1"/>
  <c r="I184" i="23"/>
  <c r="M184" i="23" s="1"/>
  <c r="J183" i="23"/>
  <c r="K183" i="23" s="1"/>
  <c r="I183" i="23"/>
  <c r="M183" i="23" s="1"/>
  <c r="M182" i="23"/>
  <c r="K182" i="23"/>
  <c r="J182" i="23"/>
  <c r="I182" i="23"/>
  <c r="K181" i="23"/>
  <c r="J181" i="23"/>
  <c r="I181" i="23"/>
  <c r="M181" i="23" s="1"/>
  <c r="M180" i="23"/>
  <c r="K180" i="23"/>
  <c r="J180" i="23"/>
  <c r="I180" i="23"/>
  <c r="J179" i="23"/>
  <c r="K179" i="23" s="1"/>
  <c r="I179" i="23"/>
  <c r="M179" i="23" s="1"/>
  <c r="J178" i="23"/>
  <c r="K178" i="23" s="1"/>
  <c r="I178" i="23"/>
  <c r="M178" i="23" s="1"/>
  <c r="J177" i="23"/>
  <c r="K177" i="23" s="1"/>
  <c r="I177" i="23"/>
  <c r="M177" i="23" s="1"/>
  <c r="J176" i="23"/>
  <c r="K176" i="23" s="1"/>
  <c r="I176" i="23"/>
  <c r="M176" i="23" s="1"/>
  <c r="K175" i="23"/>
  <c r="J175" i="23"/>
  <c r="I175" i="23"/>
  <c r="M175" i="23" s="1"/>
  <c r="J174" i="23"/>
  <c r="K174" i="23" s="1"/>
  <c r="I174" i="23"/>
  <c r="M174" i="23" s="1"/>
  <c r="J173" i="23"/>
  <c r="K173" i="23" s="1"/>
  <c r="I173" i="23"/>
  <c r="M173" i="23" s="1"/>
  <c r="K172" i="23"/>
  <c r="J172" i="23"/>
  <c r="I172" i="23"/>
  <c r="M172" i="23" s="1"/>
  <c r="J171" i="23"/>
  <c r="K171" i="23" s="1"/>
  <c r="I171" i="23"/>
  <c r="M171" i="23" s="1"/>
  <c r="J170" i="23"/>
  <c r="K170" i="23" s="1"/>
  <c r="I170" i="23"/>
  <c r="M170" i="23" s="1"/>
  <c r="J169" i="23"/>
  <c r="K169" i="23" s="1"/>
  <c r="I169" i="23"/>
  <c r="M169" i="23" s="1"/>
  <c r="J168" i="23"/>
  <c r="K168" i="23" s="1"/>
  <c r="I168" i="23"/>
  <c r="M168" i="23" s="1"/>
  <c r="J167" i="23"/>
  <c r="K167" i="23" s="1"/>
  <c r="I167" i="23"/>
  <c r="M167" i="23" s="1"/>
  <c r="M166" i="23"/>
  <c r="K166" i="23"/>
  <c r="J166" i="23"/>
  <c r="I166" i="23"/>
  <c r="K165" i="23"/>
  <c r="J165" i="23"/>
  <c r="I165" i="23"/>
  <c r="M165" i="23" s="1"/>
  <c r="M164" i="23"/>
  <c r="J164" i="23"/>
  <c r="K164" i="23" s="1"/>
  <c r="I164" i="23"/>
  <c r="J163" i="23"/>
  <c r="K163" i="23" s="1"/>
  <c r="I163" i="23"/>
  <c r="M163" i="23" s="1"/>
  <c r="J162" i="23"/>
  <c r="K162" i="23" s="1"/>
  <c r="I162" i="23"/>
  <c r="M162" i="23" s="1"/>
  <c r="J161" i="23"/>
  <c r="K161" i="23" s="1"/>
  <c r="I161" i="23"/>
  <c r="M161" i="23" s="1"/>
  <c r="J160" i="23"/>
  <c r="K160" i="23" s="1"/>
  <c r="I160" i="23"/>
  <c r="M160" i="23" s="1"/>
  <c r="K159" i="23"/>
  <c r="J159" i="23"/>
  <c r="I159" i="23"/>
  <c r="M159" i="23" s="1"/>
  <c r="M158" i="23"/>
  <c r="J158" i="23"/>
  <c r="K158" i="23" s="1"/>
  <c r="I158" i="23"/>
  <c r="J157" i="23"/>
  <c r="K157" i="23" s="1"/>
  <c r="I157" i="23"/>
  <c r="M157" i="23" s="1"/>
  <c r="K156" i="23"/>
  <c r="J156" i="23"/>
  <c r="I156" i="23"/>
  <c r="M156" i="23" s="1"/>
  <c r="J155" i="23"/>
  <c r="K155" i="23" s="1"/>
  <c r="I155" i="23"/>
  <c r="M155" i="23" s="1"/>
  <c r="J154" i="23"/>
  <c r="K154" i="23" s="1"/>
  <c r="I154" i="23"/>
  <c r="M154" i="23" s="1"/>
  <c r="J153" i="23"/>
  <c r="K153" i="23" s="1"/>
  <c r="I153" i="23"/>
  <c r="M153" i="23" s="1"/>
  <c r="J152" i="23"/>
  <c r="K152" i="23" s="1"/>
  <c r="I152" i="23"/>
  <c r="M152" i="23" s="1"/>
  <c r="J151" i="23"/>
  <c r="K151" i="23" s="1"/>
  <c r="I151" i="23"/>
  <c r="M151" i="23" s="1"/>
  <c r="M150" i="23"/>
  <c r="K150" i="23"/>
  <c r="J150" i="23"/>
  <c r="I150" i="23"/>
  <c r="K149" i="23"/>
  <c r="J149" i="23"/>
  <c r="I149" i="23"/>
  <c r="M149" i="23" s="1"/>
  <c r="M148" i="23"/>
  <c r="J148" i="23"/>
  <c r="K148" i="23" s="1"/>
  <c r="I148" i="23"/>
  <c r="J147" i="23"/>
  <c r="K147" i="23" s="1"/>
  <c r="I147" i="23"/>
  <c r="M147" i="23" s="1"/>
  <c r="J146" i="23"/>
  <c r="K146" i="23" s="1"/>
  <c r="I146" i="23"/>
  <c r="M146" i="23" s="1"/>
  <c r="J145" i="23"/>
  <c r="K145" i="23" s="1"/>
  <c r="I145" i="23"/>
  <c r="M145" i="23" s="1"/>
  <c r="J144" i="23"/>
  <c r="K144" i="23" s="1"/>
  <c r="I144" i="23"/>
  <c r="M144" i="23" s="1"/>
  <c r="K143" i="23"/>
  <c r="J143" i="23"/>
  <c r="I143" i="23"/>
  <c r="M143" i="23" s="1"/>
  <c r="M142" i="23"/>
  <c r="J142" i="23"/>
  <c r="K142" i="23" s="1"/>
  <c r="I142" i="23"/>
  <c r="J141" i="23"/>
  <c r="K141" i="23" s="1"/>
  <c r="I141" i="23"/>
  <c r="M141" i="23" s="1"/>
  <c r="K140" i="23"/>
  <c r="J140" i="23"/>
  <c r="I140" i="23"/>
  <c r="M140" i="23" s="1"/>
  <c r="K139" i="23"/>
  <c r="J139" i="23"/>
  <c r="I139" i="23"/>
  <c r="M139" i="23" s="1"/>
  <c r="J138" i="23"/>
  <c r="K138" i="23" s="1"/>
  <c r="I138" i="23"/>
  <c r="M138" i="23" s="1"/>
  <c r="J137" i="23"/>
  <c r="K137" i="23" s="1"/>
  <c r="I137" i="23"/>
  <c r="M137" i="23" s="1"/>
  <c r="M136" i="23"/>
  <c r="J136" i="23"/>
  <c r="K136" i="23" s="1"/>
  <c r="I136" i="23"/>
  <c r="J135" i="23"/>
  <c r="K135" i="23" s="1"/>
  <c r="I135" i="23"/>
  <c r="M135" i="23" s="1"/>
  <c r="M134" i="23"/>
  <c r="J134" i="23"/>
  <c r="K134" i="23" s="1"/>
  <c r="I134" i="23"/>
  <c r="J133" i="23"/>
  <c r="K133" i="23" s="1"/>
  <c r="I133" i="23"/>
  <c r="M133" i="23" s="1"/>
  <c r="J132" i="23"/>
  <c r="K132" i="23" s="1"/>
  <c r="I132" i="23"/>
  <c r="M132" i="23" s="1"/>
  <c r="J131" i="23"/>
  <c r="K131" i="23" s="1"/>
  <c r="I131" i="23"/>
  <c r="M131" i="23" s="1"/>
  <c r="J130" i="23"/>
  <c r="K130" i="23" s="1"/>
  <c r="I130" i="23"/>
  <c r="M130" i="23" s="1"/>
  <c r="J129" i="23"/>
  <c r="K129" i="23" s="1"/>
  <c r="I129" i="23"/>
  <c r="M129" i="23" s="1"/>
  <c r="M128" i="23"/>
  <c r="J128" i="23"/>
  <c r="K128" i="23" s="1"/>
  <c r="I128" i="23"/>
  <c r="J127" i="23"/>
  <c r="K127" i="23" s="1"/>
  <c r="I127" i="23"/>
  <c r="M127" i="23" s="1"/>
  <c r="J126" i="23"/>
  <c r="K126" i="23" s="1"/>
  <c r="I126" i="23"/>
  <c r="M126" i="23" s="1"/>
  <c r="J125" i="23"/>
  <c r="K125" i="23" s="1"/>
  <c r="I125" i="23"/>
  <c r="M125" i="23" s="1"/>
  <c r="J124" i="23"/>
  <c r="K124" i="23" s="1"/>
  <c r="I124" i="23"/>
  <c r="M124" i="23" s="1"/>
  <c r="J123" i="23"/>
  <c r="K123" i="23" s="1"/>
  <c r="I123" i="23"/>
  <c r="M123" i="23" s="1"/>
  <c r="J122" i="23"/>
  <c r="K122" i="23" s="1"/>
  <c r="I122" i="23"/>
  <c r="M122" i="23" s="1"/>
  <c r="J121" i="23"/>
  <c r="K121" i="23" s="1"/>
  <c r="I121" i="23"/>
  <c r="M121" i="23" s="1"/>
  <c r="M120" i="23"/>
  <c r="J120" i="23"/>
  <c r="K120" i="23" s="1"/>
  <c r="I120" i="23"/>
  <c r="J119" i="23"/>
  <c r="K119" i="23" s="1"/>
  <c r="I119" i="23"/>
  <c r="M119" i="23" s="1"/>
  <c r="J118" i="23"/>
  <c r="K118" i="23" s="1"/>
  <c r="I118" i="23"/>
  <c r="M118" i="23" s="1"/>
  <c r="J117" i="23"/>
  <c r="K117" i="23" s="1"/>
  <c r="I117" i="23"/>
  <c r="M117" i="23" s="1"/>
  <c r="J116" i="23"/>
  <c r="K116" i="23" s="1"/>
  <c r="I116" i="23"/>
  <c r="M116" i="23" s="1"/>
  <c r="J115" i="23"/>
  <c r="K115" i="23" s="1"/>
  <c r="I115" i="23"/>
  <c r="M115" i="23" s="1"/>
  <c r="J114" i="23"/>
  <c r="K114" i="23" s="1"/>
  <c r="I114" i="23"/>
  <c r="M114" i="23" s="1"/>
  <c r="J113" i="23"/>
  <c r="K113" i="23" s="1"/>
  <c r="I113" i="23"/>
  <c r="M113" i="23" s="1"/>
  <c r="M112" i="23"/>
  <c r="J112" i="23"/>
  <c r="K112" i="23" s="1"/>
  <c r="I112" i="23"/>
  <c r="J111" i="23"/>
  <c r="K111" i="23" s="1"/>
  <c r="I111" i="23"/>
  <c r="M111" i="23" s="1"/>
  <c r="J110" i="23"/>
  <c r="K110" i="23" s="1"/>
  <c r="I110" i="23"/>
  <c r="M110" i="23" s="1"/>
  <c r="J109" i="23"/>
  <c r="K109" i="23" s="1"/>
  <c r="I109" i="23"/>
  <c r="M109" i="23" s="1"/>
  <c r="J108" i="23"/>
  <c r="K108" i="23" s="1"/>
  <c r="I108" i="23"/>
  <c r="M108" i="23" s="1"/>
  <c r="K107" i="23"/>
  <c r="J107" i="23"/>
  <c r="I107" i="23"/>
  <c r="M107" i="23" s="1"/>
  <c r="J106" i="23"/>
  <c r="K106" i="23" s="1"/>
  <c r="I106" i="23"/>
  <c r="M106" i="23" s="1"/>
  <c r="J105" i="23"/>
  <c r="K105" i="23" s="1"/>
  <c r="I105" i="23"/>
  <c r="M105" i="23" s="1"/>
  <c r="M104" i="23"/>
  <c r="J104" i="23"/>
  <c r="K104" i="23" s="1"/>
  <c r="I104" i="23"/>
  <c r="J103" i="23"/>
  <c r="K103" i="23" s="1"/>
  <c r="I103" i="23"/>
  <c r="M103" i="23" s="1"/>
  <c r="J102" i="23"/>
  <c r="K102" i="23" s="1"/>
  <c r="I102" i="23"/>
  <c r="M102" i="23" s="1"/>
  <c r="J101" i="23"/>
  <c r="K101" i="23" s="1"/>
  <c r="I101" i="23"/>
  <c r="M101" i="23" s="1"/>
  <c r="J100" i="23"/>
  <c r="K100" i="23" s="1"/>
  <c r="I100" i="23"/>
  <c r="M100" i="23" s="1"/>
  <c r="J99" i="23"/>
  <c r="K99" i="23" s="1"/>
  <c r="I99" i="23"/>
  <c r="M99" i="23" s="1"/>
  <c r="J98" i="23"/>
  <c r="K98" i="23" s="1"/>
  <c r="I98" i="23"/>
  <c r="M98" i="23" s="1"/>
  <c r="J97" i="23"/>
  <c r="K97" i="23" s="1"/>
  <c r="I97" i="23"/>
  <c r="M97" i="23" s="1"/>
  <c r="M96" i="23"/>
  <c r="J96" i="23"/>
  <c r="K96" i="23" s="1"/>
  <c r="I96" i="23"/>
  <c r="J95" i="23"/>
  <c r="K95" i="23" s="1"/>
  <c r="I95" i="23"/>
  <c r="M95" i="23" s="1"/>
  <c r="M94" i="23"/>
  <c r="J94" i="23"/>
  <c r="K94" i="23" s="1"/>
  <c r="I94" i="23"/>
  <c r="J93" i="23"/>
  <c r="K93" i="23" s="1"/>
  <c r="I93" i="23"/>
  <c r="M93" i="23" s="1"/>
  <c r="J92" i="23"/>
  <c r="K92" i="23" s="1"/>
  <c r="I92" i="23"/>
  <c r="M92" i="23" s="1"/>
  <c r="J91" i="23"/>
  <c r="K91" i="23" s="1"/>
  <c r="I91" i="23"/>
  <c r="M91" i="23" s="1"/>
  <c r="J90" i="23"/>
  <c r="K90" i="23" s="1"/>
  <c r="I90" i="23"/>
  <c r="M90" i="23" s="1"/>
  <c r="J89" i="23"/>
  <c r="K89" i="23" s="1"/>
  <c r="I89" i="23"/>
  <c r="M89" i="23" s="1"/>
  <c r="M88" i="23"/>
  <c r="J88" i="23"/>
  <c r="K88" i="23" s="1"/>
  <c r="I88" i="23"/>
  <c r="J87" i="23"/>
  <c r="K87" i="23" s="1"/>
  <c r="I87" i="23"/>
  <c r="M87" i="23" s="1"/>
  <c r="J86" i="23"/>
  <c r="K86" i="23" s="1"/>
  <c r="I86" i="23"/>
  <c r="M86" i="23" s="1"/>
  <c r="J85" i="23"/>
  <c r="K85" i="23" s="1"/>
  <c r="I85" i="23"/>
  <c r="M85" i="23" s="1"/>
  <c r="J84" i="23"/>
  <c r="K84" i="23" s="1"/>
  <c r="I84" i="23"/>
  <c r="M84" i="23" s="1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M80" i="23"/>
  <c r="J80" i="23"/>
  <c r="K80" i="23" s="1"/>
  <c r="I80" i="23"/>
  <c r="J79" i="23"/>
  <c r="K79" i="23" s="1"/>
  <c r="I79" i="23"/>
  <c r="M79" i="23" s="1"/>
  <c r="J78" i="23"/>
  <c r="K78" i="23" s="1"/>
  <c r="I78" i="23"/>
  <c r="M78" i="23" s="1"/>
  <c r="J77" i="23"/>
  <c r="K77" i="23" s="1"/>
  <c r="I77" i="23"/>
  <c r="M77" i="23" s="1"/>
  <c r="J76" i="23"/>
  <c r="K76" i="23" s="1"/>
  <c r="I76" i="23"/>
  <c r="M76" i="23" s="1"/>
  <c r="J75" i="23"/>
  <c r="K75" i="23" s="1"/>
  <c r="I75" i="23"/>
  <c r="M75" i="23" s="1"/>
  <c r="J74" i="23"/>
  <c r="K74" i="23" s="1"/>
  <c r="I74" i="23"/>
  <c r="M74" i="23" s="1"/>
  <c r="J73" i="23"/>
  <c r="K73" i="23" s="1"/>
  <c r="I73" i="23"/>
  <c r="M73" i="23" s="1"/>
  <c r="M72" i="23"/>
  <c r="J72" i="23"/>
  <c r="K72" i="23" s="1"/>
  <c r="I72" i="23"/>
  <c r="J71" i="23"/>
  <c r="K71" i="23" s="1"/>
  <c r="I71" i="23"/>
  <c r="M71" i="23" s="1"/>
  <c r="M70" i="23"/>
  <c r="J70" i="23"/>
  <c r="K70" i="23" s="1"/>
  <c r="I70" i="23"/>
  <c r="J69" i="23"/>
  <c r="K69" i="23" s="1"/>
  <c r="I69" i="23"/>
  <c r="M69" i="23" s="1"/>
  <c r="J68" i="23"/>
  <c r="K68" i="23" s="1"/>
  <c r="I68" i="23"/>
  <c r="M68" i="23" s="1"/>
  <c r="J67" i="23"/>
  <c r="K67" i="23" s="1"/>
  <c r="I67" i="23"/>
  <c r="M67" i="23" s="1"/>
  <c r="J66" i="23"/>
  <c r="K66" i="23" s="1"/>
  <c r="I66" i="23"/>
  <c r="M66" i="23" s="1"/>
  <c r="J65" i="23"/>
  <c r="K65" i="23" s="1"/>
  <c r="I65" i="23"/>
  <c r="M65" i="23" s="1"/>
  <c r="B65" i="23"/>
  <c r="J64" i="23"/>
  <c r="K64" i="23" s="1"/>
  <c r="I64" i="23"/>
  <c r="M64" i="23" s="1"/>
  <c r="B64" i="23"/>
  <c r="M63" i="23"/>
  <c r="J63" i="23"/>
  <c r="K63" i="23" s="1"/>
  <c r="I63" i="23"/>
  <c r="B63" i="23"/>
  <c r="J62" i="23"/>
  <c r="K62" i="23" s="1"/>
  <c r="I62" i="23"/>
  <c r="M62" i="23" s="1"/>
  <c r="B62" i="23"/>
  <c r="J61" i="23"/>
  <c r="K61" i="23" s="1"/>
  <c r="I61" i="23"/>
  <c r="M61" i="23" s="1"/>
  <c r="B61" i="23"/>
  <c r="J60" i="23"/>
  <c r="K60" i="23" s="1"/>
  <c r="I60" i="23"/>
  <c r="M60" i="23" s="1"/>
  <c r="B60" i="23"/>
  <c r="M59" i="23"/>
  <c r="K59" i="23"/>
  <c r="J59" i="23"/>
  <c r="I59" i="23"/>
  <c r="B59" i="23"/>
  <c r="K58" i="23"/>
  <c r="J58" i="23"/>
  <c r="I58" i="23"/>
  <c r="M58" i="23" s="1"/>
  <c r="B58" i="23"/>
  <c r="J57" i="23"/>
  <c r="K57" i="23" s="1"/>
  <c r="I57" i="23"/>
  <c r="M57" i="23" s="1"/>
  <c r="B57" i="23"/>
  <c r="J56" i="23"/>
  <c r="K56" i="23" s="1"/>
  <c r="I56" i="23"/>
  <c r="M56" i="23" s="1"/>
  <c r="B56" i="23"/>
  <c r="M55" i="23"/>
  <c r="J55" i="23"/>
  <c r="K55" i="23" s="1"/>
  <c r="I55" i="23"/>
  <c r="B55" i="23"/>
  <c r="J54" i="23"/>
  <c r="K54" i="23" s="1"/>
  <c r="I54" i="23"/>
  <c r="M54" i="23" s="1"/>
  <c r="B54" i="23"/>
  <c r="J53" i="23"/>
  <c r="K53" i="23" s="1"/>
  <c r="I53" i="23"/>
  <c r="M53" i="23" s="1"/>
  <c r="B53" i="23"/>
  <c r="M52" i="23"/>
  <c r="J52" i="23"/>
  <c r="K52" i="23" s="1"/>
  <c r="I52" i="23"/>
  <c r="B52" i="23"/>
  <c r="K51" i="23"/>
  <c r="J51" i="23"/>
  <c r="I51" i="23"/>
  <c r="M51" i="23" s="1"/>
  <c r="B51" i="23"/>
  <c r="M50" i="23"/>
  <c r="K50" i="23"/>
  <c r="J50" i="23"/>
  <c r="I50" i="23"/>
  <c r="B50" i="23"/>
  <c r="J49" i="23"/>
  <c r="K49" i="23" s="1"/>
  <c r="I49" i="23"/>
  <c r="M49" i="23" s="1"/>
  <c r="B49" i="23"/>
  <c r="J48" i="23"/>
  <c r="K48" i="23" s="1"/>
  <c r="I48" i="23"/>
  <c r="M48" i="23" s="1"/>
  <c r="B48" i="23"/>
  <c r="M47" i="23"/>
  <c r="K47" i="23"/>
  <c r="J47" i="23"/>
  <c r="I47" i="23"/>
  <c r="B47" i="23"/>
  <c r="T46" i="23"/>
  <c r="R46" i="23"/>
  <c r="U46" i="23" s="1"/>
  <c r="M46" i="23"/>
  <c r="J46" i="23"/>
  <c r="K46" i="23" s="1"/>
  <c r="I46" i="23"/>
  <c r="B46" i="23"/>
  <c r="J45" i="23"/>
  <c r="K45" i="23" s="1"/>
  <c r="I45" i="23"/>
  <c r="M45" i="23" s="1"/>
  <c r="B45" i="23"/>
  <c r="J44" i="23"/>
  <c r="K44" i="23" s="1"/>
  <c r="I44" i="23"/>
  <c r="M44" i="23" s="1"/>
  <c r="B44" i="23"/>
  <c r="J43" i="23"/>
  <c r="K43" i="23" s="1"/>
  <c r="I43" i="23"/>
  <c r="M43" i="23" s="1"/>
  <c r="B43" i="23"/>
  <c r="M42" i="23"/>
  <c r="K42" i="23"/>
  <c r="J42" i="23"/>
  <c r="I42" i="23"/>
  <c r="B42" i="23"/>
  <c r="K41" i="23"/>
  <c r="J41" i="23"/>
  <c r="I41" i="23"/>
  <c r="M41" i="23" s="1"/>
  <c r="B41" i="23"/>
  <c r="J40" i="23"/>
  <c r="K40" i="23" s="1"/>
  <c r="I40" i="23"/>
  <c r="M40" i="23" s="1"/>
  <c r="B40" i="23"/>
  <c r="J39" i="23"/>
  <c r="K39" i="23" s="1"/>
  <c r="I39" i="23"/>
  <c r="M39" i="23" s="1"/>
  <c r="B39" i="23"/>
  <c r="M38" i="23"/>
  <c r="J38" i="23"/>
  <c r="K38" i="23" s="1"/>
  <c r="I38" i="23"/>
  <c r="B38" i="23"/>
  <c r="M37" i="23"/>
  <c r="A37" i="23" s="1"/>
  <c r="J37" i="23"/>
  <c r="K37" i="23" s="1"/>
  <c r="I37" i="23"/>
  <c r="B37" i="23"/>
  <c r="J36" i="23"/>
  <c r="K36" i="23" s="1"/>
  <c r="I36" i="23"/>
  <c r="M36" i="23" s="1"/>
  <c r="B36" i="23"/>
  <c r="A36" i="23"/>
  <c r="M35" i="23"/>
  <c r="A35" i="23" s="1"/>
  <c r="K35" i="23"/>
  <c r="J35" i="23"/>
  <c r="I35" i="23"/>
  <c r="B35" i="23"/>
  <c r="J34" i="23"/>
  <c r="K34" i="23" s="1"/>
  <c r="I34" i="23"/>
  <c r="M34" i="23" s="1"/>
  <c r="A34" i="23" s="1"/>
  <c r="B34" i="23"/>
  <c r="J33" i="23"/>
  <c r="K33" i="23" s="1"/>
  <c r="I33" i="23"/>
  <c r="M33" i="23" s="1"/>
  <c r="B33" i="23"/>
  <c r="A33" i="23"/>
  <c r="K32" i="23"/>
  <c r="J32" i="23"/>
  <c r="I32" i="23"/>
  <c r="M32" i="23" s="1"/>
  <c r="B32" i="23"/>
  <c r="A32" i="23"/>
  <c r="K31" i="23"/>
  <c r="J31" i="23"/>
  <c r="I31" i="23"/>
  <c r="M31" i="23" s="1"/>
  <c r="A31" i="23" s="1"/>
  <c r="B31" i="23"/>
  <c r="J30" i="23"/>
  <c r="K30" i="23" s="1"/>
  <c r="I30" i="23"/>
  <c r="M30" i="23" s="1"/>
  <c r="A30" i="23" s="1"/>
  <c r="B30" i="23"/>
  <c r="M29" i="23"/>
  <c r="A29" i="23" s="1"/>
  <c r="J29" i="23"/>
  <c r="K29" i="23" s="1"/>
  <c r="I29" i="23"/>
  <c r="B29" i="23"/>
  <c r="J28" i="23"/>
  <c r="K28" i="23" s="1"/>
  <c r="I28" i="23"/>
  <c r="M28" i="23" s="1"/>
  <c r="A28" i="23" s="1"/>
  <c r="B28" i="23"/>
  <c r="K27" i="23"/>
  <c r="J27" i="23"/>
  <c r="I27" i="23"/>
  <c r="M27" i="23" s="1"/>
  <c r="A27" i="23" s="1"/>
  <c r="B27" i="23"/>
  <c r="M26" i="23"/>
  <c r="A26" i="23" s="1"/>
  <c r="K26" i="23"/>
  <c r="J26" i="23"/>
  <c r="I26" i="23"/>
  <c r="B26" i="23"/>
  <c r="J25" i="23"/>
  <c r="K25" i="23" s="1"/>
  <c r="I25" i="23"/>
  <c r="M25" i="23" s="1"/>
  <c r="A25" i="23" s="1"/>
  <c r="B25" i="23"/>
  <c r="J24" i="23"/>
  <c r="K24" i="23" s="1"/>
  <c r="I24" i="23"/>
  <c r="M24" i="23" s="1"/>
  <c r="B24" i="23"/>
  <c r="A24" i="23"/>
  <c r="M23" i="23"/>
  <c r="A23" i="23" s="1"/>
  <c r="K23" i="23"/>
  <c r="J23" i="23"/>
  <c r="I23" i="23"/>
  <c r="B23" i="23"/>
  <c r="J22" i="23"/>
  <c r="K22" i="23" s="1"/>
  <c r="I22" i="23"/>
  <c r="M22" i="23" s="1"/>
  <c r="A22" i="23" s="1"/>
  <c r="B22" i="23"/>
  <c r="J21" i="23"/>
  <c r="K21" i="23" s="1"/>
  <c r="I21" i="23"/>
  <c r="M21" i="23" s="1"/>
  <c r="B21" i="23"/>
  <c r="A21" i="23"/>
  <c r="J20" i="23"/>
  <c r="K20" i="23" s="1"/>
  <c r="I20" i="23"/>
  <c r="M20" i="23" s="1"/>
  <c r="B20" i="23"/>
  <c r="A20" i="23"/>
  <c r="K19" i="23"/>
  <c r="J19" i="23"/>
  <c r="I19" i="23"/>
  <c r="M19" i="23" s="1"/>
  <c r="A19" i="23" s="1"/>
  <c r="B19" i="23"/>
  <c r="J18" i="23"/>
  <c r="K18" i="23" s="1"/>
  <c r="I18" i="23"/>
  <c r="M18" i="23" s="1"/>
  <c r="A18" i="23" s="1"/>
  <c r="B18" i="23"/>
  <c r="M17" i="23"/>
  <c r="A17" i="23" s="1"/>
  <c r="J17" i="23"/>
  <c r="K17" i="23" s="1"/>
  <c r="I17" i="23"/>
  <c r="B17" i="23"/>
  <c r="J16" i="23"/>
  <c r="K16" i="23" s="1"/>
  <c r="I16" i="23"/>
  <c r="M16" i="23" s="1"/>
  <c r="A16" i="23" s="1"/>
  <c r="B16" i="23"/>
  <c r="J15" i="23"/>
  <c r="K15" i="23" s="1"/>
  <c r="I15" i="23"/>
  <c r="M15" i="23" s="1"/>
  <c r="B15" i="23"/>
  <c r="A15" i="23"/>
  <c r="AI14" i="23"/>
  <c r="M14" i="23"/>
  <c r="A14" i="23" s="1"/>
  <c r="K14" i="23"/>
  <c r="J14" i="23"/>
  <c r="I14" i="23"/>
  <c r="B14" i="23"/>
  <c r="AI13" i="23"/>
  <c r="M13" i="23"/>
  <c r="A13" i="23" s="1"/>
  <c r="K13" i="23"/>
  <c r="J13" i="23"/>
  <c r="I13" i="23"/>
  <c r="B13" i="23"/>
  <c r="AI12" i="23"/>
  <c r="J12" i="23"/>
  <c r="K12" i="23" s="1"/>
  <c r="M12" i="23" s="1"/>
  <c r="A12" i="23" s="1"/>
  <c r="I12" i="23"/>
  <c r="B12" i="23"/>
  <c r="J11" i="23"/>
  <c r="K11" i="23" s="1"/>
  <c r="I11" i="23"/>
  <c r="B11" i="23"/>
  <c r="J10" i="23"/>
  <c r="K10" i="23" s="1"/>
  <c r="I10" i="23"/>
  <c r="B10" i="23"/>
  <c r="L8" i="23"/>
  <c r="J8" i="23"/>
  <c r="K8" i="23" s="1"/>
  <c r="M8" i="23" s="1"/>
  <c r="A8" i="23" s="1"/>
  <c r="I8" i="23"/>
  <c r="B8" i="23"/>
  <c r="L7" i="23"/>
  <c r="J7" i="23"/>
  <c r="K7" i="23" s="1"/>
  <c r="I7" i="23"/>
  <c r="B7" i="23"/>
  <c r="L6" i="23"/>
  <c r="J6" i="23"/>
  <c r="K6" i="23" s="1"/>
  <c r="I6" i="23"/>
  <c r="B6" i="23"/>
  <c r="K2" i="23"/>
  <c r="J305" i="22"/>
  <c r="K305" i="22" s="1"/>
  <c r="I305" i="22"/>
  <c r="M305" i="22" s="1"/>
  <c r="J304" i="22"/>
  <c r="K304" i="22" s="1"/>
  <c r="I304" i="22"/>
  <c r="M304" i="22" s="1"/>
  <c r="K303" i="22"/>
  <c r="J303" i="22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K299" i="22"/>
  <c r="J299" i="22"/>
  <c r="I299" i="22"/>
  <c r="M299" i="22" s="1"/>
  <c r="J298" i="22"/>
  <c r="K298" i="22" s="1"/>
  <c r="I298" i="22"/>
  <c r="M298" i="22" s="1"/>
  <c r="J297" i="22"/>
  <c r="K297" i="22" s="1"/>
  <c r="I297" i="22"/>
  <c r="M297" i="22" s="1"/>
  <c r="M296" i="22"/>
  <c r="J296" i="22"/>
  <c r="K296" i="22" s="1"/>
  <c r="I296" i="22"/>
  <c r="J295" i="22"/>
  <c r="K295" i="22" s="1"/>
  <c r="I295" i="22"/>
  <c r="M295" i="22" s="1"/>
  <c r="M294" i="22"/>
  <c r="K294" i="22"/>
  <c r="J294" i="22"/>
  <c r="I294" i="22"/>
  <c r="J293" i="22"/>
  <c r="K293" i="22" s="1"/>
  <c r="I293" i="22"/>
  <c r="M293" i="22" s="1"/>
  <c r="M292" i="22"/>
  <c r="J292" i="22"/>
  <c r="K292" i="22" s="1"/>
  <c r="I292" i="22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K287" i="22"/>
  <c r="J287" i="22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K281" i="22"/>
  <c r="J281" i="22"/>
  <c r="I281" i="22"/>
  <c r="M281" i="22" s="1"/>
  <c r="M280" i="22"/>
  <c r="J280" i="22"/>
  <c r="K280" i="22" s="1"/>
  <c r="I280" i="22"/>
  <c r="J279" i="22"/>
  <c r="K279" i="22" s="1"/>
  <c r="I279" i="22"/>
  <c r="M279" i="22" s="1"/>
  <c r="M278" i="22"/>
  <c r="K278" i="22"/>
  <c r="J278" i="22"/>
  <c r="I278" i="22"/>
  <c r="J277" i="22"/>
  <c r="K277" i="22" s="1"/>
  <c r="I277" i="22"/>
  <c r="M277" i="22" s="1"/>
  <c r="M276" i="22"/>
  <c r="K276" i="22"/>
  <c r="J276" i="22"/>
  <c r="I276" i="22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K271" i="22"/>
  <c r="J271" i="22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K267" i="22"/>
  <c r="J267" i="22"/>
  <c r="I267" i="22"/>
  <c r="M267" i="22" s="1"/>
  <c r="J266" i="22"/>
  <c r="K266" i="22" s="1"/>
  <c r="I266" i="22"/>
  <c r="M266" i="22" s="1"/>
  <c r="J265" i="22"/>
  <c r="K265" i="22" s="1"/>
  <c r="I265" i="22"/>
  <c r="M265" i="22" s="1"/>
  <c r="M264" i="22"/>
  <c r="J264" i="22"/>
  <c r="K264" i="22" s="1"/>
  <c r="I264" i="22"/>
  <c r="J263" i="22"/>
  <c r="K263" i="22" s="1"/>
  <c r="I263" i="22"/>
  <c r="M263" i="22" s="1"/>
  <c r="M262" i="22"/>
  <c r="K262" i="22"/>
  <c r="J262" i="22"/>
  <c r="I262" i="22"/>
  <c r="J261" i="22"/>
  <c r="K261" i="22" s="1"/>
  <c r="I261" i="22"/>
  <c r="M261" i="22" s="1"/>
  <c r="M260" i="22"/>
  <c r="J260" i="22"/>
  <c r="K260" i="22" s="1"/>
  <c r="I260" i="22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K255" i="22"/>
  <c r="J255" i="22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K249" i="22"/>
  <c r="J249" i="22"/>
  <c r="I249" i="22"/>
  <c r="M249" i="22" s="1"/>
  <c r="M248" i="22"/>
  <c r="J248" i="22"/>
  <c r="K248" i="22" s="1"/>
  <c r="I248" i="22"/>
  <c r="J247" i="22"/>
  <c r="K247" i="22" s="1"/>
  <c r="I247" i="22"/>
  <c r="M247" i="22" s="1"/>
  <c r="M246" i="22"/>
  <c r="K246" i="22"/>
  <c r="J246" i="22"/>
  <c r="I246" i="22"/>
  <c r="J245" i="22"/>
  <c r="K245" i="22" s="1"/>
  <c r="I245" i="22"/>
  <c r="M245" i="22" s="1"/>
  <c r="M244" i="22"/>
  <c r="K244" i="22"/>
  <c r="J244" i="22"/>
  <c r="I244" i="22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K239" i="22"/>
  <c r="J239" i="22"/>
  <c r="I239" i="22"/>
  <c r="M239" i="22" s="1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K235" i="22"/>
  <c r="J235" i="22"/>
  <c r="I235" i="22"/>
  <c r="M235" i="22" s="1"/>
  <c r="J234" i="22"/>
  <c r="K234" i="22" s="1"/>
  <c r="I234" i="22"/>
  <c r="M234" i="22" s="1"/>
  <c r="J233" i="22"/>
  <c r="K233" i="22" s="1"/>
  <c r="I233" i="22"/>
  <c r="M233" i="22" s="1"/>
  <c r="M232" i="22"/>
  <c r="J232" i="22"/>
  <c r="K232" i="22" s="1"/>
  <c r="I232" i="22"/>
  <c r="J231" i="22"/>
  <c r="K231" i="22" s="1"/>
  <c r="I231" i="22"/>
  <c r="M231" i="22" s="1"/>
  <c r="M230" i="22"/>
  <c r="K230" i="22"/>
  <c r="J230" i="22"/>
  <c r="I230" i="22"/>
  <c r="J229" i="22"/>
  <c r="K229" i="22" s="1"/>
  <c r="I229" i="22"/>
  <c r="M229" i="22" s="1"/>
  <c r="M228" i="22"/>
  <c r="J228" i="22"/>
  <c r="K228" i="22" s="1"/>
  <c r="I228" i="22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K223" i="22"/>
  <c r="J223" i="22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M216" i="22"/>
  <c r="J216" i="22"/>
  <c r="K216" i="22" s="1"/>
  <c r="I216" i="22"/>
  <c r="J215" i="22"/>
  <c r="K215" i="22" s="1"/>
  <c r="I215" i="22"/>
  <c r="M215" i="22" s="1"/>
  <c r="M214" i="22"/>
  <c r="K214" i="22"/>
  <c r="J214" i="22"/>
  <c r="I214" i="22"/>
  <c r="J213" i="22"/>
  <c r="K213" i="22" s="1"/>
  <c r="I213" i="22"/>
  <c r="M213" i="22" s="1"/>
  <c r="M212" i="22"/>
  <c r="K212" i="22"/>
  <c r="J212" i="22"/>
  <c r="I212" i="22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K207" i="22"/>
  <c r="J207" i="22"/>
  <c r="I207" i="22"/>
  <c r="M207" i="22" s="1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K203" i="22"/>
  <c r="J203" i="22"/>
  <c r="I203" i="22"/>
  <c r="M203" i="22" s="1"/>
  <c r="J202" i="22"/>
  <c r="K202" i="22" s="1"/>
  <c r="I202" i="22"/>
  <c r="M202" i="22" s="1"/>
  <c r="J201" i="22"/>
  <c r="K201" i="22" s="1"/>
  <c r="I201" i="22"/>
  <c r="M201" i="22" s="1"/>
  <c r="M200" i="22"/>
  <c r="J200" i="22"/>
  <c r="K200" i="22" s="1"/>
  <c r="I200" i="22"/>
  <c r="J199" i="22"/>
  <c r="K199" i="22" s="1"/>
  <c r="I199" i="22"/>
  <c r="M199" i="22" s="1"/>
  <c r="M198" i="22"/>
  <c r="K198" i="22"/>
  <c r="J198" i="22"/>
  <c r="I198" i="22"/>
  <c r="J197" i="22"/>
  <c r="K197" i="22" s="1"/>
  <c r="I197" i="22"/>
  <c r="M197" i="22" s="1"/>
  <c r="M196" i="22"/>
  <c r="J196" i="22"/>
  <c r="K196" i="22" s="1"/>
  <c r="I196" i="22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K191" i="22"/>
  <c r="J191" i="22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K185" i="22"/>
  <c r="J185" i="22"/>
  <c r="I185" i="22"/>
  <c r="M185" i="22" s="1"/>
  <c r="M184" i="22"/>
  <c r="J184" i="22"/>
  <c r="K184" i="22" s="1"/>
  <c r="I184" i="22"/>
  <c r="J183" i="22"/>
  <c r="K183" i="22" s="1"/>
  <c r="I183" i="22"/>
  <c r="M183" i="22" s="1"/>
  <c r="M182" i="22"/>
  <c r="K182" i="22"/>
  <c r="J182" i="22"/>
  <c r="I182" i="22"/>
  <c r="J181" i="22"/>
  <c r="K181" i="22" s="1"/>
  <c r="I181" i="22"/>
  <c r="M181" i="22" s="1"/>
  <c r="M180" i="22"/>
  <c r="K180" i="22"/>
  <c r="J180" i="22"/>
  <c r="I180" i="22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K175" i="22"/>
  <c r="J175" i="22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K171" i="22"/>
  <c r="J171" i="22"/>
  <c r="I171" i="22"/>
  <c r="M171" i="22" s="1"/>
  <c r="J170" i="22"/>
  <c r="K170" i="22" s="1"/>
  <c r="I170" i="22"/>
  <c r="M170" i="22" s="1"/>
  <c r="J169" i="22"/>
  <c r="K169" i="22" s="1"/>
  <c r="I169" i="22"/>
  <c r="M169" i="22" s="1"/>
  <c r="M168" i="22"/>
  <c r="J168" i="22"/>
  <c r="K168" i="22" s="1"/>
  <c r="I168" i="22"/>
  <c r="J167" i="22"/>
  <c r="K167" i="22" s="1"/>
  <c r="I167" i="22"/>
  <c r="M167" i="22" s="1"/>
  <c r="M166" i="22"/>
  <c r="K166" i="22"/>
  <c r="J166" i="22"/>
  <c r="I166" i="22"/>
  <c r="J165" i="22"/>
  <c r="K165" i="22" s="1"/>
  <c r="I165" i="22"/>
  <c r="M165" i="22" s="1"/>
  <c r="M164" i="22"/>
  <c r="J164" i="22"/>
  <c r="K164" i="22" s="1"/>
  <c r="I164" i="22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K159" i="22"/>
  <c r="J159" i="22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K153" i="22"/>
  <c r="J153" i="22"/>
  <c r="I153" i="22"/>
  <c r="M153" i="22" s="1"/>
  <c r="M152" i="22"/>
  <c r="J152" i="22"/>
  <c r="K152" i="22" s="1"/>
  <c r="I152" i="22"/>
  <c r="J151" i="22"/>
  <c r="K151" i="22" s="1"/>
  <c r="I151" i="22"/>
  <c r="M151" i="22" s="1"/>
  <c r="M150" i="22"/>
  <c r="K150" i="22"/>
  <c r="J150" i="22"/>
  <c r="I150" i="22"/>
  <c r="J149" i="22"/>
  <c r="K149" i="22" s="1"/>
  <c r="I149" i="22"/>
  <c r="M149" i="22" s="1"/>
  <c r="M148" i="22"/>
  <c r="K148" i="22"/>
  <c r="J148" i="22"/>
  <c r="I148" i="22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K143" i="22"/>
  <c r="J143" i="22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K139" i="22"/>
  <c r="J139" i="22"/>
  <c r="I139" i="22"/>
  <c r="M139" i="22" s="1"/>
  <c r="J138" i="22"/>
  <c r="K138" i="22" s="1"/>
  <c r="I138" i="22"/>
  <c r="M138" i="22" s="1"/>
  <c r="J137" i="22"/>
  <c r="K137" i="22" s="1"/>
  <c r="I137" i="22"/>
  <c r="M137" i="22" s="1"/>
  <c r="M136" i="22"/>
  <c r="J136" i="22"/>
  <c r="K136" i="22" s="1"/>
  <c r="I136" i="22"/>
  <c r="J135" i="22"/>
  <c r="K135" i="22" s="1"/>
  <c r="I135" i="22"/>
  <c r="M135" i="22" s="1"/>
  <c r="M134" i="22"/>
  <c r="J134" i="22"/>
  <c r="K134" i="22" s="1"/>
  <c r="I134" i="22"/>
  <c r="K133" i="22"/>
  <c r="J133" i="22"/>
  <c r="I133" i="22"/>
  <c r="M133" i="22" s="1"/>
  <c r="M132" i="22"/>
  <c r="J132" i="22"/>
  <c r="K132" i="22" s="1"/>
  <c r="I132" i="22"/>
  <c r="J131" i="22"/>
  <c r="K131" i="22" s="1"/>
  <c r="I131" i="22"/>
  <c r="M131" i="22" s="1"/>
  <c r="M130" i="22"/>
  <c r="J130" i="22"/>
  <c r="K130" i="22" s="1"/>
  <c r="I130" i="22"/>
  <c r="J129" i="22"/>
  <c r="K129" i="22" s="1"/>
  <c r="I129" i="22"/>
  <c r="M129" i="22" s="1"/>
  <c r="M128" i="22"/>
  <c r="J128" i="22"/>
  <c r="K128" i="22" s="1"/>
  <c r="I128" i="22"/>
  <c r="J127" i="22"/>
  <c r="K127" i="22" s="1"/>
  <c r="I127" i="22"/>
  <c r="M127" i="22" s="1"/>
  <c r="M126" i="22"/>
  <c r="J126" i="22"/>
  <c r="K126" i="22" s="1"/>
  <c r="I126" i="22"/>
  <c r="K125" i="22"/>
  <c r="J125" i="22"/>
  <c r="I125" i="22"/>
  <c r="M125" i="22" s="1"/>
  <c r="M124" i="22"/>
  <c r="J124" i="22"/>
  <c r="K124" i="22" s="1"/>
  <c r="I124" i="22"/>
  <c r="J123" i="22"/>
  <c r="K123" i="22" s="1"/>
  <c r="I123" i="22"/>
  <c r="M123" i="22" s="1"/>
  <c r="M122" i="22"/>
  <c r="J122" i="22"/>
  <c r="K122" i="22" s="1"/>
  <c r="I122" i="22"/>
  <c r="J121" i="22"/>
  <c r="K121" i="22" s="1"/>
  <c r="I121" i="22"/>
  <c r="M121" i="22" s="1"/>
  <c r="M120" i="22"/>
  <c r="J120" i="22"/>
  <c r="K120" i="22" s="1"/>
  <c r="I120" i="22"/>
  <c r="J119" i="22"/>
  <c r="K119" i="22" s="1"/>
  <c r="I119" i="22"/>
  <c r="M119" i="22" s="1"/>
  <c r="M118" i="22"/>
  <c r="J118" i="22"/>
  <c r="K118" i="22" s="1"/>
  <c r="I118" i="22"/>
  <c r="K117" i="22"/>
  <c r="J117" i="22"/>
  <c r="I117" i="22"/>
  <c r="M117" i="22" s="1"/>
  <c r="M116" i="22"/>
  <c r="J116" i="22"/>
  <c r="K116" i="22" s="1"/>
  <c r="I116" i="22"/>
  <c r="J115" i="22"/>
  <c r="K115" i="22" s="1"/>
  <c r="I115" i="22"/>
  <c r="M115" i="22" s="1"/>
  <c r="M114" i="22"/>
  <c r="J114" i="22"/>
  <c r="K114" i="22" s="1"/>
  <c r="I114" i="22"/>
  <c r="J113" i="22"/>
  <c r="K113" i="22" s="1"/>
  <c r="I113" i="22"/>
  <c r="M113" i="22" s="1"/>
  <c r="M112" i="22"/>
  <c r="J112" i="22"/>
  <c r="K112" i="22" s="1"/>
  <c r="I112" i="22"/>
  <c r="J111" i="22"/>
  <c r="K111" i="22" s="1"/>
  <c r="I111" i="22"/>
  <c r="M111" i="22" s="1"/>
  <c r="M110" i="22"/>
  <c r="J110" i="22"/>
  <c r="K110" i="22" s="1"/>
  <c r="I110" i="22"/>
  <c r="K109" i="22"/>
  <c r="J109" i="22"/>
  <c r="I109" i="22"/>
  <c r="M109" i="22" s="1"/>
  <c r="M108" i="22"/>
  <c r="J108" i="22"/>
  <c r="K108" i="22" s="1"/>
  <c r="I108" i="22"/>
  <c r="J107" i="22"/>
  <c r="K107" i="22" s="1"/>
  <c r="I107" i="22"/>
  <c r="M107" i="22" s="1"/>
  <c r="M106" i="22"/>
  <c r="J106" i="22"/>
  <c r="K106" i="22" s="1"/>
  <c r="I106" i="22"/>
  <c r="J105" i="22"/>
  <c r="K105" i="22" s="1"/>
  <c r="I105" i="22"/>
  <c r="M105" i="22" s="1"/>
  <c r="M104" i="22"/>
  <c r="J104" i="22"/>
  <c r="K104" i="22" s="1"/>
  <c r="I104" i="22"/>
  <c r="J103" i="22"/>
  <c r="K103" i="22" s="1"/>
  <c r="I103" i="22"/>
  <c r="M103" i="22" s="1"/>
  <c r="M102" i="22"/>
  <c r="J102" i="22"/>
  <c r="K102" i="22" s="1"/>
  <c r="I102" i="22"/>
  <c r="K101" i="22"/>
  <c r="J101" i="22"/>
  <c r="I101" i="22"/>
  <c r="M101" i="22" s="1"/>
  <c r="M100" i="22"/>
  <c r="J100" i="22"/>
  <c r="K100" i="22" s="1"/>
  <c r="I100" i="22"/>
  <c r="J99" i="22"/>
  <c r="K99" i="22" s="1"/>
  <c r="I99" i="22"/>
  <c r="M99" i="22" s="1"/>
  <c r="M98" i="22"/>
  <c r="J98" i="22"/>
  <c r="K98" i="22" s="1"/>
  <c r="I98" i="22"/>
  <c r="J97" i="22"/>
  <c r="K97" i="22" s="1"/>
  <c r="I97" i="22"/>
  <c r="M97" i="22" s="1"/>
  <c r="M96" i="22"/>
  <c r="J96" i="22"/>
  <c r="K96" i="22" s="1"/>
  <c r="I96" i="22"/>
  <c r="J95" i="22"/>
  <c r="K95" i="22" s="1"/>
  <c r="I95" i="22"/>
  <c r="M95" i="22" s="1"/>
  <c r="M94" i="22"/>
  <c r="J94" i="22"/>
  <c r="K94" i="22" s="1"/>
  <c r="I94" i="22"/>
  <c r="K93" i="22"/>
  <c r="J93" i="22"/>
  <c r="I93" i="22"/>
  <c r="M93" i="22" s="1"/>
  <c r="M92" i="22"/>
  <c r="J92" i="22"/>
  <c r="K92" i="22" s="1"/>
  <c r="I92" i="22"/>
  <c r="J91" i="22"/>
  <c r="K91" i="22" s="1"/>
  <c r="I91" i="22"/>
  <c r="M91" i="22" s="1"/>
  <c r="M90" i="22"/>
  <c r="J90" i="22"/>
  <c r="K90" i="22" s="1"/>
  <c r="I90" i="22"/>
  <c r="J89" i="22"/>
  <c r="K89" i="22" s="1"/>
  <c r="I89" i="22"/>
  <c r="M89" i="22" s="1"/>
  <c r="M88" i="22"/>
  <c r="J88" i="22"/>
  <c r="K88" i="22" s="1"/>
  <c r="I88" i="22"/>
  <c r="J87" i="22"/>
  <c r="K87" i="22" s="1"/>
  <c r="I87" i="22"/>
  <c r="M87" i="22" s="1"/>
  <c r="M86" i="22"/>
  <c r="J86" i="22"/>
  <c r="K86" i="22" s="1"/>
  <c r="I86" i="22"/>
  <c r="K85" i="22"/>
  <c r="J85" i="22"/>
  <c r="I85" i="22"/>
  <c r="M85" i="22" s="1"/>
  <c r="M84" i="22"/>
  <c r="J84" i="22"/>
  <c r="K84" i="22" s="1"/>
  <c r="I84" i="22"/>
  <c r="J83" i="22"/>
  <c r="K83" i="22" s="1"/>
  <c r="I83" i="22"/>
  <c r="M83" i="22" s="1"/>
  <c r="M82" i="22"/>
  <c r="J82" i="22"/>
  <c r="K82" i="22" s="1"/>
  <c r="I82" i="22"/>
  <c r="J81" i="22"/>
  <c r="K81" i="22" s="1"/>
  <c r="I81" i="22"/>
  <c r="M81" i="22" s="1"/>
  <c r="M80" i="22"/>
  <c r="J80" i="22"/>
  <c r="K80" i="22" s="1"/>
  <c r="I80" i="22"/>
  <c r="J79" i="22"/>
  <c r="K79" i="22" s="1"/>
  <c r="I79" i="22"/>
  <c r="M79" i="22" s="1"/>
  <c r="M78" i="22"/>
  <c r="J78" i="22"/>
  <c r="K78" i="22" s="1"/>
  <c r="I78" i="22"/>
  <c r="K77" i="22"/>
  <c r="J77" i="22"/>
  <c r="I77" i="22"/>
  <c r="M77" i="22" s="1"/>
  <c r="M76" i="22"/>
  <c r="J76" i="22"/>
  <c r="K76" i="22" s="1"/>
  <c r="I76" i="22"/>
  <c r="J75" i="22"/>
  <c r="K75" i="22" s="1"/>
  <c r="I75" i="22"/>
  <c r="M75" i="22" s="1"/>
  <c r="M74" i="22"/>
  <c r="J74" i="22"/>
  <c r="K74" i="22" s="1"/>
  <c r="I74" i="22"/>
  <c r="J73" i="22"/>
  <c r="K73" i="22" s="1"/>
  <c r="I73" i="22"/>
  <c r="M73" i="22" s="1"/>
  <c r="M72" i="22"/>
  <c r="J72" i="22"/>
  <c r="K72" i="22" s="1"/>
  <c r="I72" i="22"/>
  <c r="J71" i="22"/>
  <c r="K71" i="22" s="1"/>
  <c r="I71" i="22"/>
  <c r="M71" i="22" s="1"/>
  <c r="M70" i="22"/>
  <c r="J70" i="22"/>
  <c r="K70" i="22" s="1"/>
  <c r="I70" i="22"/>
  <c r="K69" i="22"/>
  <c r="J69" i="22"/>
  <c r="I69" i="22"/>
  <c r="M69" i="22" s="1"/>
  <c r="M68" i="22"/>
  <c r="J68" i="22"/>
  <c r="K68" i="22" s="1"/>
  <c r="I68" i="22"/>
  <c r="J67" i="22"/>
  <c r="K67" i="22" s="1"/>
  <c r="I67" i="22"/>
  <c r="M67" i="22" s="1"/>
  <c r="M66" i="22"/>
  <c r="J66" i="22"/>
  <c r="K66" i="22" s="1"/>
  <c r="I66" i="22"/>
  <c r="J65" i="22"/>
  <c r="K65" i="22" s="1"/>
  <c r="I65" i="22"/>
  <c r="M65" i="22" s="1"/>
  <c r="B65" i="22"/>
  <c r="J64" i="22"/>
  <c r="K64" i="22" s="1"/>
  <c r="I64" i="22"/>
  <c r="M64" i="22" s="1"/>
  <c r="B64" i="22"/>
  <c r="M63" i="22"/>
  <c r="J63" i="22"/>
  <c r="K63" i="22" s="1"/>
  <c r="I63" i="22"/>
  <c r="B63" i="22"/>
  <c r="J62" i="22"/>
  <c r="K62" i="22" s="1"/>
  <c r="I62" i="22"/>
  <c r="M62" i="22" s="1"/>
  <c r="B62" i="22"/>
  <c r="M61" i="22"/>
  <c r="J61" i="22"/>
  <c r="K61" i="22" s="1"/>
  <c r="I61" i="22"/>
  <c r="B61" i="22"/>
  <c r="M60" i="22"/>
  <c r="K60" i="22"/>
  <c r="J60" i="22"/>
  <c r="I60" i="22"/>
  <c r="B60" i="22"/>
  <c r="J59" i="22"/>
  <c r="K59" i="22" s="1"/>
  <c r="I59" i="22"/>
  <c r="M59" i="22" s="1"/>
  <c r="B59" i="22"/>
  <c r="M58" i="22"/>
  <c r="K58" i="22"/>
  <c r="J58" i="22"/>
  <c r="I58" i="22"/>
  <c r="B58" i="22"/>
  <c r="J57" i="22"/>
  <c r="K57" i="22" s="1"/>
  <c r="I57" i="22"/>
  <c r="M57" i="22" s="1"/>
  <c r="B57" i="22"/>
  <c r="J56" i="22"/>
  <c r="K56" i="22" s="1"/>
  <c r="I56" i="22"/>
  <c r="M56" i="22" s="1"/>
  <c r="B56" i="22"/>
  <c r="M55" i="22"/>
  <c r="J55" i="22"/>
  <c r="K55" i="22" s="1"/>
  <c r="I55" i="22"/>
  <c r="B55" i="22"/>
  <c r="J54" i="22"/>
  <c r="K54" i="22" s="1"/>
  <c r="I54" i="22"/>
  <c r="M54" i="22" s="1"/>
  <c r="B54" i="22"/>
  <c r="M53" i="22"/>
  <c r="J53" i="22"/>
  <c r="K53" i="22" s="1"/>
  <c r="I53" i="22"/>
  <c r="B53" i="22"/>
  <c r="M52" i="22"/>
  <c r="K52" i="22"/>
  <c r="J52" i="22"/>
  <c r="I52" i="22"/>
  <c r="B52" i="22"/>
  <c r="J51" i="22"/>
  <c r="K51" i="22" s="1"/>
  <c r="I51" i="22"/>
  <c r="M51" i="22" s="1"/>
  <c r="B51" i="22"/>
  <c r="M50" i="22"/>
  <c r="K50" i="22"/>
  <c r="J50" i="22"/>
  <c r="I50" i="22"/>
  <c r="B50" i="22"/>
  <c r="J49" i="22"/>
  <c r="K49" i="22" s="1"/>
  <c r="I49" i="22"/>
  <c r="M49" i="22" s="1"/>
  <c r="B49" i="22"/>
  <c r="J48" i="22"/>
  <c r="K48" i="22" s="1"/>
  <c r="I48" i="22"/>
  <c r="M48" i="22" s="1"/>
  <c r="B48" i="22"/>
  <c r="M47" i="22"/>
  <c r="J47" i="22"/>
  <c r="K47" i="22" s="1"/>
  <c r="I47" i="22"/>
  <c r="B47" i="22"/>
  <c r="T46" i="22"/>
  <c r="R46" i="22"/>
  <c r="U46" i="22" s="1"/>
  <c r="M46" i="22"/>
  <c r="J46" i="22"/>
  <c r="K46" i="22" s="1"/>
  <c r="I46" i="22"/>
  <c r="B46" i="22"/>
  <c r="J45" i="22"/>
  <c r="K45" i="22" s="1"/>
  <c r="I45" i="22"/>
  <c r="M45" i="22" s="1"/>
  <c r="B45" i="22"/>
  <c r="M44" i="22"/>
  <c r="J44" i="22"/>
  <c r="K44" i="22" s="1"/>
  <c r="I44" i="22"/>
  <c r="B44" i="22"/>
  <c r="M43" i="22"/>
  <c r="K43" i="22"/>
  <c r="J43" i="22"/>
  <c r="I43" i="22"/>
  <c r="B43" i="22"/>
  <c r="J42" i="22"/>
  <c r="K42" i="22" s="1"/>
  <c r="I42" i="22"/>
  <c r="M42" i="22" s="1"/>
  <c r="B42" i="22"/>
  <c r="M41" i="22"/>
  <c r="K41" i="22"/>
  <c r="J41" i="22"/>
  <c r="I41" i="22"/>
  <c r="B41" i="22"/>
  <c r="J40" i="22"/>
  <c r="K40" i="22" s="1"/>
  <c r="I40" i="22"/>
  <c r="M40" i="22" s="1"/>
  <c r="B40" i="22"/>
  <c r="J39" i="22"/>
  <c r="K39" i="22" s="1"/>
  <c r="I39" i="22"/>
  <c r="M39" i="22" s="1"/>
  <c r="B39" i="22"/>
  <c r="M38" i="22"/>
  <c r="J38" i="22"/>
  <c r="K38" i="22" s="1"/>
  <c r="I38" i="22"/>
  <c r="B38" i="22"/>
  <c r="J37" i="22"/>
  <c r="K37" i="22" s="1"/>
  <c r="I37" i="22"/>
  <c r="M37" i="22" s="1"/>
  <c r="A37" i="22" s="1"/>
  <c r="B37" i="22"/>
  <c r="J36" i="22"/>
  <c r="K36" i="22" s="1"/>
  <c r="I36" i="22"/>
  <c r="M36" i="22" s="1"/>
  <c r="B36" i="22"/>
  <c r="A36" i="22"/>
  <c r="M35" i="22"/>
  <c r="A35" i="22" s="1"/>
  <c r="K35" i="22"/>
  <c r="J35" i="22"/>
  <c r="I35" i="22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B33" i="22"/>
  <c r="A33" i="22"/>
  <c r="J32" i="22"/>
  <c r="K32" i="22" s="1"/>
  <c r="I32" i="22"/>
  <c r="M32" i="22" s="1"/>
  <c r="A32" i="22" s="1"/>
  <c r="B32" i="22"/>
  <c r="M31" i="22"/>
  <c r="A31" i="22" s="1"/>
  <c r="K31" i="22"/>
  <c r="J31" i="22"/>
  <c r="I31" i="22"/>
  <c r="B31" i="22"/>
  <c r="M30" i="22"/>
  <c r="A30" i="22" s="1"/>
  <c r="K30" i="22"/>
  <c r="J30" i="22"/>
  <c r="I30" i="22"/>
  <c r="B30" i="22"/>
  <c r="J29" i="22"/>
  <c r="K29" i="22" s="1"/>
  <c r="I29" i="22"/>
  <c r="M29" i="22" s="1"/>
  <c r="B29" i="22"/>
  <c r="A29" i="22"/>
  <c r="J28" i="22"/>
  <c r="K28" i="22" s="1"/>
  <c r="I28" i="22"/>
  <c r="M28" i="22" s="1"/>
  <c r="A28" i="22" s="1"/>
  <c r="B28" i="22"/>
  <c r="M27" i="22"/>
  <c r="A27" i="22" s="1"/>
  <c r="K27" i="22"/>
  <c r="J27" i="22"/>
  <c r="I27" i="22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J24" i="22"/>
  <c r="K24" i="22" s="1"/>
  <c r="I24" i="22"/>
  <c r="M24" i="22" s="1"/>
  <c r="B24" i="22"/>
  <c r="A24" i="22"/>
  <c r="M23" i="22"/>
  <c r="A23" i="22" s="1"/>
  <c r="K23" i="22"/>
  <c r="J23" i="22"/>
  <c r="I23" i="22"/>
  <c r="B23" i="22"/>
  <c r="J22" i="22"/>
  <c r="K22" i="22" s="1"/>
  <c r="I22" i="22"/>
  <c r="M22" i="22" s="1"/>
  <c r="A22" i="22" s="1"/>
  <c r="B22" i="22"/>
  <c r="J21" i="22"/>
  <c r="K21" i="22" s="1"/>
  <c r="I21" i="22"/>
  <c r="M21" i="22" s="1"/>
  <c r="A21" i="22" s="1"/>
  <c r="B21" i="22"/>
  <c r="J20" i="22"/>
  <c r="K20" i="22" s="1"/>
  <c r="I20" i="22"/>
  <c r="M20" i="22" s="1"/>
  <c r="B20" i="22"/>
  <c r="A20" i="22"/>
  <c r="M19" i="22"/>
  <c r="A19" i="22" s="1"/>
  <c r="K19" i="22"/>
  <c r="J19" i="22"/>
  <c r="I19" i="22"/>
  <c r="B19" i="22"/>
  <c r="J18" i="22"/>
  <c r="K18" i="22" s="1"/>
  <c r="M18" i="22" s="1"/>
  <c r="A18" i="22" s="1"/>
  <c r="I18" i="22"/>
  <c r="B18" i="22"/>
  <c r="J17" i="22"/>
  <c r="K17" i="22" s="1"/>
  <c r="I17" i="22"/>
  <c r="B17" i="22"/>
  <c r="J16" i="22"/>
  <c r="K16" i="22" s="1"/>
  <c r="I16" i="22"/>
  <c r="B16" i="22"/>
  <c r="J15" i="22"/>
  <c r="K15" i="22" s="1"/>
  <c r="M15" i="22" s="1"/>
  <c r="A15" i="22" s="1"/>
  <c r="I15" i="22"/>
  <c r="B15" i="22"/>
  <c r="AI14" i="22"/>
  <c r="K14" i="22"/>
  <c r="M14" i="22" s="1"/>
  <c r="A14" i="22" s="1"/>
  <c r="J14" i="22"/>
  <c r="I14" i="22"/>
  <c r="B14" i="22"/>
  <c r="AI13" i="22"/>
  <c r="J13" i="22"/>
  <c r="K13" i="22" s="1"/>
  <c r="M13" i="22" s="1"/>
  <c r="A13" i="22" s="1"/>
  <c r="I13" i="22"/>
  <c r="B13" i="22"/>
  <c r="AI12" i="22"/>
  <c r="K12" i="22"/>
  <c r="M12" i="22" s="1"/>
  <c r="A12" i="22" s="1"/>
  <c r="J12" i="22"/>
  <c r="I12" i="22"/>
  <c r="B12" i="22"/>
  <c r="J11" i="22"/>
  <c r="K11" i="22" s="1"/>
  <c r="I11" i="22"/>
  <c r="B11" i="22"/>
  <c r="J10" i="22"/>
  <c r="K10" i="22" s="1"/>
  <c r="I10" i="22"/>
  <c r="B10" i="22"/>
  <c r="L8" i="22"/>
  <c r="J8" i="22"/>
  <c r="K8" i="22" s="1"/>
  <c r="M8" i="22" s="1"/>
  <c r="A8" i="22" s="1"/>
  <c r="I8" i="22"/>
  <c r="B8" i="22"/>
  <c r="L7" i="22"/>
  <c r="J7" i="22"/>
  <c r="K7" i="22" s="1"/>
  <c r="I7" i="22"/>
  <c r="M7" i="22" s="1"/>
  <c r="A7" i="22" s="1"/>
  <c r="B7" i="22"/>
  <c r="L6" i="22"/>
  <c r="K6" i="22"/>
  <c r="J6" i="22"/>
  <c r="I6" i="22"/>
  <c r="B6" i="22"/>
  <c r="K2" i="22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J305" i="21"/>
  <c r="K305" i="21" s="1"/>
  <c r="I305" i="21"/>
  <c r="M305" i="21" s="1"/>
  <c r="J304" i="21"/>
  <c r="K304" i="21" s="1"/>
  <c r="I304" i="21"/>
  <c r="M304" i="21" s="1"/>
  <c r="M303" i="21"/>
  <c r="J303" i="21"/>
  <c r="K303" i="21" s="1"/>
  <c r="I303" i="21"/>
  <c r="J302" i="21"/>
  <c r="K302" i="21" s="1"/>
  <c r="I302" i="21"/>
  <c r="M302" i="21" s="1"/>
  <c r="J301" i="21"/>
  <c r="K301" i="21" s="1"/>
  <c r="I301" i="21"/>
  <c r="M301" i="21" s="1"/>
  <c r="J300" i="21"/>
  <c r="K300" i="21" s="1"/>
  <c r="I300" i="21"/>
  <c r="M300" i="21" s="1"/>
  <c r="J299" i="21"/>
  <c r="K299" i="21" s="1"/>
  <c r="I299" i="21"/>
  <c r="M299" i="21" s="1"/>
  <c r="J298" i="21"/>
  <c r="K298" i="21" s="1"/>
  <c r="I298" i="21"/>
  <c r="M298" i="21" s="1"/>
  <c r="M297" i="21"/>
  <c r="J297" i="21"/>
  <c r="K297" i="21" s="1"/>
  <c r="I297" i="21"/>
  <c r="J296" i="21"/>
  <c r="K296" i="21" s="1"/>
  <c r="I296" i="21"/>
  <c r="M296" i="21" s="1"/>
  <c r="J295" i="21"/>
  <c r="K295" i="21" s="1"/>
  <c r="I295" i="21"/>
  <c r="M295" i="21" s="1"/>
  <c r="J294" i="21"/>
  <c r="K294" i="21" s="1"/>
  <c r="I294" i="21"/>
  <c r="M294" i="21" s="1"/>
  <c r="J293" i="21"/>
  <c r="K293" i="21" s="1"/>
  <c r="I293" i="21"/>
  <c r="M293" i="21" s="1"/>
  <c r="J292" i="21"/>
  <c r="K292" i="21" s="1"/>
  <c r="I292" i="21"/>
  <c r="M292" i="21" s="1"/>
  <c r="J291" i="21"/>
  <c r="K291" i="21" s="1"/>
  <c r="I291" i="21"/>
  <c r="M291" i="21" s="1"/>
  <c r="J290" i="21"/>
  <c r="K290" i="21" s="1"/>
  <c r="I290" i="21"/>
  <c r="M290" i="21" s="1"/>
  <c r="J289" i="21"/>
  <c r="K289" i="21" s="1"/>
  <c r="I289" i="21"/>
  <c r="M289" i="21" s="1"/>
  <c r="J288" i="21"/>
  <c r="K288" i="21" s="1"/>
  <c r="I288" i="21"/>
  <c r="M288" i="21" s="1"/>
  <c r="J287" i="21"/>
  <c r="K287" i="21" s="1"/>
  <c r="I287" i="21"/>
  <c r="M287" i="21" s="1"/>
  <c r="J286" i="21"/>
  <c r="K286" i="21" s="1"/>
  <c r="I286" i="21"/>
  <c r="M286" i="21" s="1"/>
  <c r="J285" i="21"/>
  <c r="K285" i="21" s="1"/>
  <c r="I285" i="21"/>
  <c r="M285" i="21" s="1"/>
  <c r="J284" i="21"/>
  <c r="K284" i="21" s="1"/>
  <c r="I284" i="21"/>
  <c r="M284" i="21" s="1"/>
  <c r="J283" i="21"/>
  <c r="K283" i="21" s="1"/>
  <c r="I283" i="21"/>
  <c r="M283" i="21" s="1"/>
  <c r="J282" i="21"/>
  <c r="K282" i="21" s="1"/>
  <c r="I282" i="21"/>
  <c r="M282" i="21" s="1"/>
  <c r="J281" i="21"/>
  <c r="K281" i="21" s="1"/>
  <c r="I281" i="21"/>
  <c r="M281" i="21" s="1"/>
  <c r="J280" i="21"/>
  <c r="K280" i="21" s="1"/>
  <c r="I280" i="21"/>
  <c r="M280" i="21" s="1"/>
  <c r="M279" i="21"/>
  <c r="J279" i="21"/>
  <c r="K279" i="21" s="1"/>
  <c r="I279" i="21"/>
  <c r="J278" i="21"/>
  <c r="K278" i="21" s="1"/>
  <c r="I278" i="21"/>
  <c r="M278" i="21" s="1"/>
  <c r="J277" i="21"/>
  <c r="K277" i="21" s="1"/>
  <c r="I277" i="21"/>
  <c r="M277" i="21" s="1"/>
  <c r="J276" i="21"/>
  <c r="K276" i="21" s="1"/>
  <c r="I276" i="21"/>
  <c r="M276" i="21" s="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J271" i="21"/>
  <c r="K271" i="21" s="1"/>
  <c r="I271" i="21"/>
  <c r="M271" i="21" s="1"/>
  <c r="J270" i="21"/>
  <c r="K270" i="21" s="1"/>
  <c r="I270" i="21"/>
  <c r="M270" i="21" s="1"/>
  <c r="J269" i="21"/>
  <c r="K269" i="21" s="1"/>
  <c r="I269" i="21"/>
  <c r="M269" i="21" s="1"/>
  <c r="J268" i="21"/>
  <c r="K268" i="21" s="1"/>
  <c r="I268" i="21"/>
  <c r="M268" i="21" s="1"/>
  <c r="J267" i="21"/>
  <c r="K267" i="21" s="1"/>
  <c r="I267" i="21"/>
  <c r="M267" i="21" s="1"/>
  <c r="J266" i="21"/>
  <c r="K266" i="21" s="1"/>
  <c r="I266" i="21"/>
  <c r="M266" i="21" s="1"/>
  <c r="M265" i="21"/>
  <c r="J265" i="21"/>
  <c r="K265" i="21" s="1"/>
  <c r="I265" i="21"/>
  <c r="J264" i="21"/>
  <c r="K264" i="21" s="1"/>
  <c r="I264" i="21"/>
  <c r="M264" i="21" s="1"/>
  <c r="J263" i="21"/>
  <c r="K263" i="21" s="1"/>
  <c r="I263" i="21"/>
  <c r="M263" i="21" s="1"/>
  <c r="J262" i="21"/>
  <c r="K262" i="21" s="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J258" i="21"/>
  <c r="K258" i="21" s="1"/>
  <c r="I258" i="21"/>
  <c r="M258" i="21" s="1"/>
  <c r="J257" i="21"/>
  <c r="K257" i="21" s="1"/>
  <c r="I257" i="21"/>
  <c r="M257" i="21" s="1"/>
  <c r="J256" i="21"/>
  <c r="K256" i="21" s="1"/>
  <c r="I256" i="21"/>
  <c r="M256" i="21" s="1"/>
  <c r="J255" i="21"/>
  <c r="K255" i="21" s="1"/>
  <c r="I255" i="21"/>
  <c r="M255" i="21" s="1"/>
  <c r="J254" i="21"/>
  <c r="K254" i="21" s="1"/>
  <c r="I254" i="21"/>
  <c r="M254" i="21" s="1"/>
  <c r="J253" i="21"/>
  <c r="K253" i="21" s="1"/>
  <c r="I253" i="21"/>
  <c r="M253" i="21" s="1"/>
  <c r="J252" i="21"/>
  <c r="K252" i="21" s="1"/>
  <c r="I252" i="21"/>
  <c r="M252" i="21" s="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M247" i="21"/>
  <c r="J247" i="21"/>
  <c r="K247" i="21" s="1"/>
  <c r="I247" i="21"/>
  <c r="J246" i="21"/>
  <c r="K246" i="21" s="1"/>
  <c r="I246" i="21"/>
  <c r="M246" i="21" s="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J236" i="21"/>
  <c r="K236" i="21" s="1"/>
  <c r="I236" i="21"/>
  <c r="M236" i="21" s="1"/>
  <c r="J235" i="21"/>
  <c r="K235" i="21" s="1"/>
  <c r="I235" i="21"/>
  <c r="M235" i="21" s="1"/>
  <c r="J234" i="21"/>
  <c r="K234" i="21" s="1"/>
  <c r="I234" i="21"/>
  <c r="M234" i="21" s="1"/>
  <c r="M233" i="21"/>
  <c r="J233" i="21"/>
  <c r="K233" i="21" s="1"/>
  <c r="I233" i="21"/>
  <c r="J232" i="21"/>
  <c r="K232" i="21" s="1"/>
  <c r="I232" i="21"/>
  <c r="M232" i="21" s="1"/>
  <c r="J231" i="21"/>
  <c r="K231" i="21" s="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J226" i="21"/>
  <c r="K226" i="21" s="1"/>
  <c r="I226" i="21"/>
  <c r="M226" i="21" s="1"/>
  <c r="J225" i="21"/>
  <c r="K225" i="21" s="1"/>
  <c r="I225" i="21"/>
  <c r="M225" i="21" s="1"/>
  <c r="J224" i="21"/>
  <c r="K224" i="21" s="1"/>
  <c r="I224" i="21"/>
  <c r="M224" i="21" s="1"/>
  <c r="J223" i="21"/>
  <c r="K223" i="21" s="1"/>
  <c r="I223" i="21"/>
  <c r="M223" i="21" s="1"/>
  <c r="J222" i="21"/>
  <c r="K222" i="21" s="1"/>
  <c r="I222" i="21"/>
  <c r="M222" i="21" s="1"/>
  <c r="J221" i="21"/>
  <c r="K221" i="21" s="1"/>
  <c r="I221" i="21"/>
  <c r="M221" i="21" s="1"/>
  <c r="J220" i="21"/>
  <c r="K220" i="21" s="1"/>
  <c r="I220" i="21"/>
  <c r="M220" i="21" s="1"/>
  <c r="J219" i="21"/>
  <c r="K219" i="21" s="1"/>
  <c r="I219" i="21"/>
  <c r="M219" i="21" s="1"/>
  <c r="J218" i="21"/>
  <c r="K218" i="21" s="1"/>
  <c r="I218" i="21"/>
  <c r="M218" i="21" s="1"/>
  <c r="J217" i="21"/>
  <c r="K217" i="21" s="1"/>
  <c r="I217" i="21"/>
  <c r="M217" i="21" s="1"/>
  <c r="J216" i="21"/>
  <c r="K216" i="21" s="1"/>
  <c r="I216" i="21"/>
  <c r="M216" i="21" s="1"/>
  <c r="J215" i="21"/>
  <c r="K215" i="21" s="1"/>
  <c r="I215" i="21"/>
  <c r="M215" i="21" s="1"/>
  <c r="J214" i="21"/>
  <c r="K214" i="21" s="1"/>
  <c r="I214" i="21"/>
  <c r="M214" i="21" s="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J210" i="21"/>
  <c r="K210" i="21" s="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J203" i="21"/>
  <c r="K203" i="21" s="1"/>
  <c r="I203" i="21"/>
  <c r="M203" i="21" s="1"/>
  <c r="J202" i="21"/>
  <c r="K202" i="21" s="1"/>
  <c r="I202" i="21"/>
  <c r="M202" i="21" s="1"/>
  <c r="J201" i="21"/>
  <c r="K201" i="21" s="1"/>
  <c r="I201" i="21"/>
  <c r="M201" i="21" s="1"/>
  <c r="J200" i="21"/>
  <c r="K200" i="21" s="1"/>
  <c r="I200" i="21"/>
  <c r="M200" i="21" s="1"/>
  <c r="J199" i="21"/>
  <c r="K199" i="21" s="1"/>
  <c r="I199" i="21"/>
  <c r="M199" i="21" s="1"/>
  <c r="J198" i="21"/>
  <c r="K198" i="21" s="1"/>
  <c r="I198" i="21"/>
  <c r="M198" i="21" s="1"/>
  <c r="J197" i="21"/>
  <c r="K197" i="21" s="1"/>
  <c r="I197" i="21"/>
  <c r="M197" i="21" s="1"/>
  <c r="J196" i="21"/>
  <c r="K196" i="21" s="1"/>
  <c r="I196" i="21"/>
  <c r="M196" i="21" s="1"/>
  <c r="M195" i="21"/>
  <c r="J195" i="21"/>
  <c r="K195" i="21" s="1"/>
  <c r="I195" i="21"/>
  <c r="J194" i="21"/>
  <c r="K194" i="21" s="1"/>
  <c r="I194" i="21"/>
  <c r="M194" i="21" s="1"/>
  <c r="J193" i="21"/>
  <c r="K193" i="21" s="1"/>
  <c r="I193" i="21"/>
  <c r="M193" i="21" s="1"/>
  <c r="J192" i="21"/>
  <c r="K192" i="21" s="1"/>
  <c r="I192" i="21"/>
  <c r="M192" i="21" s="1"/>
  <c r="J191" i="21"/>
  <c r="K191" i="21" s="1"/>
  <c r="I191" i="21"/>
  <c r="M191" i="21" s="1"/>
  <c r="J190" i="21"/>
  <c r="K190" i="21" s="1"/>
  <c r="I190" i="21"/>
  <c r="M190" i="21" s="1"/>
  <c r="J189" i="21"/>
  <c r="K189" i="21" s="1"/>
  <c r="I189" i="21"/>
  <c r="M189" i="21" s="1"/>
  <c r="J188" i="21"/>
  <c r="K188" i="21" s="1"/>
  <c r="I188" i="21"/>
  <c r="M188" i="21" s="1"/>
  <c r="J187" i="21"/>
  <c r="K187" i="21" s="1"/>
  <c r="I187" i="21"/>
  <c r="M187" i="21" s="1"/>
  <c r="J186" i="21"/>
  <c r="K186" i="21" s="1"/>
  <c r="I186" i="21"/>
  <c r="M186" i="21" s="1"/>
  <c r="M185" i="21"/>
  <c r="J185" i="21"/>
  <c r="K185" i="21" s="1"/>
  <c r="I185" i="21"/>
  <c r="J184" i="21"/>
  <c r="K184" i="21" s="1"/>
  <c r="I184" i="21"/>
  <c r="M184" i="21" s="1"/>
  <c r="J183" i="21"/>
  <c r="K183" i="21" s="1"/>
  <c r="I183" i="21"/>
  <c r="M183" i="21" s="1"/>
  <c r="J182" i="21"/>
  <c r="K182" i="21" s="1"/>
  <c r="I182" i="21"/>
  <c r="M182" i="21" s="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J178" i="21"/>
  <c r="K178" i="21" s="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J174" i="21"/>
  <c r="K174" i="21" s="1"/>
  <c r="I174" i="21"/>
  <c r="M174" i="21" s="1"/>
  <c r="J173" i="21"/>
  <c r="K173" i="21" s="1"/>
  <c r="I173" i="21"/>
  <c r="M173" i="21" s="1"/>
  <c r="J172" i="21"/>
  <c r="K172" i="21" s="1"/>
  <c r="I172" i="21"/>
  <c r="M172" i="21" s="1"/>
  <c r="J171" i="21"/>
  <c r="K171" i="21" s="1"/>
  <c r="I171" i="21"/>
  <c r="M171" i="21" s="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J166" i="21"/>
  <c r="K166" i="21" s="1"/>
  <c r="I166" i="21"/>
  <c r="M166" i="21" s="1"/>
  <c r="J165" i="21"/>
  <c r="K165" i="21" s="1"/>
  <c r="I165" i="21"/>
  <c r="M165" i="21" s="1"/>
  <c r="J164" i="21"/>
  <c r="K164" i="21" s="1"/>
  <c r="I164" i="21"/>
  <c r="M164" i="21" s="1"/>
  <c r="J163" i="21"/>
  <c r="K163" i="21" s="1"/>
  <c r="I163" i="21"/>
  <c r="M163" i="21" s="1"/>
  <c r="J162" i="21"/>
  <c r="K162" i="21" s="1"/>
  <c r="I162" i="21"/>
  <c r="M162" i="21" s="1"/>
  <c r="J161" i="21"/>
  <c r="K161" i="21" s="1"/>
  <c r="I161" i="21"/>
  <c r="M161" i="21" s="1"/>
  <c r="J160" i="21"/>
  <c r="K160" i="21" s="1"/>
  <c r="I160" i="21"/>
  <c r="M160" i="21" s="1"/>
  <c r="J159" i="21"/>
  <c r="K159" i="21" s="1"/>
  <c r="I159" i="21"/>
  <c r="M159" i="21" s="1"/>
  <c r="J158" i="21"/>
  <c r="K158" i="21" s="1"/>
  <c r="I158" i="21"/>
  <c r="M158" i="21" s="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J151" i="21"/>
  <c r="K151" i="21" s="1"/>
  <c r="I151" i="21"/>
  <c r="M151" i="21" s="1"/>
  <c r="J150" i="21"/>
  <c r="K150" i="21" s="1"/>
  <c r="I150" i="21"/>
  <c r="M150" i="21" s="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J146" i="21"/>
  <c r="K146" i="21" s="1"/>
  <c r="I146" i="21"/>
  <c r="M146" i="21" s="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J142" i="21"/>
  <c r="K142" i="21" s="1"/>
  <c r="I142" i="21"/>
  <c r="M142" i="21" s="1"/>
  <c r="J141" i="21"/>
  <c r="K141" i="21" s="1"/>
  <c r="I141" i="21"/>
  <c r="M141" i="21" s="1"/>
  <c r="J140" i="21"/>
  <c r="K140" i="21" s="1"/>
  <c r="I140" i="21"/>
  <c r="M140" i="21" s="1"/>
  <c r="J139" i="21"/>
  <c r="K139" i="21" s="1"/>
  <c r="I139" i="21"/>
  <c r="M139" i="21" s="1"/>
  <c r="J138" i="21"/>
  <c r="K138" i="21" s="1"/>
  <c r="I138" i="21"/>
  <c r="M138" i="21" s="1"/>
  <c r="J137" i="21"/>
  <c r="K137" i="21" s="1"/>
  <c r="I137" i="21"/>
  <c r="M137" i="21" s="1"/>
  <c r="J136" i="21"/>
  <c r="K136" i="21" s="1"/>
  <c r="I136" i="21"/>
  <c r="M136" i="21" s="1"/>
  <c r="J135" i="21"/>
  <c r="K135" i="21" s="1"/>
  <c r="I135" i="21"/>
  <c r="M135" i="21" s="1"/>
  <c r="J134" i="21"/>
  <c r="K134" i="21" s="1"/>
  <c r="I134" i="21"/>
  <c r="M134" i="21" s="1"/>
  <c r="J133" i="21"/>
  <c r="K133" i="21" s="1"/>
  <c r="I133" i="21"/>
  <c r="M133" i="21" s="1"/>
  <c r="J132" i="21"/>
  <c r="K132" i="21" s="1"/>
  <c r="I132" i="21"/>
  <c r="M132" i="21" s="1"/>
  <c r="J131" i="21"/>
  <c r="K131" i="21" s="1"/>
  <c r="I131" i="21"/>
  <c r="M131" i="21" s="1"/>
  <c r="J130" i="21"/>
  <c r="K130" i="21" s="1"/>
  <c r="I130" i="21"/>
  <c r="M130" i="21" s="1"/>
  <c r="J129" i="21"/>
  <c r="K129" i="21" s="1"/>
  <c r="I129" i="21"/>
  <c r="M129" i="21" s="1"/>
  <c r="J128" i="21"/>
  <c r="K128" i="21" s="1"/>
  <c r="I128" i="21"/>
  <c r="M128" i="21" s="1"/>
  <c r="J127" i="21"/>
  <c r="K127" i="21" s="1"/>
  <c r="I127" i="21"/>
  <c r="M127" i="21" s="1"/>
  <c r="J126" i="21"/>
  <c r="K126" i="21" s="1"/>
  <c r="I126" i="21"/>
  <c r="M126" i="21" s="1"/>
  <c r="J125" i="21"/>
  <c r="K125" i="21" s="1"/>
  <c r="I125" i="21"/>
  <c r="M125" i="21" s="1"/>
  <c r="J124" i="21"/>
  <c r="K124" i="21" s="1"/>
  <c r="I124" i="21"/>
  <c r="M124" i="21" s="1"/>
  <c r="M123" i="21"/>
  <c r="J123" i="21"/>
  <c r="K123" i="21" s="1"/>
  <c r="I123" i="21"/>
  <c r="J122" i="21"/>
  <c r="K122" i="21" s="1"/>
  <c r="I122" i="21"/>
  <c r="M122" i="21" s="1"/>
  <c r="J121" i="21"/>
  <c r="K121" i="21" s="1"/>
  <c r="I121" i="21"/>
  <c r="M121" i="21" s="1"/>
  <c r="J120" i="21"/>
  <c r="K120" i="21" s="1"/>
  <c r="I120" i="21"/>
  <c r="M120" i="21" s="1"/>
  <c r="J119" i="21"/>
  <c r="K119" i="21" s="1"/>
  <c r="I119" i="21"/>
  <c r="M119" i="21" s="1"/>
  <c r="J118" i="21"/>
  <c r="K118" i="21" s="1"/>
  <c r="I118" i="21"/>
  <c r="M118" i="21" s="1"/>
  <c r="J117" i="21"/>
  <c r="K117" i="21" s="1"/>
  <c r="I117" i="21"/>
  <c r="M117" i="21" s="1"/>
  <c r="J116" i="21"/>
  <c r="K116" i="21" s="1"/>
  <c r="I116" i="21"/>
  <c r="M116" i="21" s="1"/>
  <c r="J115" i="21"/>
  <c r="K115" i="21" s="1"/>
  <c r="I115" i="21"/>
  <c r="M115" i="21" s="1"/>
  <c r="J114" i="21"/>
  <c r="K114" i="21" s="1"/>
  <c r="I114" i="21"/>
  <c r="M114" i="21" s="1"/>
  <c r="J113" i="21"/>
  <c r="K113" i="21" s="1"/>
  <c r="I113" i="21"/>
  <c r="M113" i="21" s="1"/>
  <c r="J112" i="21"/>
  <c r="K112" i="21" s="1"/>
  <c r="I112" i="21"/>
  <c r="M112" i="21" s="1"/>
  <c r="J111" i="21"/>
  <c r="K111" i="21" s="1"/>
  <c r="I111" i="21"/>
  <c r="M111" i="21" s="1"/>
  <c r="J110" i="21"/>
  <c r="K110" i="21" s="1"/>
  <c r="I110" i="21"/>
  <c r="M110" i="21" s="1"/>
  <c r="M109" i="21"/>
  <c r="J109" i="21"/>
  <c r="K109" i="21" s="1"/>
  <c r="I109" i="21"/>
  <c r="J108" i="21"/>
  <c r="K108" i="21" s="1"/>
  <c r="I108" i="21"/>
  <c r="M108" i="21" s="1"/>
  <c r="J107" i="21"/>
  <c r="K107" i="21" s="1"/>
  <c r="I107" i="21"/>
  <c r="M107" i="21" s="1"/>
  <c r="K106" i="21"/>
  <c r="J106" i="21"/>
  <c r="I106" i="21"/>
  <c r="M106" i="21" s="1"/>
  <c r="J105" i="21"/>
  <c r="K105" i="21" s="1"/>
  <c r="I105" i="21"/>
  <c r="M105" i="21" s="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J101" i="21"/>
  <c r="K101" i="21" s="1"/>
  <c r="I101" i="21"/>
  <c r="M101" i="21" s="1"/>
  <c r="J100" i="21"/>
  <c r="K100" i="21" s="1"/>
  <c r="I100" i="21"/>
  <c r="M100" i="21" s="1"/>
  <c r="J99" i="21"/>
  <c r="K99" i="21" s="1"/>
  <c r="I99" i="21"/>
  <c r="M99" i="21" s="1"/>
  <c r="J98" i="21"/>
  <c r="K98" i="21" s="1"/>
  <c r="I98" i="21"/>
  <c r="M98" i="21" s="1"/>
  <c r="J97" i="21"/>
  <c r="K97" i="21" s="1"/>
  <c r="I97" i="21"/>
  <c r="M97" i="21" s="1"/>
  <c r="J96" i="21"/>
  <c r="K96" i="21" s="1"/>
  <c r="I96" i="21"/>
  <c r="M96" i="21" s="1"/>
  <c r="J95" i="21"/>
  <c r="K95" i="21" s="1"/>
  <c r="I95" i="21"/>
  <c r="M95" i="21" s="1"/>
  <c r="J94" i="21"/>
  <c r="K94" i="21" s="1"/>
  <c r="I94" i="21"/>
  <c r="M94" i="21" s="1"/>
  <c r="J93" i="21"/>
  <c r="K93" i="21" s="1"/>
  <c r="I93" i="21"/>
  <c r="M93" i="21" s="1"/>
  <c r="J92" i="21"/>
  <c r="K92" i="21" s="1"/>
  <c r="I92" i="21"/>
  <c r="M92" i="21" s="1"/>
  <c r="J91" i="21"/>
  <c r="K91" i="21" s="1"/>
  <c r="I91" i="21"/>
  <c r="M91" i="21" s="1"/>
  <c r="J90" i="21"/>
  <c r="K90" i="21" s="1"/>
  <c r="I90" i="21"/>
  <c r="M90" i="21" s="1"/>
  <c r="J89" i="21"/>
  <c r="K89" i="21" s="1"/>
  <c r="I89" i="21"/>
  <c r="M89" i="21" s="1"/>
  <c r="J88" i="21"/>
  <c r="K88" i="21" s="1"/>
  <c r="I88" i="21"/>
  <c r="M88" i="21" s="1"/>
  <c r="J87" i="21"/>
  <c r="K87" i="21" s="1"/>
  <c r="I87" i="21"/>
  <c r="M87" i="21" s="1"/>
  <c r="K86" i="21"/>
  <c r="J86" i="21"/>
  <c r="I86" i="21"/>
  <c r="M86" i="21" s="1"/>
  <c r="J85" i="21"/>
  <c r="K85" i="21" s="1"/>
  <c r="I85" i="21"/>
  <c r="M85" i="21" s="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J81" i="21"/>
  <c r="K81" i="21" s="1"/>
  <c r="I81" i="21"/>
  <c r="M81" i="21" s="1"/>
  <c r="J80" i="21"/>
  <c r="K80" i="21" s="1"/>
  <c r="I80" i="21"/>
  <c r="M80" i="21" s="1"/>
  <c r="J79" i="21"/>
  <c r="K79" i="21" s="1"/>
  <c r="I79" i="21"/>
  <c r="M79" i="21" s="1"/>
  <c r="J78" i="21"/>
  <c r="K78" i="21" s="1"/>
  <c r="I78" i="21"/>
  <c r="M78" i="21" s="1"/>
  <c r="J77" i="21"/>
  <c r="K77" i="21" s="1"/>
  <c r="I77" i="21"/>
  <c r="M77" i="21" s="1"/>
  <c r="J76" i="21"/>
  <c r="K76" i="21" s="1"/>
  <c r="I76" i="21"/>
  <c r="M76" i="21" s="1"/>
  <c r="J75" i="21"/>
  <c r="K75" i="21" s="1"/>
  <c r="I75" i="21"/>
  <c r="M75" i="21" s="1"/>
  <c r="J74" i="21"/>
  <c r="K74" i="21" s="1"/>
  <c r="I74" i="21"/>
  <c r="M74" i="21" s="1"/>
  <c r="J73" i="21"/>
  <c r="K73" i="21" s="1"/>
  <c r="I73" i="21"/>
  <c r="M73" i="21" s="1"/>
  <c r="J72" i="21"/>
  <c r="K72" i="21" s="1"/>
  <c r="I72" i="21"/>
  <c r="M72" i="21" s="1"/>
  <c r="J71" i="21"/>
  <c r="K71" i="21" s="1"/>
  <c r="I71" i="21"/>
  <c r="M71" i="21" s="1"/>
  <c r="J70" i="21"/>
  <c r="K70" i="21" s="1"/>
  <c r="I70" i="21"/>
  <c r="M70" i="21" s="1"/>
  <c r="J69" i="21"/>
  <c r="K69" i="21" s="1"/>
  <c r="I69" i="21"/>
  <c r="M69" i="21" s="1"/>
  <c r="J68" i="21"/>
  <c r="K68" i="21" s="1"/>
  <c r="I68" i="21"/>
  <c r="M68" i="21" s="1"/>
  <c r="J67" i="21"/>
  <c r="K67" i="21" s="1"/>
  <c r="I67" i="21"/>
  <c r="M67" i="21" s="1"/>
  <c r="J66" i="21"/>
  <c r="K66" i="21" s="1"/>
  <c r="I66" i="21"/>
  <c r="M66" i="21" s="1"/>
  <c r="J65" i="21"/>
  <c r="K65" i="21" s="1"/>
  <c r="I65" i="21"/>
  <c r="M65" i="21" s="1"/>
  <c r="B65" i="21"/>
  <c r="J64" i="21"/>
  <c r="K64" i="21" s="1"/>
  <c r="I64" i="21"/>
  <c r="M64" i="21" s="1"/>
  <c r="B64" i="21"/>
  <c r="M63" i="21"/>
  <c r="K63" i="21"/>
  <c r="J63" i="21"/>
  <c r="I63" i="21"/>
  <c r="B63" i="21"/>
  <c r="J62" i="21"/>
  <c r="K62" i="21" s="1"/>
  <c r="I62" i="21"/>
  <c r="M62" i="21" s="1"/>
  <c r="B62" i="21"/>
  <c r="J61" i="21"/>
  <c r="K61" i="21" s="1"/>
  <c r="I61" i="21"/>
  <c r="M61" i="21" s="1"/>
  <c r="B61" i="21"/>
  <c r="J60" i="21"/>
  <c r="K60" i="21" s="1"/>
  <c r="I60" i="21"/>
  <c r="M60" i="21" s="1"/>
  <c r="B60" i="21"/>
  <c r="J59" i="21"/>
  <c r="K59" i="21" s="1"/>
  <c r="I59" i="21"/>
  <c r="M59" i="21" s="1"/>
  <c r="B59" i="21"/>
  <c r="J58" i="21"/>
  <c r="K58" i="21" s="1"/>
  <c r="I58" i="21"/>
  <c r="M58" i="21" s="1"/>
  <c r="B58" i="21"/>
  <c r="J57" i="21"/>
  <c r="K57" i="21" s="1"/>
  <c r="I57" i="21"/>
  <c r="M57" i="21" s="1"/>
  <c r="B57" i="21"/>
  <c r="J56" i="21"/>
  <c r="K56" i="21" s="1"/>
  <c r="I56" i="21"/>
  <c r="M56" i="21" s="1"/>
  <c r="B56" i="21"/>
  <c r="J55" i="21"/>
  <c r="K55" i="21" s="1"/>
  <c r="I55" i="21"/>
  <c r="M55" i="21" s="1"/>
  <c r="B55" i="21"/>
  <c r="J54" i="21"/>
  <c r="K54" i="21" s="1"/>
  <c r="I54" i="21"/>
  <c r="M54" i="21" s="1"/>
  <c r="B54" i="21"/>
  <c r="J53" i="21"/>
  <c r="K53" i="21" s="1"/>
  <c r="I53" i="21"/>
  <c r="M53" i="21" s="1"/>
  <c r="B53" i="21"/>
  <c r="J52" i="21"/>
  <c r="K52" i="21" s="1"/>
  <c r="I52" i="21"/>
  <c r="M52" i="21" s="1"/>
  <c r="B52" i="21"/>
  <c r="J51" i="21"/>
  <c r="K51" i="21" s="1"/>
  <c r="I51" i="21"/>
  <c r="M51" i="21" s="1"/>
  <c r="B51" i="21"/>
  <c r="J50" i="21"/>
  <c r="K50" i="21" s="1"/>
  <c r="I50" i="21"/>
  <c r="M50" i="21" s="1"/>
  <c r="B50" i="21"/>
  <c r="J49" i="21"/>
  <c r="K49" i="21" s="1"/>
  <c r="I49" i="21"/>
  <c r="M49" i="21" s="1"/>
  <c r="B49" i="21"/>
  <c r="J48" i="21"/>
  <c r="K48" i="21" s="1"/>
  <c r="I48" i="21"/>
  <c r="M48" i="21" s="1"/>
  <c r="B48" i="21"/>
  <c r="J47" i="21"/>
  <c r="K47" i="21" s="1"/>
  <c r="I47" i="21"/>
  <c r="M47" i="21" s="1"/>
  <c r="B47" i="21"/>
  <c r="T46" i="21"/>
  <c r="R46" i="21"/>
  <c r="U46" i="21" s="1"/>
  <c r="J46" i="21"/>
  <c r="K46" i="21" s="1"/>
  <c r="I46" i="21"/>
  <c r="M46" i="21" s="1"/>
  <c r="B46" i="21"/>
  <c r="J45" i="21"/>
  <c r="K45" i="21" s="1"/>
  <c r="I45" i="21"/>
  <c r="M45" i="21" s="1"/>
  <c r="B45" i="21"/>
  <c r="J44" i="21"/>
  <c r="K44" i="21" s="1"/>
  <c r="I44" i="21"/>
  <c r="M44" i="21" s="1"/>
  <c r="B44" i="21"/>
  <c r="J43" i="21"/>
  <c r="K43" i="21" s="1"/>
  <c r="I43" i="21"/>
  <c r="M43" i="21" s="1"/>
  <c r="B43" i="21"/>
  <c r="J42" i="21"/>
  <c r="K42" i="21" s="1"/>
  <c r="I42" i="21"/>
  <c r="M42" i="21" s="1"/>
  <c r="B42" i="21"/>
  <c r="J41" i="21"/>
  <c r="K41" i="21" s="1"/>
  <c r="I41" i="21"/>
  <c r="M41" i="21" s="1"/>
  <c r="B41" i="21"/>
  <c r="J40" i="21"/>
  <c r="K40" i="21" s="1"/>
  <c r="I40" i="21"/>
  <c r="M40" i="21" s="1"/>
  <c r="B40" i="21"/>
  <c r="J39" i="21"/>
  <c r="K39" i="21" s="1"/>
  <c r="I39" i="21"/>
  <c r="M39" i="21" s="1"/>
  <c r="B39" i="21"/>
  <c r="J38" i="21"/>
  <c r="K38" i="21" s="1"/>
  <c r="I38" i="21"/>
  <c r="M38" i="21" s="1"/>
  <c r="B38" i="21"/>
  <c r="J37" i="21"/>
  <c r="K37" i="21" s="1"/>
  <c r="I37" i="21"/>
  <c r="M37" i="21" s="1"/>
  <c r="A37" i="21" s="1"/>
  <c r="B37" i="21"/>
  <c r="J36" i="21"/>
  <c r="K36" i="21" s="1"/>
  <c r="I36" i="21"/>
  <c r="M36" i="21" s="1"/>
  <c r="B36" i="21"/>
  <c r="A36" i="21"/>
  <c r="J35" i="21"/>
  <c r="K35" i="21" s="1"/>
  <c r="I35" i="21"/>
  <c r="M35" i="21" s="1"/>
  <c r="A35" i="21" s="1"/>
  <c r="B35" i="21"/>
  <c r="J34" i="21"/>
  <c r="K34" i="21" s="1"/>
  <c r="I34" i="21"/>
  <c r="M34" i="21" s="1"/>
  <c r="A34" i="21" s="1"/>
  <c r="B34" i="21"/>
  <c r="J33" i="21"/>
  <c r="K33" i="21" s="1"/>
  <c r="I33" i="21"/>
  <c r="M33" i="21" s="1"/>
  <c r="A33" i="21" s="1"/>
  <c r="B33" i="21"/>
  <c r="J32" i="21"/>
  <c r="K32" i="21" s="1"/>
  <c r="I32" i="21"/>
  <c r="M32" i="21" s="1"/>
  <c r="A32" i="21" s="1"/>
  <c r="B32" i="21"/>
  <c r="J31" i="21"/>
  <c r="K31" i="21" s="1"/>
  <c r="I31" i="21"/>
  <c r="M31" i="21" s="1"/>
  <c r="A31" i="21" s="1"/>
  <c r="B31" i="21"/>
  <c r="M30" i="21"/>
  <c r="A30" i="21" s="1"/>
  <c r="J30" i="21"/>
  <c r="K30" i="21" s="1"/>
  <c r="I30" i="21"/>
  <c r="B30" i="21"/>
  <c r="J29" i="21"/>
  <c r="K29" i="21" s="1"/>
  <c r="I29" i="21"/>
  <c r="M29" i="21" s="1"/>
  <c r="A29" i="21" s="1"/>
  <c r="B29" i="21"/>
  <c r="J28" i="21"/>
  <c r="K28" i="21" s="1"/>
  <c r="I28" i="21"/>
  <c r="M28" i="21" s="1"/>
  <c r="A28" i="21" s="1"/>
  <c r="B28" i="21"/>
  <c r="J27" i="21"/>
  <c r="K27" i="21" s="1"/>
  <c r="I27" i="21"/>
  <c r="M27" i="21" s="1"/>
  <c r="A27" i="21" s="1"/>
  <c r="B27" i="21"/>
  <c r="J26" i="21"/>
  <c r="K26" i="21" s="1"/>
  <c r="I26" i="21"/>
  <c r="M26" i="21" s="1"/>
  <c r="A26" i="21" s="1"/>
  <c r="B26" i="21"/>
  <c r="J25" i="21"/>
  <c r="K25" i="21" s="1"/>
  <c r="I25" i="21"/>
  <c r="M25" i="21" s="1"/>
  <c r="A25" i="21" s="1"/>
  <c r="B25" i="21"/>
  <c r="J24" i="21"/>
  <c r="K24" i="21" s="1"/>
  <c r="I24" i="21"/>
  <c r="M24" i="21" s="1"/>
  <c r="A24" i="21" s="1"/>
  <c r="B24" i="21"/>
  <c r="J23" i="21"/>
  <c r="K23" i="21" s="1"/>
  <c r="I23" i="21"/>
  <c r="M23" i="21" s="1"/>
  <c r="A23" i="21" s="1"/>
  <c r="B23" i="21"/>
  <c r="J22" i="21"/>
  <c r="K22" i="21" s="1"/>
  <c r="I22" i="21"/>
  <c r="M22" i="21" s="1"/>
  <c r="A22" i="21" s="1"/>
  <c r="B22" i="21"/>
  <c r="J21" i="21"/>
  <c r="K21" i="21" s="1"/>
  <c r="I21" i="21"/>
  <c r="M21" i="21" s="1"/>
  <c r="A21" i="21" s="1"/>
  <c r="B21" i="21"/>
  <c r="J20" i="21"/>
  <c r="K20" i="21" s="1"/>
  <c r="I20" i="21"/>
  <c r="M20" i="21" s="1"/>
  <c r="A20" i="21" s="1"/>
  <c r="B20" i="21"/>
  <c r="J19" i="21"/>
  <c r="K19" i="21" s="1"/>
  <c r="I19" i="21"/>
  <c r="M19" i="21" s="1"/>
  <c r="A19" i="21" s="1"/>
  <c r="B19" i="21"/>
  <c r="M18" i="21"/>
  <c r="A18" i="21" s="1"/>
  <c r="J18" i="21"/>
  <c r="K18" i="21" s="1"/>
  <c r="I18" i="21"/>
  <c r="B18" i="21"/>
  <c r="J17" i="21"/>
  <c r="K17" i="21" s="1"/>
  <c r="I17" i="21"/>
  <c r="M17" i="21" s="1"/>
  <c r="A17" i="21" s="1"/>
  <c r="B17" i="21"/>
  <c r="J16" i="21"/>
  <c r="K16" i="21" s="1"/>
  <c r="I16" i="21"/>
  <c r="M16" i="21" s="1"/>
  <c r="A16" i="21" s="1"/>
  <c r="B16" i="21"/>
  <c r="J15" i="21"/>
  <c r="K15" i="21" s="1"/>
  <c r="I15" i="21"/>
  <c r="M15" i="21" s="1"/>
  <c r="B15" i="21"/>
  <c r="A15" i="21"/>
  <c r="AI14" i="21"/>
  <c r="J14" i="21"/>
  <c r="K14" i="21" s="1"/>
  <c r="I14" i="21"/>
  <c r="M14" i="21" s="1"/>
  <c r="A14" i="21" s="1"/>
  <c r="B14" i="21"/>
  <c r="AI13" i="21"/>
  <c r="J13" i="21"/>
  <c r="K13" i="21" s="1"/>
  <c r="I13" i="21"/>
  <c r="M13" i="21" s="1"/>
  <c r="A13" i="21" s="1"/>
  <c r="B13" i="21"/>
  <c r="AI12" i="21"/>
  <c r="M12" i="21"/>
  <c r="A12" i="21" s="1"/>
  <c r="J12" i="21"/>
  <c r="K12" i="21" s="1"/>
  <c r="I12" i="21"/>
  <c r="B12" i="21"/>
  <c r="J11" i="21"/>
  <c r="K11" i="21" s="1"/>
  <c r="I11" i="21"/>
  <c r="M11" i="21" s="1"/>
  <c r="A11" i="21" s="1"/>
  <c r="B11" i="21"/>
  <c r="J10" i="21"/>
  <c r="K10" i="21" s="1"/>
  <c r="I10" i="21"/>
  <c r="M10" i="21" s="1"/>
  <c r="A10" i="21" s="1"/>
  <c r="B10" i="21"/>
  <c r="J8" i="21"/>
  <c r="K8" i="21" s="1"/>
  <c r="I8" i="21"/>
  <c r="B8" i="21"/>
  <c r="J7" i="21"/>
  <c r="K7" i="21" s="1"/>
  <c r="I7" i="21"/>
  <c r="B7" i="21"/>
  <c r="R15" i="28" s="1"/>
  <c r="J6" i="21"/>
  <c r="K6" i="21" s="1"/>
  <c r="I6" i="21"/>
  <c r="B6" i="21"/>
  <c r="R7" i="28" s="1"/>
  <c r="K2" i="21"/>
  <c r="L8" i="21" s="1"/>
  <c r="M8" i="21" s="1"/>
  <c r="A8" i="21" s="1"/>
  <c r="J305" i="20"/>
  <c r="K305" i="20" s="1"/>
  <c r="I305" i="20"/>
  <c r="J304" i="20"/>
  <c r="K304" i="20" s="1"/>
  <c r="I304" i="20"/>
  <c r="N304" i="20" s="1"/>
  <c r="A304" i="20" s="1"/>
  <c r="J303" i="20"/>
  <c r="K303" i="20" s="1"/>
  <c r="I303" i="20"/>
  <c r="M303" i="20" s="1"/>
  <c r="J302" i="20"/>
  <c r="K302" i="20" s="1"/>
  <c r="I302" i="20"/>
  <c r="N302" i="20" s="1"/>
  <c r="A302" i="20" s="1"/>
  <c r="J301" i="20"/>
  <c r="K301" i="20" s="1"/>
  <c r="I301" i="20"/>
  <c r="J300" i="20"/>
  <c r="K300" i="20" s="1"/>
  <c r="I300" i="20"/>
  <c r="J299" i="20"/>
  <c r="K299" i="20" s="1"/>
  <c r="I299" i="20"/>
  <c r="J298" i="20"/>
  <c r="K298" i="20" s="1"/>
  <c r="I298" i="20"/>
  <c r="J297" i="20"/>
  <c r="K297" i="20" s="1"/>
  <c r="I297" i="20"/>
  <c r="J296" i="20"/>
  <c r="K296" i="20" s="1"/>
  <c r="I296" i="20"/>
  <c r="M296" i="20" s="1"/>
  <c r="J295" i="20"/>
  <c r="K295" i="20" s="1"/>
  <c r="I295" i="20"/>
  <c r="N295" i="20" s="1"/>
  <c r="A295" i="20" s="1"/>
  <c r="J294" i="20"/>
  <c r="K294" i="20" s="1"/>
  <c r="I294" i="20"/>
  <c r="J293" i="20"/>
  <c r="K293" i="20" s="1"/>
  <c r="I293" i="20"/>
  <c r="J292" i="20"/>
  <c r="K292" i="20" s="1"/>
  <c r="I292" i="20"/>
  <c r="N292" i="20" s="1"/>
  <c r="A292" i="20" s="1"/>
  <c r="J291" i="20"/>
  <c r="K291" i="20" s="1"/>
  <c r="I291" i="20"/>
  <c r="N291" i="20" s="1"/>
  <c r="A291" i="20" s="1"/>
  <c r="J290" i="20"/>
  <c r="K290" i="20" s="1"/>
  <c r="I290" i="20"/>
  <c r="J289" i="20"/>
  <c r="K289" i="20" s="1"/>
  <c r="I289" i="20"/>
  <c r="J288" i="20"/>
  <c r="K288" i="20" s="1"/>
  <c r="I288" i="20"/>
  <c r="N288" i="20" s="1"/>
  <c r="A288" i="20"/>
  <c r="J287" i="20"/>
  <c r="K287" i="20" s="1"/>
  <c r="I287" i="20"/>
  <c r="M287" i="20" s="1"/>
  <c r="J286" i="20"/>
  <c r="K286" i="20" s="1"/>
  <c r="I286" i="20"/>
  <c r="N286" i="20" s="1"/>
  <c r="A286" i="20" s="1"/>
  <c r="J285" i="20"/>
  <c r="K285" i="20" s="1"/>
  <c r="I285" i="20"/>
  <c r="J284" i="20"/>
  <c r="K284" i="20" s="1"/>
  <c r="I284" i="20"/>
  <c r="J283" i="20"/>
  <c r="K283" i="20" s="1"/>
  <c r="I283" i="20"/>
  <c r="J282" i="20"/>
  <c r="K282" i="20" s="1"/>
  <c r="I282" i="20"/>
  <c r="J281" i="20"/>
  <c r="K281" i="20" s="1"/>
  <c r="I281" i="20"/>
  <c r="J280" i="20"/>
  <c r="K280" i="20" s="1"/>
  <c r="I280" i="20"/>
  <c r="J279" i="20"/>
  <c r="K279" i="20" s="1"/>
  <c r="I279" i="20"/>
  <c r="J278" i="20"/>
  <c r="K278" i="20" s="1"/>
  <c r="I278" i="20"/>
  <c r="J277" i="20"/>
  <c r="K277" i="20" s="1"/>
  <c r="I277" i="20"/>
  <c r="J276" i="20"/>
  <c r="K276" i="20" s="1"/>
  <c r="I276" i="20"/>
  <c r="J275" i="20"/>
  <c r="K275" i="20" s="1"/>
  <c r="I275" i="20"/>
  <c r="J274" i="20"/>
  <c r="K274" i="20" s="1"/>
  <c r="I274" i="20"/>
  <c r="J273" i="20"/>
  <c r="K273" i="20" s="1"/>
  <c r="I273" i="20"/>
  <c r="J272" i="20"/>
  <c r="K272" i="20" s="1"/>
  <c r="I272" i="20"/>
  <c r="J271" i="20"/>
  <c r="K271" i="20" s="1"/>
  <c r="I271" i="20"/>
  <c r="J270" i="20"/>
  <c r="K270" i="20" s="1"/>
  <c r="I270" i="20"/>
  <c r="J269" i="20"/>
  <c r="K269" i="20" s="1"/>
  <c r="I269" i="20"/>
  <c r="J268" i="20"/>
  <c r="K268" i="20" s="1"/>
  <c r="I268" i="20"/>
  <c r="J267" i="20"/>
  <c r="K267" i="20" s="1"/>
  <c r="I267" i="20"/>
  <c r="J266" i="20"/>
  <c r="K266" i="20" s="1"/>
  <c r="I266" i="20"/>
  <c r="J265" i="20"/>
  <c r="K265" i="20" s="1"/>
  <c r="I265" i="20"/>
  <c r="J264" i="20"/>
  <c r="K264" i="20" s="1"/>
  <c r="I264" i="20"/>
  <c r="J263" i="20"/>
  <c r="K263" i="20" s="1"/>
  <c r="I263" i="20"/>
  <c r="J262" i="20"/>
  <c r="K262" i="20" s="1"/>
  <c r="I262" i="20"/>
  <c r="J261" i="20"/>
  <c r="K261" i="20" s="1"/>
  <c r="I261" i="20"/>
  <c r="J260" i="20"/>
  <c r="K260" i="20" s="1"/>
  <c r="I260" i="20"/>
  <c r="N260" i="20" s="1"/>
  <c r="A260" i="20" s="1"/>
  <c r="J259" i="20"/>
  <c r="K259" i="20" s="1"/>
  <c r="I259" i="20"/>
  <c r="N259" i="20" s="1"/>
  <c r="A259" i="20" s="1"/>
  <c r="J258" i="20"/>
  <c r="K258" i="20" s="1"/>
  <c r="I258" i="20"/>
  <c r="J257" i="20"/>
  <c r="K257" i="20" s="1"/>
  <c r="I257" i="20"/>
  <c r="J256" i="20"/>
  <c r="K256" i="20" s="1"/>
  <c r="I256" i="20"/>
  <c r="J255" i="20"/>
  <c r="K255" i="20" s="1"/>
  <c r="I255" i="20"/>
  <c r="J254" i="20"/>
  <c r="K254" i="20" s="1"/>
  <c r="I254" i="20"/>
  <c r="J253" i="20"/>
  <c r="K253" i="20" s="1"/>
  <c r="I253" i="20"/>
  <c r="J252" i="20"/>
  <c r="K252" i="20" s="1"/>
  <c r="I252" i="20"/>
  <c r="J251" i="20"/>
  <c r="K251" i="20" s="1"/>
  <c r="I251" i="20"/>
  <c r="J36" i="20"/>
  <c r="K36" i="20" s="1"/>
  <c r="I36" i="20"/>
  <c r="J35" i="20"/>
  <c r="K35" i="20" s="1"/>
  <c r="I35" i="20"/>
  <c r="J34" i="20"/>
  <c r="K34" i="20" s="1"/>
  <c r="I34" i="20"/>
  <c r="J33" i="20"/>
  <c r="K33" i="20" s="1"/>
  <c r="I33" i="20"/>
  <c r="J32" i="20"/>
  <c r="K32" i="20" s="1"/>
  <c r="I32" i="20"/>
  <c r="J31" i="20"/>
  <c r="K31" i="20" s="1"/>
  <c r="I31" i="20"/>
  <c r="J30" i="20"/>
  <c r="K30" i="20" s="1"/>
  <c r="I30" i="20"/>
  <c r="J29" i="20"/>
  <c r="K29" i="20" s="1"/>
  <c r="I29" i="20"/>
  <c r="J28" i="20"/>
  <c r="K28" i="20" s="1"/>
  <c r="I28" i="20"/>
  <c r="J27" i="20"/>
  <c r="K27" i="20" s="1"/>
  <c r="I27" i="20"/>
  <c r="J26" i="20"/>
  <c r="K26" i="20" s="1"/>
  <c r="I26" i="20"/>
  <c r="J25" i="20"/>
  <c r="K25" i="20" s="1"/>
  <c r="I25" i="20"/>
  <c r="J24" i="20"/>
  <c r="K24" i="20" s="1"/>
  <c r="I24" i="20"/>
  <c r="J23" i="20"/>
  <c r="K23" i="20" s="1"/>
  <c r="I23" i="20"/>
  <c r="J22" i="20"/>
  <c r="K22" i="20" s="1"/>
  <c r="I22" i="20"/>
  <c r="J21" i="20"/>
  <c r="K21" i="20" s="1"/>
  <c r="I21" i="20"/>
  <c r="J20" i="20"/>
  <c r="K20" i="20" s="1"/>
  <c r="I20" i="20"/>
  <c r="J19" i="20"/>
  <c r="K19" i="20" s="1"/>
  <c r="I19" i="20"/>
  <c r="J18" i="20"/>
  <c r="K18" i="20" s="1"/>
  <c r="I18" i="20"/>
  <c r="J17" i="20"/>
  <c r="K17" i="20" s="1"/>
  <c r="I17" i="20"/>
  <c r="AJ16" i="20"/>
  <c r="J16" i="20"/>
  <c r="K16" i="20" s="1"/>
  <c r="I16" i="20"/>
  <c r="J15" i="20"/>
  <c r="K15" i="20" s="1"/>
  <c r="I15" i="20"/>
  <c r="AJ14" i="20"/>
  <c r="J14" i="20"/>
  <c r="K14" i="20" s="1"/>
  <c r="I14" i="20"/>
  <c r="AJ13" i="20"/>
  <c r="J13" i="20"/>
  <c r="K13" i="20" s="1"/>
  <c r="I13" i="20"/>
  <c r="AJ12" i="20"/>
  <c r="J12" i="20"/>
  <c r="K12" i="20" s="1"/>
  <c r="I12" i="20"/>
  <c r="J11" i="20"/>
  <c r="K11" i="20" s="1"/>
  <c r="I11" i="20"/>
  <c r="J10" i="20"/>
  <c r="K10" i="20" s="1"/>
  <c r="I10" i="20"/>
  <c r="J8" i="20"/>
  <c r="K8" i="20" s="1"/>
  <c r="I8" i="20"/>
  <c r="J7" i="20"/>
  <c r="K7" i="20" s="1"/>
  <c r="I7" i="20"/>
  <c r="J6" i="20"/>
  <c r="K6" i="20" s="1"/>
  <c r="I6" i="20"/>
  <c r="K2" i="20"/>
  <c r="O7" i="13"/>
  <c r="O6" i="13"/>
  <c r="O14" i="13"/>
  <c r="O10" i="13"/>
  <c r="O12" i="13"/>
  <c r="O13" i="13"/>
  <c r="O11" i="13"/>
  <c r="O8" i="13"/>
  <c r="O9" i="13"/>
  <c r="O15" i="13"/>
  <c r="O16" i="13"/>
  <c r="O17" i="13"/>
  <c r="O18" i="13"/>
  <c r="O19" i="13"/>
  <c r="O20" i="13"/>
  <c r="O21" i="13"/>
  <c r="O22" i="13"/>
  <c r="O23" i="13"/>
  <c r="B6" i="18"/>
  <c r="B8" i="18"/>
  <c r="M7" i="13"/>
  <c r="M14" i="13"/>
  <c r="M10" i="13"/>
  <c r="M18" i="13"/>
  <c r="M19" i="13"/>
  <c r="M20" i="13"/>
  <c r="M21" i="13"/>
  <c r="M22" i="13"/>
  <c r="M23" i="13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G9" i="28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K14" i="13"/>
  <c r="K18" i="13"/>
  <c r="K19" i="13"/>
  <c r="K20" i="13"/>
  <c r="K21" i="13"/>
  <c r="K22" i="13"/>
  <c r="K23" i="13"/>
  <c r="B14" i="17"/>
  <c r="B13" i="17"/>
  <c r="B12" i="17"/>
  <c r="B11" i="17"/>
  <c r="B10" i="17"/>
  <c r="B8" i="17"/>
  <c r="K10" i="13" s="1"/>
  <c r="B7" i="17"/>
  <c r="K6" i="13" s="1"/>
  <c r="B6" i="17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6" i="16"/>
  <c r="I23" i="13"/>
  <c r="I22" i="13"/>
  <c r="I21" i="13"/>
  <c r="I20" i="13"/>
  <c r="I19" i="13"/>
  <c r="I18" i="13"/>
  <c r="I10" i="13"/>
  <c r="I6" i="13"/>
  <c r="I14" i="13"/>
  <c r="I7" i="13"/>
  <c r="G23" i="13"/>
  <c r="G22" i="13"/>
  <c r="G21" i="13"/>
  <c r="G20" i="13"/>
  <c r="G19" i="13"/>
  <c r="G18" i="13"/>
  <c r="G17" i="13"/>
  <c r="G16" i="13"/>
  <c r="G15" i="13"/>
  <c r="G9" i="13"/>
  <c r="G8" i="13"/>
  <c r="G11" i="13"/>
  <c r="G13" i="13"/>
  <c r="E12" i="13"/>
  <c r="G12" i="13"/>
  <c r="J305" i="19"/>
  <c r="J304" i="19"/>
  <c r="J303" i="19"/>
  <c r="J302" i="19"/>
  <c r="J301" i="19"/>
  <c r="J300" i="19"/>
  <c r="J299" i="19"/>
  <c r="K299" i="19" s="1"/>
  <c r="J298" i="19"/>
  <c r="J297" i="19"/>
  <c r="J296" i="19"/>
  <c r="J295" i="19"/>
  <c r="J294" i="19"/>
  <c r="J293" i="19"/>
  <c r="J292" i="19"/>
  <c r="J291" i="19"/>
  <c r="K291" i="19" s="1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K227" i="19" s="1"/>
  <c r="J226" i="19"/>
  <c r="K226" i="19" s="1"/>
  <c r="J225" i="19"/>
  <c r="J224" i="19"/>
  <c r="J223" i="19"/>
  <c r="J222" i="19"/>
  <c r="J221" i="19"/>
  <c r="J220" i="19"/>
  <c r="J219" i="19"/>
  <c r="K219" i="19" s="1"/>
  <c r="J218" i="19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K195" i="19" s="1"/>
  <c r="J194" i="19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K147" i="19" s="1"/>
  <c r="J146" i="19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K86" i="19" s="1"/>
  <c r="J85" i="19"/>
  <c r="J84" i="19"/>
  <c r="J83" i="19"/>
  <c r="J82" i="19"/>
  <c r="J81" i="19"/>
  <c r="J80" i="19"/>
  <c r="J79" i="19"/>
  <c r="J78" i="19"/>
  <c r="J77" i="19"/>
  <c r="J76" i="19"/>
  <c r="J75" i="19"/>
  <c r="K75" i="19" s="1"/>
  <c r="J74" i="19"/>
  <c r="K74" i="19" s="1"/>
  <c r="J73" i="19"/>
  <c r="J72" i="19"/>
  <c r="J71" i="19"/>
  <c r="J70" i="19"/>
  <c r="K70" i="19" s="1"/>
  <c r="J69" i="19"/>
  <c r="J68" i="19"/>
  <c r="J67" i="19"/>
  <c r="K67" i="19" s="1"/>
  <c r="J66" i="19"/>
  <c r="K66" i="19" s="1"/>
  <c r="J65" i="19"/>
  <c r="J64" i="19"/>
  <c r="J63" i="19"/>
  <c r="J62" i="19"/>
  <c r="K62" i="19" s="1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K51" i="19" s="1"/>
  <c r="J50" i="19"/>
  <c r="K50" i="19" s="1"/>
  <c r="J49" i="19"/>
  <c r="J48" i="19"/>
  <c r="J47" i="19"/>
  <c r="J46" i="19"/>
  <c r="J45" i="19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K30" i="19" s="1"/>
  <c r="J29" i="19"/>
  <c r="J28" i="19"/>
  <c r="J27" i="19"/>
  <c r="K27" i="19" s="1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12" i="19"/>
  <c r="K20" i="19"/>
  <c r="K28" i="19"/>
  <c r="K36" i="19"/>
  <c r="K44" i="19"/>
  <c r="K52" i="19"/>
  <c r="K60" i="19"/>
  <c r="K68" i="19"/>
  <c r="K76" i="19"/>
  <c r="K84" i="19"/>
  <c r="K92" i="19"/>
  <c r="K100" i="19"/>
  <c r="K108" i="19"/>
  <c r="K116" i="19"/>
  <c r="K124" i="19"/>
  <c r="K132" i="19"/>
  <c r="K140" i="19"/>
  <c r="K148" i="19"/>
  <c r="K156" i="19"/>
  <c r="K164" i="19"/>
  <c r="K188" i="19"/>
  <c r="K196" i="19"/>
  <c r="K204" i="19"/>
  <c r="K207" i="19"/>
  <c r="K212" i="19"/>
  <c r="K215" i="19"/>
  <c r="K220" i="19"/>
  <c r="K223" i="19"/>
  <c r="K228" i="19"/>
  <c r="K231" i="19"/>
  <c r="K236" i="19"/>
  <c r="K244" i="19"/>
  <c r="K252" i="19"/>
  <c r="K255" i="19"/>
  <c r="K260" i="19"/>
  <c r="K268" i="19"/>
  <c r="K271" i="19"/>
  <c r="K276" i="19"/>
  <c r="K284" i="19"/>
  <c r="K287" i="19"/>
  <c r="K292" i="19"/>
  <c r="K295" i="19"/>
  <c r="K303" i="19"/>
  <c r="K298" i="19"/>
  <c r="K218" i="19"/>
  <c r="K146" i="19"/>
  <c r="K82" i="19"/>
  <c r="K10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K126" i="18" s="1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K109" i="18" s="1"/>
  <c r="J108" i="18"/>
  <c r="J107" i="18"/>
  <c r="J106" i="18"/>
  <c r="J105" i="18"/>
  <c r="J104" i="18"/>
  <c r="J103" i="18"/>
  <c r="J102" i="18"/>
  <c r="J101" i="18"/>
  <c r="K101" i="18" s="1"/>
  <c r="J100" i="18"/>
  <c r="J99" i="18"/>
  <c r="J98" i="18"/>
  <c r="J97" i="18"/>
  <c r="J96" i="18"/>
  <c r="J95" i="18"/>
  <c r="J94" i="18"/>
  <c r="J93" i="18"/>
  <c r="K93" i="18" s="1"/>
  <c r="J92" i="18"/>
  <c r="J91" i="18"/>
  <c r="J90" i="18"/>
  <c r="J89" i="18"/>
  <c r="J88" i="18"/>
  <c r="J87" i="18"/>
  <c r="J86" i="18"/>
  <c r="J85" i="18"/>
  <c r="K85" i="18" s="1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K69" i="18" s="1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K53" i="18" s="1"/>
  <c r="J52" i="18"/>
  <c r="J51" i="18"/>
  <c r="J50" i="18"/>
  <c r="J49" i="18"/>
  <c r="J48" i="18"/>
  <c r="J47" i="18"/>
  <c r="J46" i="18"/>
  <c r="K46" i="18" s="1"/>
  <c r="J45" i="18"/>
  <c r="K45" i="18" s="1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K29" i="18" s="1"/>
  <c r="J28" i="18"/>
  <c r="J27" i="18"/>
  <c r="J26" i="18"/>
  <c r="J25" i="18"/>
  <c r="J24" i="18"/>
  <c r="J23" i="18"/>
  <c r="J22" i="18"/>
  <c r="J21" i="18"/>
  <c r="K21" i="18" s="1"/>
  <c r="J20" i="18"/>
  <c r="J19" i="18"/>
  <c r="J18" i="18"/>
  <c r="J17" i="18"/>
  <c r="J16" i="18"/>
  <c r="J15" i="18"/>
  <c r="J14" i="18"/>
  <c r="J13" i="18"/>
  <c r="K13" i="18" s="1"/>
  <c r="J12" i="18"/>
  <c r="J11" i="18"/>
  <c r="J10" i="18"/>
  <c r="J9" i="18"/>
  <c r="J8" i="18"/>
  <c r="J7" i="18"/>
  <c r="K14" i="18"/>
  <c r="K22" i="18"/>
  <c r="K30" i="18"/>
  <c r="K38" i="18"/>
  <c r="K54" i="18"/>
  <c r="K62" i="18"/>
  <c r="K78" i="18"/>
  <c r="K86" i="18"/>
  <c r="K94" i="18"/>
  <c r="K110" i="18"/>
  <c r="K118" i="18"/>
  <c r="K142" i="18"/>
  <c r="K150" i="18"/>
  <c r="K158" i="18"/>
  <c r="K174" i="18"/>
  <c r="K182" i="18"/>
  <c r="K190" i="18"/>
  <c r="K198" i="18"/>
  <c r="K206" i="18"/>
  <c r="K238" i="18"/>
  <c r="K246" i="18"/>
  <c r="K254" i="18"/>
  <c r="K262" i="18"/>
  <c r="K278" i="18"/>
  <c r="K286" i="18"/>
  <c r="K294" i="18"/>
  <c r="K302" i="18"/>
  <c r="K298" i="18"/>
  <c r="K290" i="18"/>
  <c r="K282" i="18"/>
  <c r="K274" i="18"/>
  <c r="K266" i="18"/>
  <c r="K258" i="18"/>
  <c r="K250" i="18"/>
  <c r="K242" i="18"/>
  <c r="K234" i="18"/>
  <c r="K226" i="18"/>
  <c r="K218" i="18"/>
  <c r="K210" i="18"/>
  <c r="K202" i="18"/>
  <c r="K186" i="18"/>
  <c r="K178" i="18"/>
  <c r="K162" i="18"/>
  <c r="K154" i="18"/>
  <c r="K138" i="18"/>
  <c r="K130" i="18"/>
  <c r="K114" i="18"/>
  <c r="K106" i="18"/>
  <c r="K90" i="18"/>
  <c r="K82" i="18"/>
  <c r="K66" i="18"/>
  <c r="K58" i="18"/>
  <c r="K50" i="18"/>
  <c r="K42" i="18"/>
  <c r="K34" i="18"/>
  <c r="K18" i="18"/>
  <c r="K10" i="18"/>
  <c r="K10" i="17"/>
  <c r="K18" i="17"/>
  <c r="K29" i="17"/>
  <c r="K34" i="17"/>
  <c r="K37" i="17"/>
  <c r="K42" i="17"/>
  <c r="K45" i="17"/>
  <c r="K50" i="17"/>
  <c r="K53" i="17"/>
  <c r="K58" i="17"/>
  <c r="K66" i="17"/>
  <c r="K69" i="17"/>
  <c r="K74" i="17"/>
  <c r="K77" i="17"/>
  <c r="K82" i="17"/>
  <c r="K85" i="17"/>
  <c r="K90" i="17"/>
  <c r="K93" i="17"/>
  <c r="K106" i="17"/>
  <c r="K114" i="17"/>
  <c r="K117" i="17"/>
  <c r="K122" i="17"/>
  <c r="K125" i="17"/>
  <c r="K130" i="17"/>
  <c r="K133" i="17"/>
  <c r="K138" i="17"/>
  <c r="K141" i="17"/>
  <c r="K146" i="17"/>
  <c r="K149" i="17"/>
  <c r="K154" i="17"/>
  <c r="K157" i="17"/>
  <c r="K161" i="17"/>
  <c r="K162" i="17"/>
  <c r="K165" i="17"/>
  <c r="K169" i="17"/>
  <c r="K173" i="17"/>
  <c r="K177" i="17"/>
  <c r="K178" i="17"/>
  <c r="K181" i="17"/>
  <c r="K185" i="17"/>
  <c r="K186" i="17"/>
  <c r="K194" i="17"/>
  <c r="K197" i="17"/>
  <c r="K201" i="17"/>
  <c r="K202" i="17"/>
  <c r="K205" i="17"/>
  <c r="K209" i="17"/>
  <c r="K210" i="17"/>
  <c r="K217" i="17"/>
  <c r="K218" i="17"/>
  <c r="K221" i="17"/>
  <c r="K226" i="17"/>
  <c r="K237" i="17"/>
  <c r="K241" i="17"/>
  <c r="K242" i="17"/>
  <c r="K245" i="17"/>
  <c r="K250" i="17"/>
  <c r="K257" i="17"/>
  <c r="K258" i="17"/>
  <c r="K261" i="17"/>
  <c r="K266" i="17"/>
  <c r="K273" i="17"/>
  <c r="K274" i="17"/>
  <c r="K277" i="17"/>
  <c r="K281" i="17"/>
  <c r="K282" i="17"/>
  <c r="K285" i="17"/>
  <c r="K290" i="17"/>
  <c r="K297" i="17"/>
  <c r="K298" i="17"/>
  <c r="K301" i="17"/>
  <c r="K234" i="17"/>
  <c r="K170" i="17"/>
  <c r="K98" i="17"/>
  <c r="K26" i="17"/>
  <c r="J305" i="16"/>
  <c r="J304" i="16"/>
  <c r="J303" i="16"/>
  <c r="J302" i="16"/>
  <c r="J301" i="16"/>
  <c r="K301" i="16" s="1"/>
  <c r="J300" i="16"/>
  <c r="J299" i="16"/>
  <c r="J298" i="16"/>
  <c r="K298" i="16" s="1"/>
  <c r="J297" i="16"/>
  <c r="J296" i="16"/>
  <c r="J295" i="16"/>
  <c r="J294" i="16"/>
  <c r="J293" i="16"/>
  <c r="J292" i="16"/>
  <c r="J291" i="16"/>
  <c r="J290" i="16"/>
  <c r="J289" i="16"/>
  <c r="J288" i="16"/>
  <c r="J287" i="16"/>
  <c r="J286" i="16"/>
  <c r="J285" i="16"/>
  <c r="K285" i="16" s="1"/>
  <c r="J284" i="16"/>
  <c r="J283" i="16"/>
  <c r="J282" i="16"/>
  <c r="K282" i="16" s="1"/>
  <c r="J281" i="16"/>
  <c r="J280" i="16"/>
  <c r="J279" i="16"/>
  <c r="J278" i="16"/>
  <c r="J277" i="16"/>
  <c r="K277" i="16" s="1"/>
  <c r="J276" i="16"/>
  <c r="J275" i="16"/>
  <c r="J274" i="16"/>
  <c r="K274" i="16" s="1"/>
  <c r="J273" i="16"/>
  <c r="J272" i="16"/>
  <c r="J271" i="16"/>
  <c r="J270" i="16"/>
  <c r="J269" i="16"/>
  <c r="K269" i="16" s="1"/>
  <c r="J268" i="16"/>
  <c r="J267" i="16"/>
  <c r="J266" i="16"/>
  <c r="K266" i="16" s="1"/>
  <c r="J265" i="16"/>
  <c r="J264" i="16"/>
  <c r="J263" i="16"/>
  <c r="J262" i="16"/>
  <c r="J261" i="16"/>
  <c r="K261" i="16" s="1"/>
  <c r="J260" i="16"/>
  <c r="J259" i="16"/>
  <c r="J258" i="16"/>
  <c r="K258" i="16" s="1"/>
  <c r="J257" i="16"/>
  <c r="J256" i="16"/>
  <c r="J255" i="16"/>
  <c r="J254" i="16"/>
  <c r="J253" i="16"/>
  <c r="J252" i="16"/>
  <c r="J251" i="16"/>
  <c r="J250" i="16"/>
  <c r="K250" i="16" s="1"/>
  <c r="J249" i="16"/>
  <c r="J248" i="16"/>
  <c r="J247" i="16"/>
  <c r="J246" i="16"/>
  <c r="J245" i="16"/>
  <c r="K245" i="16" s="1"/>
  <c r="J244" i="16"/>
  <c r="J243" i="16"/>
  <c r="J242" i="16"/>
  <c r="K242" i="16" s="1"/>
  <c r="J241" i="16"/>
  <c r="J240" i="16"/>
  <c r="J239" i="16"/>
  <c r="J238" i="16"/>
  <c r="J237" i="16"/>
  <c r="K237" i="16" s="1"/>
  <c r="J236" i="16"/>
  <c r="J235" i="16"/>
  <c r="J234" i="16"/>
  <c r="J233" i="16"/>
  <c r="J232" i="16"/>
  <c r="J231" i="16"/>
  <c r="J230" i="16"/>
  <c r="J229" i="16"/>
  <c r="K229" i="16" s="1"/>
  <c r="J228" i="16"/>
  <c r="J227" i="16"/>
  <c r="J226" i="16"/>
  <c r="K226" i="16" s="1"/>
  <c r="J225" i="16"/>
  <c r="J224" i="16"/>
  <c r="J223" i="16"/>
  <c r="J222" i="16"/>
  <c r="J221" i="16"/>
  <c r="K221" i="16" s="1"/>
  <c r="J220" i="16"/>
  <c r="J219" i="16"/>
  <c r="J218" i="16"/>
  <c r="K218" i="16" s="1"/>
  <c r="J217" i="16"/>
  <c r="J216" i="16"/>
  <c r="J215" i="16"/>
  <c r="J214" i="16"/>
  <c r="J213" i="16"/>
  <c r="K213" i="16" s="1"/>
  <c r="J212" i="16"/>
  <c r="J211" i="16"/>
  <c r="J210" i="16"/>
  <c r="K210" i="16" s="1"/>
  <c r="J209" i="16"/>
  <c r="J208" i="16"/>
  <c r="J207" i="16"/>
  <c r="J206" i="16"/>
  <c r="J205" i="16"/>
  <c r="K205" i="16" s="1"/>
  <c r="J204" i="16"/>
  <c r="J203" i="16"/>
  <c r="J202" i="16"/>
  <c r="K202" i="16" s="1"/>
  <c r="J201" i="16"/>
  <c r="J200" i="16"/>
  <c r="J199" i="16"/>
  <c r="J198" i="16"/>
  <c r="J197" i="16"/>
  <c r="K197" i="16" s="1"/>
  <c r="J196" i="16"/>
  <c r="J195" i="16"/>
  <c r="J194" i="16"/>
  <c r="J193" i="16"/>
  <c r="J192" i="16"/>
  <c r="J191" i="16"/>
  <c r="J190" i="16"/>
  <c r="J189" i="16"/>
  <c r="K189" i="16" s="1"/>
  <c r="J188" i="16"/>
  <c r="J187" i="16"/>
  <c r="J186" i="16"/>
  <c r="K186" i="16" s="1"/>
  <c r="J185" i="16"/>
  <c r="J184" i="16"/>
  <c r="J183" i="16"/>
  <c r="J182" i="16"/>
  <c r="J181" i="16"/>
  <c r="K181" i="16" s="1"/>
  <c r="J180" i="16"/>
  <c r="J179" i="16"/>
  <c r="J178" i="16"/>
  <c r="J177" i="16"/>
  <c r="J176" i="16"/>
  <c r="J175" i="16"/>
  <c r="J174" i="16"/>
  <c r="J173" i="16"/>
  <c r="K173" i="16" s="1"/>
  <c r="J172" i="16"/>
  <c r="J171" i="16"/>
  <c r="J170" i="16"/>
  <c r="K170" i="16" s="1"/>
  <c r="J169" i="16"/>
  <c r="J168" i="16"/>
  <c r="J167" i="16"/>
  <c r="J166" i="16"/>
  <c r="J165" i="16"/>
  <c r="J164" i="16"/>
  <c r="J163" i="16"/>
  <c r="J162" i="16"/>
  <c r="K162" i="16" s="1"/>
  <c r="J161" i="16"/>
  <c r="J160" i="16"/>
  <c r="J159" i="16"/>
  <c r="J158" i="16"/>
  <c r="J157" i="16"/>
  <c r="K157" i="16" s="1"/>
  <c r="J156" i="16"/>
  <c r="J155" i="16"/>
  <c r="J154" i="16"/>
  <c r="K154" i="16" s="1"/>
  <c r="J153" i="16"/>
  <c r="J152" i="16"/>
  <c r="J151" i="16"/>
  <c r="J150" i="16"/>
  <c r="J149" i="16"/>
  <c r="K149" i="16" s="1"/>
  <c r="J148" i="16"/>
  <c r="J147" i="16"/>
  <c r="J146" i="16"/>
  <c r="K146" i="16" s="1"/>
  <c r="J145" i="16"/>
  <c r="J144" i="16"/>
  <c r="J143" i="16"/>
  <c r="J142" i="16"/>
  <c r="J141" i="16"/>
  <c r="K141" i="16" s="1"/>
  <c r="J140" i="16"/>
  <c r="J139" i="16"/>
  <c r="J138" i="16"/>
  <c r="K138" i="16" s="1"/>
  <c r="J137" i="16"/>
  <c r="J136" i="16"/>
  <c r="J135" i="16"/>
  <c r="J134" i="16"/>
  <c r="J133" i="16"/>
  <c r="J132" i="16"/>
  <c r="J131" i="16"/>
  <c r="J130" i="16"/>
  <c r="K130" i="16" s="1"/>
  <c r="J129" i="16"/>
  <c r="J128" i="16"/>
  <c r="J127" i="16"/>
  <c r="J126" i="16"/>
  <c r="J125" i="16"/>
  <c r="K125" i="16" s="1"/>
  <c r="J124" i="16"/>
  <c r="J123" i="16"/>
  <c r="J122" i="16"/>
  <c r="K122" i="16" s="1"/>
  <c r="J121" i="16"/>
  <c r="J120" i="16"/>
  <c r="J119" i="16"/>
  <c r="J118" i="16"/>
  <c r="J117" i="16"/>
  <c r="K117" i="16" s="1"/>
  <c r="J116" i="16"/>
  <c r="J115" i="16"/>
  <c r="J114" i="16"/>
  <c r="K114" i="16" s="1"/>
  <c r="J113" i="16"/>
  <c r="J112" i="16"/>
  <c r="J111" i="16"/>
  <c r="J110" i="16"/>
  <c r="J109" i="16"/>
  <c r="K109" i="16" s="1"/>
  <c r="J108" i="16"/>
  <c r="J107" i="16"/>
  <c r="J106" i="16"/>
  <c r="K106" i="16" s="1"/>
  <c r="J105" i="16"/>
  <c r="J104" i="16"/>
  <c r="J103" i="16"/>
  <c r="J102" i="16"/>
  <c r="J101" i="16"/>
  <c r="K101" i="16" s="1"/>
  <c r="J100" i="16"/>
  <c r="J99" i="16"/>
  <c r="J98" i="16"/>
  <c r="K98" i="16" s="1"/>
  <c r="J97" i="16"/>
  <c r="J96" i="16"/>
  <c r="J95" i="16"/>
  <c r="J94" i="16"/>
  <c r="J93" i="16"/>
  <c r="K93" i="16" s="1"/>
  <c r="J92" i="16"/>
  <c r="J91" i="16"/>
  <c r="J90" i="16"/>
  <c r="K90" i="16" s="1"/>
  <c r="J89" i="16"/>
  <c r="J88" i="16"/>
  <c r="J87" i="16"/>
  <c r="J86" i="16"/>
  <c r="J85" i="16"/>
  <c r="K85" i="16" s="1"/>
  <c r="J84" i="16"/>
  <c r="J83" i="16"/>
  <c r="J82" i="16"/>
  <c r="K82" i="16" s="1"/>
  <c r="J81" i="16"/>
  <c r="J80" i="16"/>
  <c r="J79" i="16"/>
  <c r="J78" i="16"/>
  <c r="J77" i="16"/>
  <c r="K77" i="16" s="1"/>
  <c r="J76" i="16"/>
  <c r="J75" i="16"/>
  <c r="J74" i="16"/>
  <c r="K74" i="16" s="1"/>
  <c r="J73" i="16"/>
  <c r="J72" i="16"/>
  <c r="J71" i="16"/>
  <c r="J70" i="16"/>
  <c r="J69" i="16"/>
  <c r="K69" i="16" s="1"/>
  <c r="J68" i="16"/>
  <c r="J67" i="16"/>
  <c r="J66" i="16"/>
  <c r="K66" i="16" s="1"/>
  <c r="J65" i="16"/>
  <c r="J64" i="16"/>
  <c r="J63" i="16"/>
  <c r="J62" i="16"/>
  <c r="J61" i="16"/>
  <c r="K61" i="16" s="1"/>
  <c r="J60" i="16"/>
  <c r="J59" i="16"/>
  <c r="J58" i="16"/>
  <c r="K58" i="16" s="1"/>
  <c r="J57" i="16"/>
  <c r="J56" i="16"/>
  <c r="J55" i="16"/>
  <c r="J54" i="16"/>
  <c r="J53" i="16"/>
  <c r="J52" i="16"/>
  <c r="J51" i="16"/>
  <c r="J50" i="16"/>
  <c r="K50" i="16" s="1"/>
  <c r="J49" i="16"/>
  <c r="J48" i="16"/>
  <c r="J47" i="16"/>
  <c r="J46" i="16"/>
  <c r="J45" i="16"/>
  <c r="K45" i="16" s="1"/>
  <c r="J44" i="16"/>
  <c r="J43" i="16"/>
  <c r="J42" i="16"/>
  <c r="J41" i="16"/>
  <c r="J40" i="16"/>
  <c r="J39" i="16"/>
  <c r="J38" i="16"/>
  <c r="J37" i="16"/>
  <c r="K37" i="16" s="1"/>
  <c r="J36" i="16"/>
  <c r="J35" i="16"/>
  <c r="J34" i="16"/>
  <c r="K34" i="16" s="1"/>
  <c r="J33" i="16"/>
  <c r="K33" i="16" s="1"/>
  <c r="J32" i="16"/>
  <c r="J31" i="16"/>
  <c r="J30" i="16"/>
  <c r="J29" i="16"/>
  <c r="K29" i="16" s="1"/>
  <c r="J28" i="16"/>
  <c r="J27" i="16"/>
  <c r="J26" i="16"/>
  <c r="K26" i="16" s="1"/>
  <c r="J25" i="16"/>
  <c r="J24" i="16"/>
  <c r="J23" i="16"/>
  <c r="J22" i="16"/>
  <c r="J21" i="16"/>
  <c r="K21" i="16" s="1"/>
  <c r="J20" i="16"/>
  <c r="J19" i="16"/>
  <c r="J18" i="16"/>
  <c r="K18" i="16" s="1"/>
  <c r="J17" i="16"/>
  <c r="J16" i="16"/>
  <c r="J15" i="16"/>
  <c r="J14" i="16"/>
  <c r="J13" i="16"/>
  <c r="K13" i="16" s="1"/>
  <c r="J12" i="16"/>
  <c r="J11" i="16"/>
  <c r="J10" i="16"/>
  <c r="K10" i="16" s="1"/>
  <c r="J9" i="16"/>
  <c r="J8" i="16"/>
  <c r="J7" i="16"/>
  <c r="K14" i="16"/>
  <c r="K22" i="16"/>
  <c r="K30" i="16"/>
  <c r="K38" i="16"/>
  <c r="K46" i="16"/>
  <c r="K53" i="16"/>
  <c r="K54" i="16"/>
  <c r="K62" i="16"/>
  <c r="K70" i="16"/>
  <c r="K78" i="16"/>
  <c r="K86" i="16"/>
  <c r="K94" i="16"/>
  <c r="K110" i="16"/>
  <c r="K118" i="16"/>
  <c r="K126" i="16"/>
  <c r="K133" i="16"/>
  <c r="K134" i="16"/>
  <c r="K142" i="16"/>
  <c r="K150" i="16"/>
  <c r="K158" i="16"/>
  <c r="K165" i="16"/>
  <c r="K174" i="16"/>
  <c r="K182" i="16"/>
  <c r="K190" i="16"/>
  <c r="K198" i="16"/>
  <c r="K206" i="16"/>
  <c r="K214" i="16"/>
  <c r="K222" i="16"/>
  <c r="K238" i="16"/>
  <c r="K246" i="16"/>
  <c r="K253" i="16"/>
  <c r="K262" i="16"/>
  <c r="K270" i="16"/>
  <c r="K278" i="16"/>
  <c r="K286" i="16"/>
  <c r="K293" i="16"/>
  <c r="K302" i="16"/>
  <c r="K290" i="16"/>
  <c r="K241" i="16"/>
  <c r="K234" i="16"/>
  <c r="K225" i="16"/>
  <c r="K209" i="16"/>
  <c r="K201" i="16"/>
  <c r="K193" i="16"/>
  <c r="K185" i="16"/>
  <c r="K177" i="16"/>
  <c r="K169" i="16"/>
  <c r="K153" i="16"/>
  <c r="K145" i="16"/>
  <c r="K137" i="16"/>
  <c r="K129" i="16"/>
  <c r="K121" i="16"/>
  <c r="K113" i="16"/>
  <c r="K105" i="16"/>
  <c r="K97" i="16"/>
  <c r="K89" i="16"/>
  <c r="K81" i="16"/>
  <c r="K73" i="16"/>
  <c r="K57" i="16"/>
  <c r="K42" i="16"/>
  <c r="K41" i="16"/>
  <c r="K9" i="16"/>
  <c r="J6" i="19"/>
  <c r="J6" i="18"/>
  <c r="J305" i="15"/>
  <c r="J304" i="15"/>
  <c r="J303" i="15"/>
  <c r="J302" i="15"/>
  <c r="J301" i="15"/>
  <c r="K301" i="15" s="1"/>
  <c r="J300" i="15"/>
  <c r="K300" i="15" s="1"/>
  <c r="J299" i="15"/>
  <c r="K299" i="15" s="1"/>
  <c r="J298" i="15"/>
  <c r="K298" i="15" s="1"/>
  <c r="J297" i="15"/>
  <c r="J296" i="15"/>
  <c r="J295" i="15"/>
  <c r="J294" i="15"/>
  <c r="K294" i="15" s="1"/>
  <c r="J293" i="15"/>
  <c r="J292" i="15"/>
  <c r="K292" i="15" s="1"/>
  <c r="J291" i="15"/>
  <c r="K291" i="15" s="1"/>
  <c r="J290" i="15"/>
  <c r="K290" i="15" s="1"/>
  <c r="J289" i="15"/>
  <c r="J288" i="15"/>
  <c r="J287" i="15"/>
  <c r="J286" i="15"/>
  <c r="K286" i="15" s="1"/>
  <c r="J285" i="15"/>
  <c r="K285" i="15" s="1"/>
  <c r="J284" i="15"/>
  <c r="K284" i="15" s="1"/>
  <c r="J283" i="15"/>
  <c r="K283" i="15" s="1"/>
  <c r="J282" i="15"/>
  <c r="K282" i="15" s="1"/>
  <c r="J281" i="15"/>
  <c r="J280" i="15"/>
  <c r="J279" i="15"/>
  <c r="J278" i="15"/>
  <c r="K278" i="15" s="1"/>
  <c r="J277" i="15"/>
  <c r="J276" i="15"/>
  <c r="K276" i="15" s="1"/>
  <c r="J275" i="15"/>
  <c r="K275" i="15" s="1"/>
  <c r="J274" i="15"/>
  <c r="K274" i="15" s="1"/>
  <c r="J273" i="15"/>
  <c r="J272" i="15"/>
  <c r="J271" i="15"/>
  <c r="J270" i="15"/>
  <c r="J269" i="15"/>
  <c r="J268" i="15"/>
  <c r="K268" i="15" s="1"/>
  <c r="J267" i="15"/>
  <c r="K267" i="15" s="1"/>
  <c r="J266" i="15"/>
  <c r="K266" i="15" s="1"/>
  <c r="J265" i="15"/>
  <c r="J264" i="15"/>
  <c r="J263" i="15"/>
  <c r="J262" i="15"/>
  <c r="K262" i="15" s="1"/>
  <c r="J261" i="15"/>
  <c r="K261" i="15" s="1"/>
  <c r="J260" i="15"/>
  <c r="J259" i="15"/>
  <c r="K259" i="15" s="1"/>
  <c r="J258" i="15"/>
  <c r="K258" i="15" s="1"/>
  <c r="J257" i="15"/>
  <c r="J256" i="15"/>
  <c r="J255" i="15"/>
  <c r="J254" i="15"/>
  <c r="K254" i="15" s="1"/>
  <c r="J253" i="15"/>
  <c r="J252" i="15"/>
  <c r="K252" i="15" s="1"/>
  <c r="J251" i="15"/>
  <c r="K251" i="15" s="1"/>
  <c r="J250" i="15"/>
  <c r="K250" i="15" s="1"/>
  <c r="J249" i="15"/>
  <c r="J248" i="15"/>
  <c r="J247" i="15"/>
  <c r="J246" i="15"/>
  <c r="K246" i="15" s="1"/>
  <c r="J245" i="15"/>
  <c r="K245" i="15" s="1"/>
  <c r="J244" i="15"/>
  <c r="K244" i="15" s="1"/>
  <c r="J243" i="15"/>
  <c r="K243" i="15" s="1"/>
  <c r="J242" i="15"/>
  <c r="K242" i="15" s="1"/>
  <c r="J241" i="15"/>
  <c r="J240" i="15"/>
  <c r="J239" i="15"/>
  <c r="J238" i="15"/>
  <c r="J237" i="15"/>
  <c r="J236" i="15"/>
  <c r="K236" i="15" s="1"/>
  <c r="J235" i="15"/>
  <c r="K235" i="15" s="1"/>
  <c r="J234" i="15"/>
  <c r="K234" i="15" s="1"/>
  <c r="J233" i="15"/>
  <c r="J232" i="15"/>
  <c r="J231" i="15"/>
  <c r="J230" i="15"/>
  <c r="K230" i="15" s="1"/>
  <c r="J229" i="15"/>
  <c r="J228" i="15"/>
  <c r="K228" i="15" s="1"/>
  <c r="J227" i="15"/>
  <c r="K227" i="15" s="1"/>
  <c r="J226" i="15"/>
  <c r="K226" i="15" s="1"/>
  <c r="J225" i="15"/>
  <c r="J224" i="15"/>
  <c r="J223" i="15"/>
  <c r="J222" i="15"/>
  <c r="K222" i="15" s="1"/>
  <c r="J221" i="15"/>
  <c r="J220" i="15"/>
  <c r="K220" i="15" s="1"/>
  <c r="J219" i="15"/>
  <c r="K219" i="15" s="1"/>
  <c r="J218" i="15"/>
  <c r="K218" i="15" s="1"/>
  <c r="J217" i="15"/>
  <c r="J216" i="15"/>
  <c r="J215" i="15"/>
  <c r="J214" i="15"/>
  <c r="K214" i="15" s="1"/>
  <c r="J213" i="15"/>
  <c r="J212" i="15"/>
  <c r="K212" i="15" s="1"/>
  <c r="J211" i="15"/>
  <c r="K211" i="15" s="1"/>
  <c r="J210" i="15"/>
  <c r="K210" i="15" s="1"/>
  <c r="J209" i="15"/>
  <c r="J208" i="15"/>
  <c r="J207" i="15"/>
  <c r="J206" i="15"/>
  <c r="K206" i="15" s="1"/>
  <c r="J205" i="15"/>
  <c r="K205" i="15" s="1"/>
  <c r="J204" i="15"/>
  <c r="K204" i="15" s="1"/>
  <c r="J203" i="15"/>
  <c r="K203" i="15" s="1"/>
  <c r="J202" i="15"/>
  <c r="K202" i="15" s="1"/>
  <c r="J201" i="15"/>
  <c r="J200" i="15"/>
  <c r="J199" i="15"/>
  <c r="J198" i="15"/>
  <c r="K198" i="15" s="1"/>
  <c r="J197" i="15"/>
  <c r="J196" i="15"/>
  <c r="K196" i="15" s="1"/>
  <c r="J195" i="15"/>
  <c r="K195" i="15" s="1"/>
  <c r="J194" i="15"/>
  <c r="K194" i="15" s="1"/>
  <c r="J193" i="15"/>
  <c r="J192" i="15"/>
  <c r="J191" i="15"/>
  <c r="J190" i="15"/>
  <c r="K190" i="15" s="1"/>
  <c r="J189" i="15"/>
  <c r="K189" i="15" s="1"/>
  <c r="J188" i="15"/>
  <c r="K188" i="15" s="1"/>
  <c r="J187" i="15"/>
  <c r="K187" i="15" s="1"/>
  <c r="J186" i="15"/>
  <c r="K186" i="15" s="1"/>
  <c r="J185" i="15"/>
  <c r="J184" i="15"/>
  <c r="J183" i="15"/>
  <c r="J182" i="15"/>
  <c r="K182" i="15" s="1"/>
  <c r="J181" i="15"/>
  <c r="K181" i="15" s="1"/>
  <c r="J180" i="15"/>
  <c r="K180" i="15" s="1"/>
  <c r="J179" i="15"/>
  <c r="K179" i="15" s="1"/>
  <c r="J178" i="15"/>
  <c r="K178" i="15" s="1"/>
  <c r="J177" i="15"/>
  <c r="J176" i="15"/>
  <c r="J175" i="15"/>
  <c r="J174" i="15"/>
  <c r="K174" i="15" s="1"/>
  <c r="J173" i="15"/>
  <c r="J172" i="15"/>
  <c r="K172" i="15" s="1"/>
  <c r="J171" i="15"/>
  <c r="K171" i="15" s="1"/>
  <c r="J170" i="15"/>
  <c r="K170" i="15" s="1"/>
  <c r="J169" i="15"/>
  <c r="J168" i="15"/>
  <c r="J167" i="15"/>
  <c r="J166" i="15"/>
  <c r="K166" i="15" s="1"/>
  <c r="J165" i="15"/>
  <c r="K165" i="15" s="1"/>
  <c r="J164" i="15"/>
  <c r="K164" i="15" s="1"/>
  <c r="J163" i="15"/>
  <c r="K163" i="15" s="1"/>
  <c r="J162" i="15"/>
  <c r="K162" i="15" s="1"/>
  <c r="J161" i="15"/>
  <c r="J160" i="15"/>
  <c r="J159" i="15"/>
  <c r="J158" i="15"/>
  <c r="K158" i="15" s="1"/>
  <c r="J157" i="15"/>
  <c r="K157" i="15" s="1"/>
  <c r="J156" i="15"/>
  <c r="K156" i="15" s="1"/>
  <c r="J155" i="15"/>
  <c r="K155" i="15" s="1"/>
  <c r="J154" i="15"/>
  <c r="K154" i="15" s="1"/>
  <c r="J153" i="15"/>
  <c r="J152" i="15"/>
  <c r="J151" i="15"/>
  <c r="J150" i="15"/>
  <c r="K150" i="15" s="1"/>
  <c r="J149" i="15"/>
  <c r="K149" i="15" s="1"/>
  <c r="J148" i="15"/>
  <c r="K148" i="15" s="1"/>
  <c r="J147" i="15"/>
  <c r="K147" i="15" s="1"/>
  <c r="J146" i="15"/>
  <c r="K146" i="15" s="1"/>
  <c r="J145" i="15"/>
  <c r="J144" i="15"/>
  <c r="J143" i="15"/>
  <c r="J142" i="15"/>
  <c r="K142" i="15" s="1"/>
  <c r="J141" i="15"/>
  <c r="J140" i="15"/>
  <c r="K140" i="15" s="1"/>
  <c r="J139" i="15"/>
  <c r="K139" i="15" s="1"/>
  <c r="J138" i="15"/>
  <c r="K138" i="15" s="1"/>
  <c r="J137" i="15"/>
  <c r="J136" i="15"/>
  <c r="J135" i="15"/>
  <c r="J134" i="15"/>
  <c r="K134" i="15" s="1"/>
  <c r="J133" i="15"/>
  <c r="J132" i="15"/>
  <c r="K132" i="15" s="1"/>
  <c r="J131" i="15"/>
  <c r="K131" i="15" s="1"/>
  <c r="J130" i="15"/>
  <c r="K130" i="15" s="1"/>
  <c r="J129" i="15"/>
  <c r="J128" i="15"/>
  <c r="J127" i="15"/>
  <c r="J126" i="15"/>
  <c r="K126" i="15" s="1"/>
  <c r="J125" i="15"/>
  <c r="K125" i="15" s="1"/>
  <c r="J124" i="15"/>
  <c r="K124" i="15" s="1"/>
  <c r="J123" i="15"/>
  <c r="K123" i="15" s="1"/>
  <c r="J122" i="15"/>
  <c r="K122" i="15" s="1"/>
  <c r="J121" i="15"/>
  <c r="J120" i="15"/>
  <c r="J119" i="15"/>
  <c r="J118" i="15"/>
  <c r="K118" i="15" s="1"/>
  <c r="J117" i="15"/>
  <c r="J116" i="15"/>
  <c r="K116" i="15" s="1"/>
  <c r="J115" i="15"/>
  <c r="K115" i="15" s="1"/>
  <c r="J114" i="15"/>
  <c r="K114" i="15" s="1"/>
  <c r="J113" i="15"/>
  <c r="J112" i="15"/>
  <c r="J111" i="15"/>
  <c r="J110" i="15"/>
  <c r="J109" i="15"/>
  <c r="K109" i="15" s="1"/>
  <c r="J108" i="15"/>
  <c r="K108" i="15" s="1"/>
  <c r="J107" i="15"/>
  <c r="K107" i="15" s="1"/>
  <c r="J106" i="15"/>
  <c r="K106" i="15" s="1"/>
  <c r="J105" i="15"/>
  <c r="J104" i="15"/>
  <c r="J103" i="15"/>
  <c r="J102" i="15"/>
  <c r="K102" i="15" s="1"/>
  <c r="J101" i="15"/>
  <c r="J100" i="15"/>
  <c r="K100" i="15" s="1"/>
  <c r="J99" i="15"/>
  <c r="K99" i="15" s="1"/>
  <c r="J98" i="15"/>
  <c r="K98" i="15" s="1"/>
  <c r="J97" i="15"/>
  <c r="J96" i="15"/>
  <c r="J95" i="15"/>
  <c r="J94" i="15"/>
  <c r="K94" i="15" s="1"/>
  <c r="J93" i="15"/>
  <c r="J92" i="15"/>
  <c r="K92" i="15" s="1"/>
  <c r="J91" i="15"/>
  <c r="K91" i="15" s="1"/>
  <c r="J90" i="15"/>
  <c r="K90" i="15" s="1"/>
  <c r="J89" i="15"/>
  <c r="J88" i="15"/>
  <c r="J87" i="15"/>
  <c r="J86" i="15"/>
  <c r="K86" i="15" s="1"/>
  <c r="J85" i="15"/>
  <c r="K85" i="15" s="1"/>
  <c r="J84" i="15"/>
  <c r="K84" i="15" s="1"/>
  <c r="J83" i="15"/>
  <c r="K83" i="15" s="1"/>
  <c r="J82" i="15"/>
  <c r="K82" i="15" s="1"/>
  <c r="J81" i="15"/>
  <c r="J80" i="15"/>
  <c r="J79" i="15"/>
  <c r="J78" i="15"/>
  <c r="K78" i="15" s="1"/>
  <c r="J77" i="15"/>
  <c r="J76" i="15"/>
  <c r="K76" i="15" s="1"/>
  <c r="J75" i="15"/>
  <c r="K75" i="15" s="1"/>
  <c r="J74" i="15"/>
  <c r="K74" i="15" s="1"/>
  <c r="J73" i="15"/>
  <c r="J72" i="15"/>
  <c r="J71" i="15"/>
  <c r="J70" i="15"/>
  <c r="K70" i="15" s="1"/>
  <c r="J69" i="15"/>
  <c r="K69" i="15" s="1"/>
  <c r="J68" i="15"/>
  <c r="K68" i="15" s="1"/>
  <c r="J67" i="15"/>
  <c r="K67" i="15" s="1"/>
  <c r="J66" i="15"/>
  <c r="K66" i="15" s="1"/>
  <c r="J65" i="15"/>
  <c r="J64" i="15"/>
  <c r="K64" i="15" s="1"/>
  <c r="J63" i="15"/>
  <c r="J62" i="15"/>
  <c r="K62" i="15" s="1"/>
  <c r="J61" i="15"/>
  <c r="J60" i="15"/>
  <c r="K60" i="15" s="1"/>
  <c r="J59" i="15"/>
  <c r="K59" i="15" s="1"/>
  <c r="J58" i="15"/>
  <c r="K58" i="15" s="1"/>
  <c r="J57" i="15"/>
  <c r="J56" i="15"/>
  <c r="J55" i="15"/>
  <c r="J54" i="15"/>
  <c r="K54" i="15" s="1"/>
  <c r="J53" i="15"/>
  <c r="J52" i="15"/>
  <c r="K52" i="15" s="1"/>
  <c r="J51" i="15"/>
  <c r="K51" i="15" s="1"/>
  <c r="J50" i="15"/>
  <c r="K50" i="15" s="1"/>
  <c r="J49" i="15"/>
  <c r="J48" i="15"/>
  <c r="J47" i="15"/>
  <c r="J46" i="15"/>
  <c r="J45" i="15"/>
  <c r="K45" i="15" s="1"/>
  <c r="J44" i="15"/>
  <c r="K44" i="15" s="1"/>
  <c r="J43" i="15"/>
  <c r="K43" i="15" s="1"/>
  <c r="J42" i="15"/>
  <c r="K42" i="15" s="1"/>
  <c r="J41" i="15"/>
  <c r="J40" i="15"/>
  <c r="J39" i="15"/>
  <c r="J38" i="15"/>
  <c r="K38" i="15" s="1"/>
  <c r="J37" i="15"/>
  <c r="J36" i="15"/>
  <c r="K36" i="15" s="1"/>
  <c r="J35" i="15"/>
  <c r="K35" i="15" s="1"/>
  <c r="J34" i="15"/>
  <c r="K34" i="15" s="1"/>
  <c r="J33" i="15"/>
  <c r="J32" i="15"/>
  <c r="J31" i="15"/>
  <c r="J30" i="15"/>
  <c r="K30" i="15" s="1"/>
  <c r="J29" i="15"/>
  <c r="K29" i="15" s="1"/>
  <c r="J28" i="15"/>
  <c r="K28" i="15" s="1"/>
  <c r="J27" i="15"/>
  <c r="K27" i="15" s="1"/>
  <c r="J26" i="15"/>
  <c r="K26" i="15" s="1"/>
  <c r="J25" i="15"/>
  <c r="J24" i="15"/>
  <c r="K24" i="15" s="1"/>
  <c r="J23" i="15"/>
  <c r="J22" i="15"/>
  <c r="K22" i="15" s="1"/>
  <c r="J21" i="15"/>
  <c r="J20" i="15"/>
  <c r="K20" i="15" s="1"/>
  <c r="J19" i="15"/>
  <c r="K19" i="15" s="1"/>
  <c r="J18" i="15"/>
  <c r="K18" i="15" s="1"/>
  <c r="J17" i="15"/>
  <c r="J16" i="15"/>
  <c r="J15" i="15"/>
  <c r="J14" i="15"/>
  <c r="K14" i="15" s="1"/>
  <c r="J13" i="15"/>
  <c r="K13" i="15" s="1"/>
  <c r="J12" i="15"/>
  <c r="K12" i="15" s="1"/>
  <c r="J11" i="15"/>
  <c r="K11" i="15" s="1"/>
  <c r="J10" i="15"/>
  <c r="K10" i="15" s="1"/>
  <c r="K238" i="15"/>
  <c r="K260" i="15"/>
  <c r="K281" i="15"/>
  <c r="K297" i="15"/>
  <c r="K302" i="15"/>
  <c r="K305" i="15"/>
  <c r="K296" i="15"/>
  <c r="K288" i="15"/>
  <c r="K280" i="15"/>
  <c r="K272" i="15"/>
  <c r="K264" i="15"/>
  <c r="K256" i="15"/>
  <c r="K248" i="15"/>
  <c r="K240" i="15"/>
  <c r="K232" i="15"/>
  <c r="K224" i="15"/>
  <c r="K216" i="15"/>
  <c r="K200" i="15"/>
  <c r="K192" i="15"/>
  <c r="K176" i="15"/>
  <c r="K168" i="15"/>
  <c r="K160" i="15"/>
  <c r="K144" i="15"/>
  <c r="K136" i="15"/>
  <c r="K128" i="15"/>
  <c r="K120" i="15"/>
  <c r="K112" i="15"/>
  <c r="K104" i="15"/>
  <c r="K96" i="15"/>
  <c r="K88" i="15"/>
  <c r="K80" i="15"/>
  <c r="K72" i="15"/>
  <c r="K56" i="15"/>
  <c r="K48" i="15"/>
  <c r="K40" i="15"/>
  <c r="K32" i="15"/>
  <c r="K16" i="15"/>
  <c r="K8" i="15"/>
  <c r="K46" i="15"/>
  <c r="K110" i="15"/>
  <c r="K270" i="15"/>
  <c r="A23" i="13"/>
  <c r="A22" i="13"/>
  <c r="A21" i="13"/>
  <c r="A20" i="13"/>
  <c r="A19" i="13"/>
  <c r="A18" i="13"/>
  <c r="A17" i="13"/>
  <c r="A10" i="13"/>
  <c r="A16" i="13"/>
  <c r="A15" i="13"/>
  <c r="A6" i="13"/>
  <c r="A9" i="13"/>
  <c r="A13" i="13"/>
  <c r="A14" i="13"/>
  <c r="A7" i="13"/>
  <c r="A8" i="13"/>
  <c r="A11" i="13"/>
  <c r="A12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K303" i="14" s="1"/>
  <c r="J302" i="14"/>
  <c r="J301" i="14"/>
  <c r="J300" i="14"/>
  <c r="J299" i="14"/>
  <c r="J298" i="14"/>
  <c r="K298" i="14" s="1"/>
  <c r="J297" i="14"/>
  <c r="J296" i="14"/>
  <c r="J295" i="14"/>
  <c r="K295" i="14" s="1"/>
  <c r="J294" i="14"/>
  <c r="J293" i="14"/>
  <c r="J292" i="14"/>
  <c r="J291" i="14"/>
  <c r="J290" i="14"/>
  <c r="K290" i="14" s="1"/>
  <c r="J289" i="14"/>
  <c r="J288" i="14"/>
  <c r="J287" i="14"/>
  <c r="K287" i="14" s="1"/>
  <c r="J286" i="14"/>
  <c r="J285" i="14"/>
  <c r="J284" i="14"/>
  <c r="J283" i="14"/>
  <c r="J282" i="14"/>
  <c r="K282" i="14" s="1"/>
  <c r="J281" i="14"/>
  <c r="J280" i="14"/>
  <c r="J279" i="14"/>
  <c r="K279" i="14" s="1"/>
  <c r="J278" i="14"/>
  <c r="J277" i="14"/>
  <c r="J276" i="14"/>
  <c r="J275" i="14"/>
  <c r="J274" i="14"/>
  <c r="K274" i="14" s="1"/>
  <c r="J273" i="14"/>
  <c r="J272" i="14"/>
  <c r="J271" i="14"/>
  <c r="K271" i="14" s="1"/>
  <c r="J270" i="14"/>
  <c r="J269" i="14"/>
  <c r="J268" i="14"/>
  <c r="J267" i="14"/>
  <c r="J266" i="14"/>
  <c r="K266" i="14" s="1"/>
  <c r="J265" i="14"/>
  <c r="J264" i="14"/>
  <c r="J263" i="14"/>
  <c r="K263" i="14" s="1"/>
  <c r="J262" i="14"/>
  <c r="J261" i="14"/>
  <c r="J260" i="14"/>
  <c r="J259" i="14"/>
  <c r="J258" i="14"/>
  <c r="K258" i="14" s="1"/>
  <c r="J257" i="14"/>
  <c r="J256" i="14"/>
  <c r="J255" i="14"/>
  <c r="K255" i="14" s="1"/>
  <c r="J254" i="14"/>
  <c r="J253" i="14"/>
  <c r="J252" i="14"/>
  <c r="J251" i="14"/>
  <c r="J250" i="14"/>
  <c r="K250" i="14" s="1"/>
  <c r="J249" i="14"/>
  <c r="J248" i="14"/>
  <c r="J247" i="14"/>
  <c r="K247" i="14" s="1"/>
  <c r="J246" i="14"/>
  <c r="J245" i="14"/>
  <c r="J244" i="14"/>
  <c r="J243" i="14"/>
  <c r="J242" i="14"/>
  <c r="K242" i="14" s="1"/>
  <c r="J241" i="14"/>
  <c r="J240" i="14"/>
  <c r="J239" i="14"/>
  <c r="K239" i="14" s="1"/>
  <c r="J238" i="14"/>
  <c r="J237" i="14"/>
  <c r="J236" i="14"/>
  <c r="J235" i="14"/>
  <c r="J234" i="14"/>
  <c r="K234" i="14" s="1"/>
  <c r="J233" i="14"/>
  <c r="J232" i="14"/>
  <c r="K232" i="14" s="1"/>
  <c r="J231" i="14"/>
  <c r="J230" i="14"/>
  <c r="J229" i="14"/>
  <c r="J228" i="14"/>
  <c r="J227" i="14"/>
  <c r="J226" i="14"/>
  <c r="K226" i="14" s="1"/>
  <c r="J225" i="14"/>
  <c r="J224" i="14"/>
  <c r="K224" i="14" s="1"/>
  <c r="J223" i="14"/>
  <c r="J222" i="14"/>
  <c r="J221" i="14"/>
  <c r="J220" i="14"/>
  <c r="K220" i="14" s="1"/>
  <c r="J219" i="14"/>
  <c r="J218" i="14"/>
  <c r="K218" i="14" s="1"/>
  <c r="J217" i="14"/>
  <c r="J216" i="14"/>
  <c r="K216" i="14" s="1"/>
  <c r="J215" i="14"/>
  <c r="J214" i="14"/>
  <c r="J213" i="14"/>
  <c r="J212" i="14"/>
  <c r="J211" i="14"/>
  <c r="J210" i="14"/>
  <c r="K210" i="14" s="1"/>
  <c r="J209" i="14"/>
  <c r="J208" i="14"/>
  <c r="K208" i="14" s="1"/>
  <c r="J207" i="14"/>
  <c r="K207" i="14" s="1"/>
  <c r="J206" i="14"/>
  <c r="J205" i="14"/>
  <c r="J204" i="14"/>
  <c r="J203" i="14"/>
  <c r="J202" i="14"/>
  <c r="J201" i="14"/>
  <c r="J200" i="14"/>
  <c r="K200" i="14" s="1"/>
  <c r="J199" i="14"/>
  <c r="K199" i="14" s="1"/>
  <c r="J198" i="14"/>
  <c r="J197" i="14"/>
  <c r="J196" i="14"/>
  <c r="K196" i="14" s="1"/>
  <c r="J195" i="14"/>
  <c r="J194" i="14"/>
  <c r="J193" i="14"/>
  <c r="J192" i="14"/>
  <c r="K192" i="14" s="1"/>
  <c r="J191" i="14"/>
  <c r="J190" i="14"/>
  <c r="J189" i="14"/>
  <c r="J188" i="14"/>
  <c r="J187" i="14"/>
  <c r="J186" i="14"/>
  <c r="J185" i="14"/>
  <c r="J184" i="14"/>
  <c r="K184" i="14" s="1"/>
  <c r="J183" i="14"/>
  <c r="K183" i="14" s="1"/>
  <c r="J182" i="14"/>
  <c r="J181" i="14"/>
  <c r="J180" i="14"/>
  <c r="J179" i="14"/>
  <c r="J178" i="14"/>
  <c r="K178" i="14" s="1"/>
  <c r="J177" i="14"/>
  <c r="J176" i="14"/>
  <c r="K176" i="14" s="1"/>
  <c r="J175" i="14"/>
  <c r="K175" i="14" s="1"/>
  <c r="J174" i="14"/>
  <c r="J173" i="14"/>
  <c r="J172" i="14"/>
  <c r="K172" i="14" s="1"/>
  <c r="J171" i="14"/>
  <c r="J170" i="14"/>
  <c r="J169" i="14"/>
  <c r="J168" i="14"/>
  <c r="K168" i="14" s="1"/>
  <c r="J167" i="14"/>
  <c r="K167" i="14" s="1"/>
  <c r="J166" i="14"/>
  <c r="J165" i="14"/>
  <c r="J164" i="14"/>
  <c r="J163" i="14"/>
  <c r="J162" i="14"/>
  <c r="J161" i="14"/>
  <c r="J160" i="14"/>
  <c r="K160" i="14" s="1"/>
  <c r="J159" i="14"/>
  <c r="K159" i="14" s="1"/>
  <c r="J158" i="14"/>
  <c r="J157" i="14"/>
  <c r="J156" i="14"/>
  <c r="J155" i="14"/>
  <c r="J154" i="14"/>
  <c r="K154" i="14" s="1"/>
  <c r="J153" i="14"/>
  <c r="J152" i="14"/>
  <c r="K152" i="14" s="1"/>
  <c r="J151" i="14"/>
  <c r="K151" i="14" s="1"/>
  <c r="J150" i="14"/>
  <c r="J149" i="14"/>
  <c r="J148" i="14"/>
  <c r="K148" i="14" s="1"/>
  <c r="J147" i="14"/>
  <c r="J146" i="14"/>
  <c r="K146" i="14" s="1"/>
  <c r="J145" i="14"/>
  <c r="J144" i="14"/>
  <c r="J143" i="14"/>
  <c r="K143" i="14" s="1"/>
  <c r="J142" i="14"/>
  <c r="J141" i="14"/>
  <c r="J140" i="14"/>
  <c r="J139" i="14"/>
  <c r="J138" i="14"/>
  <c r="K138" i="14" s="1"/>
  <c r="J137" i="14"/>
  <c r="J136" i="14"/>
  <c r="K136" i="14" s="1"/>
  <c r="J135" i="14"/>
  <c r="J134" i="14"/>
  <c r="J133" i="14"/>
  <c r="J132" i="14"/>
  <c r="J131" i="14"/>
  <c r="J130" i="14"/>
  <c r="K130" i="14" s="1"/>
  <c r="J129" i="14"/>
  <c r="J128" i="14"/>
  <c r="K128" i="14" s="1"/>
  <c r="J127" i="14"/>
  <c r="J126" i="14"/>
  <c r="J125" i="14"/>
  <c r="J124" i="14"/>
  <c r="K124" i="14" s="1"/>
  <c r="J123" i="14"/>
  <c r="J122" i="14"/>
  <c r="K122" i="14" s="1"/>
  <c r="J121" i="14"/>
  <c r="J120" i="14"/>
  <c r="K120" i="14" s="1"/>
  <c r="J119" i="14"/>
  <c r="J118" i="14"/>
  <c r="J117" i="14"/>
  <c r="J116" i="14"/>
  <c r="J115" i="14"/>
  <c r="J114" i="14"/>
  <c r="K114" i="14" s="1"/>
  <c r="J113" i="14"/>
  <c r="J112" i="14"/>
  <c r="K112" i="14" s="1"/>
  <c r="J111" i="14"/>
  <c r="K111" i="14" s="1"/>
  <c r="J110" i="14"/>
  <c r="J109" i="14"/>
  <c r="J108" i="14"/>
  <c r="J107" i="14"/>
  <c r="J106" i="14"/>
  <c r="J105" i="14"/>
  <c r="J104" i="14"/>
  <c r="K104" i="14" s="1"/>
  <c r="J103" i="14"/>
  <c r="K103" i="14" s="1"/>
  <c r="J102" i="14"/>
  <c r="J101" i="14"/>
  <c r="J100" i="14"/>
  <c r="K100" i="14" s="1"/>
  <c r="J99" i="14"/>
  <c r="J98" i="14"/>
  <c r="J97" i="14"/>
  <c r="J96" i="14"/>
  <c r="K96" i="14" s="1"/>
  <c r="J95" i="14"/>
  <c r="J94" i="14"/>
  <c r="J93" i="14"/>
  <c r="J92" i="14"/>
  <c r="J91" i="14"/>
  <c r="J90" i="14"/>
  <c r="J89" i="14"/>
  <c r="J88" i="14"/>
  <c r="K88" i="14" s="1"/>
  <c r="J87" i="14"/>
  <c r="K87" i="14" s="1"/>
  <c r="J86" i="14"/>
  <c r="J85" i="14"/>
  <c r="J84" i="14"/>
  <c r="J83" i="14"/>
  <c r="J82" i="14"/>
  <c r="K82" i="14" s="1"/>
  <c r="J81" i="14"/>
  <c r="J80" i="14"/>
  <c r="K80" i="14" s="1"/>
  <c r="J79" i="14"/>
  <c r="K79" i="14" s="1"/>
  <c r="J78" i="14"/>
  <c r="J77" i="14"/>
  <c r="J76" i="14"/>
  <c r="K76" i="14" s="1"/>
  <c r="J75" i="14"/>
  <c r="J74" i="14"/>
  <c r="J73" i="14"/>
  <c r="J72" i="14"/>
  <c r="K72" i="14" s="1"/>
  <c r="J71" i="14"/>
  <c r="K71" i="14" s="1"/>
  <c r="J70" i="14"/>
  <c r="J69" i="14"/>
  <c r="J68" i="14"/>
  <c r="J67" i="14"/>
  <c r="J66" i="14"/>
  <c r="J65" i="14"/>
  <c r="J64" i="14"/>
  <c r="K64" i="14" s="1"/>
  <c r="J63" i="14"/>
  <c r="K63" i="14" s="1"/>
  <c r="J62" i="14"/>
  <c r="J61" i="14"/>
  <c r="J60" i="14"/>
  <c r="J59" i="14"/>
  <c r="J58" i="14"/>
  <c r="K58" i="14" s="1"/>
  <c r="J57" i="14"/>
  <c r="J56" i="14"/>
  <c r="K56" i="14" s="1"/>
  <c r="J55" i="14"/>
  <c r="K55" i="14" s="1"/>
  <c r="J54" i="14"/>
  <c r="J53" i="14"/>
  <c r="J52" i="14"/>
  <c r="K52" i="14" s="1"/>
  <c r="J51" i="14"/>
  <c r="J50" i="14"/>
  <c r="K50" i="14" s="1"/>
  <c r="J49" i="14"/>
  <c r="J48" i="14"/>
  <c r="K48" i="14" s="1"/>
  <c r="J47" i="14"/>
  <c r="K47" i="14" s="1"/>
  <c r="J46" i="14"/>
  <c r="J45" i="14"/>
  <c r="J44" i="14"/>
  <c r="J43" i="14"/>
  <c r="J42" i="14"/>
  <c r="K42" i="14" s="1"/>
  <c r="J41" i="14"/>
  <c r="J40" i="14"/>
  <c r="K40" i="14" s="1"/>
  <c r="J39" i="14"/>
  <c r="K39" i="14" s="1"/>
  <c r="J38" i="14"/>
  <c r="J37" i="14"/>
  <c r="J36" i="14"/>
  <c r="J35" i="14"/>
  <c r="J34" i="14"/>
  <c r="J33" i="14"/>
  <c r="J32" i="14"/>
  <c r="K32" i="14" s="1"/>
  <c r="J31" i="14"/>
  <c r="K31" i="14" s="1"/>
  <c r="J30" i="14"/>
  <c r="J29" i="14"/>
  <c r="J28" i="14"/>
  <c r="K28" i="14" s="1"/>
  <c r="J27" i="14"/>
  <c r="J26" i="14"/>
  <c r="J25" i="14"/>
  <c r="J24" i="14"/>
  <c r="K24" i="14" s="1"/>
  <c r="J23" i="14"/>
  <c r="J22" i="14"/>
  <c r="J21" i="14"/>
  <c r="J20" i="14"/>
  <c r="J19" i="14"/>
  <c r="J18" i="14"/>
  <c r="J17" i="14"/>
  <c r="J16" i="14"/>
  <c r="K16" i="14" s="1"/>
  <c r="J15" i="14"/>
  <c r="K15" i="14" s="1"/>
  <c r="J14" i="14"/>
  <c r="J13" i="14"/>
  <c r="J12" i="14"/>
  <c r="J11" i="14"/>
  <c r="J10" i="14"/>
  <c r="K10" i="14" s="1"/>
  <c r="J9" i="14"/>
  <c r="J8" i="14"/>
  <c r="K8" i="14" s="1"/>
  <c r="J7" i="14"/>
  <c r="J6" i="14"/>
  <c r="E23" i="13"/>
  <c r="E22" i="13"/>
  <c r="E21" i="13"/>
  <c r="E20" i="13"/>
  <c r="E19" i="13"/>
  <c r="E18" i="13"/>
  <c r="E17" i="13"/>
  <c r="E10" i="13"/>
  <c r="E16" i="13"/>
  <c r="E15" i="13"/>
  <c r="E9" i="13"/>
  <c r="E13" i="13"/>
  <c r="E14" i="13"/>
  <c r="E8" i="13"/>
  <c r="E11" i="13"/>
  <c r="K305" i="19"/>
  <c r="I305" i="19"/>
  <c r="K304" i="19"/>
  <c r="I304" i="19"/>
  <c r="I303" i="19"/>
  <c r="K302" i="19"/>
  <c r="I302" i="19"/>
  <c r="K301" i="19"/>
  <c r="I301" i="19"/>
  <c r="K300" i="19"/>
  <c r="I300" i="19"/>
  <c r="I299" i="19"/>
  <c r="I298" i="19"/>
  <c r="K297" i="19"/>
  <c r="I297" i="19"/>
  <c r="K296" i="19"/>
  <c r="I296" i="19"/>
  <c r="I295" i="19"/>
  <c r="K294" i="19"/>
  <c r="I294" i="19"/>
  <c r="K293" i="19"/>
  <c r="I293" i="19"/>
  <c r="I292" i="19"/>
  <c r="I291" i="19"/>
  <c r="I290" i="19"/>
  <c r="K289" i="19"/>
  <c r="I289" i="19"/>
  <c r="K288" i="19"/>
  <c r="I288" i="19"/>
  <c r="I287" i="19"/>
  <c r="K286" i="19"/>
  <c r="I286" i="19"/>
  <c r="K285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K277" i="19"/>
  <c r="I277" i="19"/>
  <c r="I276" i="19"/>
  <c r="I275" i="19"/>
  <c r="I274" i="19"/>
  <c r="K273" i="19"/>
  <c r="I273" i="19"/>
  <c r="K272" i="19"/>
  <c r="I272" i="19"/>
  <c r="I271" i="19"/>
  <c r="K270" i="19"/>
  <c r="I270" i="19"/>
  <c r="K269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K261" i="19"/>
  <c r="I261" i="19"/>
  <c r="I260" i="19"/>
  <c r="I259" i="19"/>
  <c r="I258" i="19"/>
  <c r="K257" i="19"/>
  <c r="I257" i="19"/>
  <c r="K256" i="19"/>
  <c r="I256" i="19"/>
  <c r="I255" i="19"/>
  <c r="K254" i="19"/>
  <c r="I254" i="19"/>
  <c r="K253" i="19"/>
  <c r="I253" i="19"/>
  <c r="I252" i="19"/>
  <c r="K251" i="19"/>
  <c r="I251" i="19"/>
  <c r="I250" i="19"/>
  <c r="K249" i="19"/>
  <c r="I249" i="19"/>
  <c r="K248" i="19"/>
  <c r="I248" i="19"/>
  <c r="K247" i="19"/>
  <c r="I247" i="19"/>
  <c r="K246" i="19"/>
  <c r="I246" i="19"/>
  <c r="K245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K237" i="19"/>
  <c r="I237" i="19"/>
  <c r="I236" i="19"/>
  <c r="K235" i="19"/>
  <c r="I235" i="19"/>
  <c r="I234" i="19"/>
  <c r="K233" i="19"/>
  <c r="I233" i="19"/>
  <c r="K232" i="19"/>
  <c r="I232" i="19"/>
  <c r="I231" i="19"/>
  <c r="K230" i="19"/>
  <c r="I230" i="19"/>
  <c r="K229" i="19"/>
  <c r="I229" i="19"/>
  <c r="I228" i="19"/>
  <c r="I227" i="19"/>
  <c r="I226" i="19"/>
  <c r="K225" i="19"/>
  <c r="I225" i="19"/>
  <c r="K224" i="19"/>
  <c r="I224" i="19"/>
  <c r="I223" i="19"/>
  <c r="K222" i="19"/>
  <c r="I222" i="19"/>
  <c r="K221" i="19"/>
  <c r="I221" i="19"/>
  <c r="I220" i="19"/>
  <c r="I219" i="19"/>
  <c r="I218" i="19"/>
  <c r="K217" i="19"/>
  <c r="I217" i="19"/>
  <c r="K216" i="19"/>
  <c r="I216" i="19"/>
  <c r="I215" i="19"/>
  <c r="K214" i="19"/>
  <c r="I214" i="19"/>
  <c r="K213" i="19"/>
  <c r="I213" i="19"/>
  <c r="I212" i="19"/>
  <c r="I211" i="19"/>
  <c r="I210" i="19"/>
  <c r="K209" i="19"/>
  <c r="I209" i="19"/>
  <c r="K208" i="19"/>
  <c r="I208" i="19"/>
  <c r="I207" i="19"/>
  <c r="K206" i="19"/>
  <c r="I206" i="19"/>
  <c r="K205" i="19"/>
  <c r="I205" i="19"/>
  <c r="I204" i="19"/>
  <c r="K203" i="19"/>
  <c r="I203" i="19"/>
  <c r="I202" i="19"/>
  <c r="K201" i="19"/>
  <c r="I201" i="19"/>
  <c r="K200" i="19"/>
  <c r="I200" i="19"/>
  <c r="K199" i="19"/>
  <c r="I199" i="19"/>
  <c r="K198" i="19"/>
  <c r="I198" i="19"/>
  <c r="K197" i="19"/>
  <c r="I197" i="19"/>
  <c r="I196" i="19"/>
  <c r="I195" i="19"/>
  <c r="K194" i="19"/>
  <c r="I194" i="19"/>
  <c r="K193" i="19"/>
  <c r="I193" i="19"/>
  <c r="K192" i="19"/>
  <c r="I192" i="19"/>
  <c r="K191" i="19"/>
  <c r="I191" i="19"/>
  <c r="K190" i="19"/>
  <c r="I190" i="19"/>
  <c r="K189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I179" i="19"/>
  <c r="I178" i="19"/>
  <c r="K177" i="19"/>
  <c r="I177" i="19"/>
  <c r="K176" i="19"/>
  <c r="I176" i="19"/>
  <c r="K175" i="19"/>
  <c r="I175" i="19"/>
  <c r="K174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K157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K149" i="19"/>
  <c r="I149" i="19"/>
  <c r="I148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K133" i="19"/>
  <c r="I133" i="19"/>
  <c r="I132" i="19"/>
  <c r="K131" i="19"/>
  <c r="I131" i="19"/>
  <c r="I130" i="19"/>
  <c r="K129" i="19"/>
  <c r="I129" i="19"/>
  <c r="K128" i="19"/>
  <c r="I128" i="19"/>
  <c r="K127" i="19"/>
  <c r="I127" i="19"/>
  <c r="K126" i="19"/>
  <c r="I126" i="19"/>
  <c r="K125" i="19"/>
  <c r="I125" i="19"/>
  <c r="I124" i="19"/>
  <c r="I123" i="19"/>
  <c r="I122" i="19"/>
  <c r="K121" i="19"/>
  <c r="I121" i="19"/>
  <c r="K120" i="19"/>
  <c r="I120" i="19"/>
  <c r="K119" i="19"/>
  <c r="I119" i="19"/>
  <c r="K118" i="19"/>
  <c r="I118" i="19"/>
  <c r="K117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K93" i="19"/>
  <c r="I93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I84" i="19"/>
  <c r="K83" i="19"/>
  <c r="I83" i="19"/>
  <c r="I82" i="19"/>
  <c r="K81" i="19"/>
  <c r="I81" i="19"/>
  <c r="K80" i="19"/>
  <c r="I80" i="19"/>
  <c r="K79" i="19"/>
  <c r="I79" i="19"/>
  <c r="K78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K69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K13" i="19"/>
  <c r="I13" i="19"/>
  <c r="B13" i="19"/>
  <c r="AJ12" i="19"/>
  <c r="I12" i="19"/>
  <c r="B12" i="19"/>
  <c r="I11" i="19"/>
  <c r="B11" i="19"/>
  <c r="I10" i="19"/>
  <c r="B10" i="19"/>
  <c r="K9" i="19"/>
  <c r="I9" i="19"/>
  <c r="K8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M35" i="18" s="1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B31" i="18"/>
  <c r="I30" i="18"/>
  <c r="B30" i="18"/>
  <c r="I29" i="18"/>
  <c r="B29" i="18"/>
  <c r="K28" i="18"/>
  <c r="I28" i="18"/>
  <c r="B28" i="18"/>
  <c r="K27" i="18"/>
  <c r="I27" i="18"/>
  <c r="B27" i="18"/>
  <c r="K26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K20" i="18"/>
  <c r="I20" i="18"/>
  <c r="B20" i="18"/>
  <c r="K19" i="18"/>
  <c r="I19" i="18"/>
  <c r="M19" i="18" s="1"/>
  <c r="B19" i="18"/>
  <c r="I18" i="18"/>
  <c r="B18" i="18"/>
  <c r="K17" i="18"/>
  <c r="I17" i="18"/>
  <c r="B17" i="18"/>
  <c r="K16" i="18"/>
  <c r="I16" i="18"/>
  <c r="B16" i="18"/>
  <c r="K15" i="18"/>
  <c r="I15" i="18"/>
  <c r="B15" i="18"/>
  <c r="AI14" i="18"/>
  <c r="I14" i="18"/>
  <c r="M14" i="18" s="1"/>
  <c r="A14" i="18" s="1"/>
  <c r="B14" i="18"/>
  <c r="AI13" i="18"/>
  <c r="I13" i="18"/>
  <c r="M13" i="18" s="1"/>
  <c r="A13" i="18" s="1"/>
  <c r="B13" i="18"/>
  <c r="AI12" i="18"/>
  <c r="AI16" i="18" s="1"/>
  <c r="K12" i="18"/>
  <c r="I12" i="18"/>
  <c r="M12" i="18" s="1"/>
  <c r="A12" i="18" s="1"/>
  <c r="B12" i="18"/>
  <c r="K11" i="18"/>
  <c r="I11" i="18"/>
  <c r="M11" i="18" s="1"/>
  <c r="B11" i="18"/>
  <c r="I10" i="18"/>
  <c r="M10" i="18" s="1"/>
  <c r="A10" i="18" s="1"/>
  <c r="B10" i="18"/>
  <c r="K9" i="18"/>
  <c r="I9" i="18"/>
  <c r="M9" i="18" s="1"/>
  <c r="B9" i="18"/>
  <c r="A9" i="18"/>
  <c r="K8" i="18"/>
  <c r="I8" i="18"/>
  <c r="K7" i="18"/>
  <c r="I7" i="18"/>
  <c r="K6" i="18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I301" i="17"/>
  <c r="M301" i="17" s="1"/>
  <c r="K300" i="17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I285" i="17"/>
  <c r="M285" i="17" s="1"/>
  <c r="K284" i="17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I277" i="17"/>
  <c r="M277" i="17" s="1"/>
  <c r="K276" i="17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I261" i="17"/>
  <c r="M261" i="17" s="1"/>
  <c r="K260" i="17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I221" i="17"/>
  <c r="M221" i="17" s="1"/>
  <c r="K220" i="17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I205" i="17"/>
  <c r="M205" i="17" s="1"/>
  <c r="K204" i="17"/>
  <c r="I204" i="17"/>
  <c r="M204" i="17" s="1"/>
  <c r="K203" i="17"/>
  <c r="I203" i="17"/>
  <c r="M203" i="17" s="1"/>
  <c r="I202" i="17"/>
  <c r="M202" i="17" s="1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K172" i="17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K46" i="17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I37" i="17"/>
  <c r="B37" i="17"/>
  <c r="K36" i="17"/>
  <c r="I36" i="17"/>
  <c r="B36" i="17"/>
  <c r="K35" i="17"/>
  <c r="I35" i="17"/>
  <c r="M35" i="17" s="1"/>
  <c r="A35" i="17" s="1"/>
  <c r="B35" i="17"/>
  <c r="I34" i="17"/>
  <c r="M34" i="17" s="1"/>
  <c r="B34" i="17"/>
  <c r="A34" i="17"/>
  <c r="K33" i="17"/>
  <c r="I33" i="17"/>
  <c r="M33" i="17" s="1"/>
  <c r="A33" i="17" s="1"/>
  <c r="B33" i="17"/>
  <c r="K32" i="17"/>
  <c r="I32" i="17"/>
  <c r="B32" i="17"/>
  <c r="K31" i="17"/>
  <c r="I31" i="17"/>
  <c r="B31" i="17"/>
  <c r="K30" i="17"/>
  <c r="I30" i="17"/>
  <c r="B30" i="17"/>
  <c r="I29" i="17"/>
  <c r="B29" i="17"/>
  <c r="K28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K25" i="17"/>
  <c r="I25" i="17"/>
  <c r="B25" i="17"/>
  <c r="K24" i="17"/>
  <c r="I24" i="17"/>
  <c r="B24" i="17"/>
  <c r="K23" i="17"/>
  <c r="I23" i="17"/>
  <c r="B23" i="17"/>
  <c r="K22" i="17"/>
  <c r="I22" i="17"/>
  <c r="B22" i="17"/>
  <c r="K21" i="17"/>
  <c r="I21" i="17"/>
  <c r="B21" i="17"/>
  <c r="K20" i="17"/>
  <c r="I20" i="17"/>
  <c r="M20" i="17" s="1"/>
  <c r="A20" i="17" s="1"/>
  <c r="B20" i="17"/>
  <c r="K19" i="17"/>
  <c r="I19" i="17"/>
  <c r="B19" i="17"/>
  <c r="I18" i="17"/>
  <c r="B18" i="17"/>
  <c r="K17" i="17"/>
  <c r="I17" i="17"/>
  <c r="B17" i="17"/>
  <c r="K16" i="17"/>
  <c r="I16" i="17"/>
  <c r="B16" i="17"/>
  <c r="K15" i="17"/>
  <c r="I15" i="17"/>
  <c r="M15" i="17" s="1"/>
  <c r="A15" i="17" s="1"/>
  <c r="AI14" i="17"/>
  <c r="K14" i="17"/>
  <c r="I14" i="17"/>
  <c r="M14" i="17" s="1"/>
  <c r="A14" i="17" s="1"/>
  <c r="AI13" i="17"/>
  <c r="K13" i="17"/>
  <c r="I13" i="17"/>
  <c r="AI12" i="17"/>
  <c r="K12" i="17"/>
  <c r="I12" i="17"/>
  <c r="M12" i="17" s="1"/>
  <c r="A12" i="17" s="1"/>
  <c r="K11" i="17"/>
  <c r="I11" i="17"/>
  <c r="I10" i="17"/>
  <c r="M10" i="17" s="1"/>
  <c r="K9" i="17"/>
  <c r="I9" i="17"/>
  <c r="M9" i="17" s="1"/>
  <c r="K8" i="17"/>
  <c r="I8" i="17"/>
  <c r="K7" i="17"/>
  <c r="I7" i="17"/>
  <c r="K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I301" i="16"/>
  <c r="M301" i="16" s="1"/>
  <c r="K300" i="16"/>
  <c r="I300" i="16"/>
  <c r="M300" i="16" s="1"/>
  <c r="K299" i="16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I293" i="16"/>
  <c r="M293" i="16" s="1"/>
  <c r="K292" i="16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K268" i="16"/>
  <c r="I268" i="16"/>
  <c r="M268" i="16" s="1"/>
  <c r="K267" i="16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I245" i="16"/>
  <c r="M245" i="16" s="1"/>
  <c r="K244" i="16"/>
  <c r="I244" i="16"/>
  <c r="M244" i="16" s="1"/>
  <c r="K243" i="16"/>
  <c r="I243" i="16"/>
  <c r="M243" i="16" s="1"/>
  <c r="I242" i="16"/>
  <c r="M242" i="16" s="1"/>
  <c r="I241" i="16"/>
  <c r="M241" i="16" s="1"/>
  <c r="K240" i="16"/>
  <c r="I240" i="16"/>
  <c r="M240" i="16" s="1"/>
  <c r="K239" i="16"/>
  <c r="I239" i="16"/>
  <c r="M239" i="16" s="1"/>
  <c r="I238" i="16"/>
  <c r="M238" i="16" s="1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K230" i="16"/>
  <c r="I230" i="16"/>
  <c r="M230" i="16" s="1"/>
  <c r="I229" i="16"/>
  <c r="M229" i="16" s="1"/>
  <c r="K228" i="16"/>
  <c r="I228" i="16"/>
  <c r="M228" i="16" s="1"/>
  <c r="K227" i="16"/>
  <c r="I227" i="16"/>
  <c r="M227" i="16" s="1"/>
  <c r="I226" i="16"/>
  <c r="M226" i="16" s="1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I213" i="16"/>
  <c r="M213" i="16" s="1"/>
  <c r="K212" i="16"/>
  <c r="I212" i="16"/>
  <c r="M212" i="16" s="1"/>
  <c r="K211" i="16"/>
  <c r="I211" i="16"/>
  <c r="M211" i="16" s="1"/>
  <c r="I210" i="16"/>
  <c r="M210" i="16" s="1"/>
  <c r="I209" i="16"/>
  <c r="M209" i="16" s="1"/>
  <c r="K208" i="16"/>
  <c r="I208" i="16"/>
  <c r="M208" i="16" s="1"/>
  <c r="K207" i="16"/>
  <c r="I207" i="16"/>
  <c r="M207" i="16" s="1"/>
  <c r="I206" i="16"/>
  <c r="M206" i="16" s="1"/>
  <c r="I205" i="16"/>
  <c r="M205" i="16" s="1"/>
  <c r="K204" i="16"/>
  <c r="I204" i="16"/>
  <c r="M204" i="16" s="1"/>
  <c r="K203" i="16"/>
  <c r="I203" i="16"/>
  <c r="M203" i="16" s="1"/>
  <c r="I202" i="16"/>
  <c r="M202" i="16" s="1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I193" i="16"/>
  <c r="M193" i="16" s="1"/>
  <c r="K192" i="16"/>
  <c r="I192" i="16"/>
  <c r="M192" i="16" s="1"/>
  <c r="K191" i="16"/>
  <c r="I191" i="16"/>
  <c r="M191" i="16" s="1"/>
  <c r="I190" i="16"/>
  <c r="M190" i="16" s="1"/>
  <c r="I189" i="16"/>
  <c r="M189" i="16" s="1"/>
  <c r="K188" i="16"/>
  <c r="I188" i="16"/>
  <c r="M188" i="16" s="1"/>
  <c r="K187" i="16"/>
  <c r="I187" i="16"/>
  <c r="M187" i="16" s="1"/>
  <c r="I186" i="16"/>
  <c r="M186" i="16" s="1"/>
  <c r="I185" i="16"/>
  <c r="M185" i="16" s="1"/>
  <c r="K184" i="16"/>
  <c r="I184" i="16"/>
  <c r="M184" i="16" s="1"/>
  <c r="K183" i="16"/>
  <c r="I183" i="16"/>
  <c r="M183" i="16" s="1"/>
  <c r="I182" i="16"/>
  <c r="M182" i="16" s="1"/>
  <c r="I181" i="16"/>
  <c r="M181" i="16" s="1"/>
  <c r="K180" i="16"/>
  <c r="I180" i="16"/>
  <c r="M180" i="16" s="1"/>
  <c r="K179" i="16"/>
  <c r="I179" i="16"/>
  <c r="M179" i="16" s="1"/>
  <c r="K178" i="16"/>
  <c r="I178" i="16"/>
  <c r="M178" i="16" s="1"/>
  <c r="I177" i="16"/>
  <c r="M177" i="16" s="1"/>
  <c r="K176" i="16"/>
  <c r="I176" i="16"/>
  <c r="M176" i="16" s="1"/>
  <c r="K175" i="16"/>
  <c r="I175" i="16"/>
  <c r="M175" i="16" s="1"/>
  <c r="I174" i="16"/>
  <c r="M174" i="16" s="1"/>
  <c r="I173" i="16"/>
  <c r="M173" i="16" s="1"/>
  <c r="K172" i="16"/>
  <c r="I172" i="16"/>
  <c r="M172" i="16" s="1"/>
  <c r="K171" i="16"/>
  <c r="I171" i="16"/>
  <c r="M171" i="16" s="1"/>
  <c r="I170" i="16"/>
  <c r="M170" i="16" s="1"/>
  <c r="I169" i="16"/>
  <c r="M169" i="16" s="1"/>
  <c r="K168" i="16"/>
  <c r="I168" i="16"/>
  <c r="M168" i="16" s="1"/>
  <c r="K167" i="16"/>
  <c r="I167" i="16"/>
  <c r="M167" i="16" s="1"/>
  <c r="K166" i="16"/>
  <c r="I166" i="16"/>
  <c r="M166" i="16" s="1"/>
  <c r="I165" i="16"/>
  <c r="M165" i="16" s="1"/>
  <c r="K164" i="16"/>
  <c r="I164" i="16"/>
  <c r="M164" i="16" s="1"/>
  <c r="K163" i="16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I157" i="16"/>
  <c r="M157" i="16" s="1"/>
  <c r="K156" i="16"/>
  <c r="I156" i="16"/>
  <c r="M156" i="16" s="1"/>
  <c r="K155" i="16"/>
  <c r="I155" i="16"/>
  <c r="M155" i="16" s="1"/>
  <c r="I154" i="16"/>
  <c r="M154" i="16" s="1"/>
  <c r="I153" i="16"/>
  <c r="M153" i="16" s="1"/>
  <c r="K152" i="16"/>
  <c r="I152" i="16"/>
  <c r="M152" i="16" s="1"/>
  <c r="K151" i="16"/>
  <c r="I151" i="16"/>
  <c r="M151" i="16" s="1"/>
  <c r="I150" i="16"/>
  <c r="M150" i="16" s="1"/>
  <c r="I149" i="16"/>
  <c r="M149" i="16" s="1"/>
  <c r="K148" i="16"/>
  <c r="I148" i="16"/>
  <c r="M148" i="16" s="1"/>
  <c r="K147" i="16"/>
  <c r="I147" i="16"/>
  <c r="M147" i="16" s="1"/>
  <c r="I146" i="16"/>
  <c r="M146" i="16" s="1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I138" i="16"/>
  <c r="M138" i="16" s="1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K131" i="16"/>
  <c r="I131" i="16"/>
  <c r="M131" i="16" s="1"/>
  <c r="I130" i="16"/>
  <c r="M130" i="16" s="1"/>
  <c r="I129" i="16"/>
  <c r="M129" i="16" s="1"/>
  <c r="K128" i="16"/>
  <c r="I128" i="16"/>
  <c r="M128" i="16" s="1"/>
  <c r="K127" i="16"/>
  <c r="I127" i="16"/>
  <c r="M127" i="16" s="1"/>
  <c r="I126" i="16"/>
  <c r="M126" i="16" s="1"/>
  <c r="I125" i="16"/>
  <c r="M125" i="16" s="1"/>
  <c r="K124" i="16"/>
  <c r="I124" i="16"/>
  <c r="M124" i="16" s="1"/>
  <c r="K123" i="16"/>
  <c r="I123" i="16"/>
  <c r="M123" i="16" s="1"/>
  <c r="I122" i="16"/>
  <c r="M122" i="16" s="1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K116" i="16"/>
  <c r="I116" i="16"/>
  <c r="M116" i="16" s="1"/>
  <c r="K115" i="16"/>
  <c r="I115" i="16"/>
  <c r="M115" i="16" s="1"/>
  <c r="I114" i="16"/>
  <c r="M114" i="16" s="1"/>
  <c r="I113" i="16"/>
  <c r="M113" i="16" s="1"/>
  <c r="K112" i="16"/>
  <c r="I112" i="16"/>
  <c r="M112" i="16" s="1"/>
  <c r="K111" i="16"/>
  <c r="I111" i="16"/>
  <c r="M111" i="16" s="1"/>
  <c r="I110" i="16"/>
  <c r="M110" i="16" s="1"/>
  <c r="I109" i="16"/>
  <c r="M109" i="16" s="1"/>
  <c r="K108" i="16"/>
  <c r="I108" i="16"/>
  <c r="M108" i="16" s="1"/>
  <c r="K107" i="16"/>
  <c r="I107" i="16"/>
  <c r="M107" i="16" s="1"/>
  <c r="I106" i="16"/>
  <c r="M106" i="16" s="1"/>
  <c r="I105" i="16"/>
  <c r="M105" i="16" s="1"/>
  <c r="K104" i="16"/>
  <c r="I104" i="16"/>
  <c r="M104" i="16" s="1"/>
  <c r="K103" i="16"/>
  <c r="I103" i="16"/>
  <c r="M103" i="16" s="1"/>
  <c r="K102" i="16"/>
  <c r="I102" i="16"/>
  <c r="M102" i="16" s="1"/>
  <c r="I101" i="16"/>
  <c r="M101" i="16" s="1"/>
  <c r="K100" i="16"/>
  <c r="I100" i="16"/>
  <c r="M100" i="16" s="1"/>
  <c r="K99" i="16"/>
  <c r="I99" i="16"/>
  <c r="M99" i="16" s="1"/>
  <c r="I98" i="16"/>
  <c r="M98" i="16" s="1"/>
  <c r="I97" i="16"/>
  <c r="M97" i="16" s="1"/>
  <c r="K96" i="16"/>
  <c r="I96" i="16"/>
  <c r="M96" i="16" s="1"/>
  <c r="K95" i="16"/>
  <c r="I95" i="16"/>
  <c r="M95" i="16" s="1"/>
  <c r="I94" i="16"/>
  <c r="M94" i="16" s="1"/>
  <c r="I93" i="16"/>
  <c r="M93" i="16" s="1"/>
  <c r="K92" i="16"/>
  <c r="I92" i="16"/>
  <c r="M92" i="16" s="1"/>
  <c r="K91" i="16"/>
  <c r="I91" i="16"/>
  <c r="M91" i="16" s="1"/>
  <c r="I90" i="16"/>
  <c r="M90" i="16" s="1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K84" i="16"/>
  <c r="I84" i="16"/>
  <c r="M84" i="16" s="1"/>
  <c r="K83" i="16"/>
  <c r="I83" i="16"/>
  <c r="M83" i="16" s="1"/>
  <c r="I82" i="16"/>
  <c r="M82" i="16" s="1"/>
  <c r="I81" i="16"/>
  <c r="M81" i="16" s="1"/>
  <c r="K80" i="16"/>
  <c r="I80" i="16"/>
  <c r="M80" i="16" s="1"/>
  <c r="K79" i="16"/>
  <c r="I79" i="16"/>
  <c r="M79" i="16" s="1"/>
  <c r="I78" i="16"/>
  <c r="M78" i="16" s="1"/>
  <c r="I77" i="16"/>
  <c r="M77" i="16" s="1"/>
  <c r="K76" i="16"/>
  <c r="I76" i="16"/>
  <c r="M76" i="16" s="1"/>
  <c r="K75" i="16"/>
  <c r="I75" i="16"/>
  <c r="M75" i="16" s="1"/>
  <c r="I74" i="16"/>
  <c r="M74" i="16" s="1"/>
  <c r="I73" i="16"/>
  <c r="M73" i="16" s="1"/>
  <c r="K72" i="16"/>
  <c r="I72" i="16"/>
  <c r="M72" i="16" s="1"/>
  <c r="K71" i="16"/>
  <c r="I71" i="16"/>
  <c r="M71" i="16" s="1"/>
  <c r="I70" i="16"/>
  <c r="M70" i="16" s="1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I37" i="16"/>
  <c r="B37" i="16"/>
  <c r="K36" i="16"/>
  <c r="I36" i="16"/>
  <c r="M36" i="16" s="1"/>
  <c r="B36" i="16"/>
  <c r="K35" i="16"/>
  <c r="I35" i="16"/>
  <c r="M35" i="16" s="1"/>
  <c r="A35" i="16" s="1"/>
  <c r="B35" i="16"/>
  <c r="I34" i="16"/>
  <c r="M34" i="16" s="1"/>
  <c r="B34" i="16"/>
  <c r="I33" i="16"/>
  <c r="M33" i="16" s="1"/>
  <c r="A33" i="16" s="1"/>
  <c r="B33" i="16"/>
  <c r="K32" i="16"/>
  <c r="I32" i="16"/>
  <c r="M32" i="16" s="1"/>
  <c r="A32" i="16" s="1"/>
  <c r="B32" i="16"/>
  <c r="K31" i="16"/>
  <c r="I31" i="16"/>
  <c r="M31" i="16" s="1"/>
  <c r="A31" i="16" s="1"/>
  <c r="B31" i="16"/>
  <c r="I30" i="16"/>
  <c r="M30" i="16" s="1"/>
  <c r="A30" i="16" s="1"/>
  <c r="B30" i="16"/>
  <c r="I29" i="16"/>
  <c r="B29" i="16"/>
  <c r="K28" i="16"/>
  <c r="I28" i="16"/>
  <c r="M28" i="16" s="1"/>
  <c r="B28" i="16"/>
  <c r="K27" i="16"/>
  <c r="I27" i="16"/>
  <c r="M27" i="16" s="1"/>
  <c r="A27" i="16" s="1"/>
  <c r="B27" i="16"/>
  <c r="I26" i="16"/>
  <c r="M26" i="16" s="1"/>
  <c r="B26" i="16"/>
  <c r="K25" i="16"/>
  <c r="I25" i="16"/>
  <c r="M25" i="16" s="1"/>
  <c r="A25" i="16" s="1"/>
  <c r="B25" i="16"/>
  <c r="K24" i="16"/>
  <c r="I24" i="16"/>
  <c r="B24" i="16"/>
  <c r="K23" i="16"/>
  <c r="I23" i="16"/>
  <c r="M23" i="16" s="1"/>
  <c r="B23" i="16"/>
  <c r="I22" i="16"/>
  <c r="B22" i="16"/>
  <c r="I21" i="16"/>
  <c r="M21" i="16" s="1"/>
  <c r="A21" i="16" s="1"/>
  <c r="B21" i="16"/>
  <c r="K20" i="16"/>
  <c r="I20" i="16"/>
  <c r="M20" i="16" s="1"/>
  <c r="A20" i="16" s="1"/>
  <c r="B20" i="16"/>
  <c r="K19" i="16"/>
  <c r="I19" i="16"/>
  <c r="M19" i="16" s="1"/>
  <c r="A19" i="16" s="1"/>
  <c r="B19" i="16"/>
  <c r="I18" i="16"/>
  <c r="M18" i="16" s="1"/>
  <c r="A18" i="16" s="1"/>
  <c r="B18" i="16"/>
  <c r="K17" i="16"/>
  <c r="I17" i="16"/>
  <c r="M17" i="16" s="1"/>
  <c r="B17" i="16"/>
  <c r="K16" i="16"/>
  <c r="I16" i="16"/>
  <c r="M16" i="16" s="1"/>
  <c r="A16" i="16" s="1"/>
  <c r="B16" i="16"/>
  <c r="K15" i="16"/>
  <c r="I15" i="16"/>
  <c r="B15" i="16"/>
  <c r="AI14" i="16"/>
  <c r="I14" i="16"/>
  <c r="M14" i="16" s="1"/>
  <c r="A14" i="16" s="1"/>
  <c r="B14" i="16"/>
  <c r="AI13" i="16"/>
  <c r="I13" i="16"/>
  <c r="M13" i="16" s="1"/>
  <c r="A13" i="16" s="1"/>
  <c r="B13" i="16"/>
  <c r="AI12" i="16"/>
  <c r="AI16" i="16" s="1"/>
  <c r="K12" i="16"/>
  <c r="I12" i="16"/>
  <c r="M12" i="16" s="1"/>
  <c r="A12" i="16" s="1"/>
  <c r="B12" i="16"/>
  <c r="K11" i="16"/>
  <c r="I11" i="16"/>
  <c r="M11" i="16" s="1"/>
  <c r="A11" i="16" s="1"/>
  <c r="I10" i="16"/>
  <c r="M10" i="16" s="1"/>
  <c r="I16" i="13"/>
  <c r="I9" i="16"/>
  <c r="M9" i="16" s="1"/>
  <c r="A9" i="16" s="1"/>
  <c r="K8" i="16"/>
  <c r="I8" i="16"/>
  <c r="K7" i="16"/>
  <c r="I7" i="16"/>
  <c r="K6" i="16"/>
  <c r="K2" i="16"/>
  <c r="L6" i="16" s="1"/>
  <c r="I305" i="15"/>
  <c r="M305" i="15" s="1"/>
  <c r="K304" i="15"/>
  <c r="I304" i="15"/>
  <c r="M304" i="15" s="1"/>
  <c r="K303" i="15"/>
  <c r="I303" i="15"/>
  <c r="M303" i="15" s="1"/>
  <c r="I302" i="15"/>
  <c r="M302" i="15" s="1"/>
  <c r="I301" i="15"/>
  <c r="M301" i="15" s="1"/>
  <c r="I300" i="15"/>
  <c r="M300" i="15" s="1"/>
  <c r="I299" i="15"/>
  <c r="M299" i="15" s="1"/>
  <c r="I298" i="15"/>
  <c r="M298" i="15" s="1"/>
  <c r="I297" i="15"/>
  <c r="M297" i="15" s="1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I286" i="15"/>
  <c r="M286" i="15" s="1"/>
  <c r="I285" i="15"/>
  <c r="M285" i="15" s="1"/>
  <c r="I284" i="15"/>
  <c r="M284" i="15" s="1"/>
  <c r="I283" i="15"/>
  <c r="M283" i="15" s="1"/>
  <c r="I282" i="15"/>
  <c r="M282" i="15" s="1"/>
  <c r="I281" i="15"/>
  <c r="M281" i="15" s="1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I272" i="15"/>
  <c r="M272" i="15" s="1"/>
  <c r="K271" i="15"/>
  <c r="I271" i="15"/>
  <c r="M271" i="15" s="1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K255" i="15"/>
  <c r="I255" i="15"/>
  <c r="M255" i="15" s="1"/>
  <c r="I254" i="15"/>
  <c r="M254" i="15" s="1"/>
  <c r="K253" i="15"/>
  <c r="I253" i="15"/>
  <c r="M253" i="15" s="1"/>
  <c r="I252" i="15"/>
  <c r="M252" i="15" s="1"/>
  <c r="I251" i="15"/>
  <c r="M251" i="15" s="1"/>
  <c r="I250" i="15"/>
  <c r="M250" i="15" s="1"/>
  <c r="K249" i="15"/>
  <c r="I249" i="15"/>
  <c r="M249" i="15" s="1"/>
  <c r="I248" i="15"/>
  <c r="M248" i="15" s="1"/>
  <c r="K247" i="15"/>
  <c r="I247" i="15"/>
  <c r="M247" i="15" s="1"/>
  <c r="I246" i="15"/>
  <c r="M246" i="15" s="1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K231" i="15"/>
  <c r="I231" i="15"/>
  <c r="M231" i="15" s="1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I224" i="15"/>
  <c r="M224" i="15" s="1"/>
  <c r="K223" i="15"/>
  <c r="I223" i="15"/>
  <c r="M223" i="15" s="1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K215" i="15"/>
  <c r="I215" i="15"/>
  <c r="M215" i="15" s="1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I200" i="15"/>
  <c r="M200" i="15" s="1"/>
  <c r="K199" i="15"/>
  <c r="I199" i="15"/>
  <c r="M199" i="15" s="1"/>
  <c r="I198" i="15"/>
  <c r="M198" i="15" s="1"/>
  <c r="K197" i="15"/>
  <c r="I197" i="15"/>
  <c r="M197" i="15" s="1"/>
  <c r="I196" i="15"/>
  <c r="M196" i="15" s="1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I189" i="15"/>
  <c r="M189" i="15" s="1"/>
  <c r="I188" i="15"/>
  <c r="M188" i="15" s="1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I182" i="15"/>
  <c r="M182" i="15" s="1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I171" i="15"/>
  <c r="M171" i="15" s="1"/>
  <c r="I170" i="15"/>
  <c r="M170" i="15" s="1"/>
  <c r="K169" i="15"/>
  <c r="I169" i="15"/>
  <c r="M169" i="15" s="1"/>
  <c r="I168" i="15"/>
  <c r="M168" i="15" s="1"/>
  <c r="K167" i="15"/>
  <c r="I167" i="15"/>
  <c r="M167" i="15" s="1"/>
  <c r="I166" i="15"/>
  <c r="M166" i="15" s="1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I158" i="15"/>
  <c r="M158" i="15" s="1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I150" i="15"/>
  <c r="M150" i="15" s="1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I144" i="15"/>
  <c r="M144" i="15" s="1"/>
  <c r="K143" i="15"/>
  <c r="I143" i="15"/>
  <c r="M143" i="15" s="1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I128" i="15"/>
  <c r="M128" i="15" s="1"/>
  <c r="K127" i="15"/>
  <c r="I127" i="15"/>
  <c r="M127" i="15" s="1"/>
  <c r="I126" i="15"/>
  <c r="M126" i="15" s="1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K119" i="15"/>
  <c r="I119" i="15"/>
  <c r="M119" i="15" s="1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I112" i="15"/>
  <c r="M112" i="15" s="1"/>
  <c r="K111" i="15"/>
  <c r="I111" i="15"/>
  <c r="M111" i="15" s="1"/>
  <c r="I110" i="15"/>
  <c r="M110" i="15" s="1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K47" i="15"/>
  <c r="I47" i="15"/>
  <c r="M47" i="15" s="1"/>
  <c r="B47" i="15"/>
  <c r="I46" i="15"/>
  <c r="M46" i="15" s="1"/>
  <c r="B46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I36" i="15"/>
  <c r="I35" i="15"/>
  <c r="M35" i="15" s="1"/>
  <c r="I34" i="15"/>
  <c r="M34" i="15" s="1"/>
  <c r="A34" i="15" s="1"/>
  <c r="K33" i="15"/>
  <c r="I33" i="15"/>
  <c r="I32" i="15"/>
  <c r="M32" i="15" s="1"/>
  <c r="K31" i="15"/>
  <c r="I31" i="15"/>
  <c r="I30" i="15"/>
  <c r="M30" i="15" s="1"/>
  <c r="A30" i="15" s="1"/>
  <c r="I29" i="15"/>
  <c r="M29" i="15" s="1"/>
  <c r="I28" i="15"/>
  <c r="M28" i="15" s="1"/>
  <c r="I27" i="15"/>
  <c r="M27" i="15" s="1"/>
  <c r="I26" i="15"/>
  <c r="M26" i="15" s="1"/>
  <c r="A26" i="15" s="1"/>
  <c r="K25" i="15"/>
  <c r="I25" i="15"/>
  <c r="I24" i="15"/>
  <c r="K23" i="15"/>
  <c r="I23" i="15"/>
  <c r="M23" i="15" s="1"/>
  <c r="I22" i="15"/>
  <c r="M22" i="15" s="1"/>
  <c r="A22" i="15" s="1"/>
  <c r="K21" i="15"/>
  <c r="I21" i="15"/>
  <c r="I20" i="15"/>
  <c r="M20" i="15" s="1"/>
  <c r="I19" i="15"/>
  <c r="M19" i="15" s="1"/>
  <c r="I18" i="15"/>
  <c r="M18" i="15" s="1"/>
  <c r="A18" i="15" s="1"/>
  <c r="K17" i="15"/>
  <c r="I17" i="15"/>
  <c r="I16" i="15"/>
  <c r="M16" i="15" s="1"/>
  <c r="K15" i="15"/>
  <c r="I15" i="15"/>
  <c r="M15" i="15" s="1"/>
  <c r="A15" i="15" s="1"/>
  <c r="AI14" i="15"/>
  <c r="I14" i="15"/>
  <c r="M14" i="15" s="1"/>
  <c r="A14" i="15" s="1"/>
  <c r="AI13" i="15"/>
  <c r="I13" i="15"/>
  <c r="AI12" i="15"/>
  <c r="I12" i="15"/>
  <c r="M12" i="15" s="1"/>
  <c r="I11" i="15"/>
  <c r="M11" i="15" s="1"/>
  <c r="I10" i="15"/>
  <c r="M10" i="15" s="1"/>
  <c r="K9" i="15"/>
  <c r="I9" i="15"/>
  <c r="G10" i="13"/>
  <c r="I8" i="15"/>
  <c r="G14" i="13"/>
  <c r="K7" i="15"/>
  <c r="I7" i="15"/>
  <c r="G6" i="13"/>
  <c r="G7" i="13"/>
  <c r="K2" i="15"/>
  <c r="L8" i="15" s="1"/>
  <c r="K305" i="14"/>
  <c r="I305" i="14"/>
  <c r="M305" i="14" s="1"/>
  <c r="K304" i="14"/>
  <c r="I304" i="14"/>
  <c r="M304" i="14" s="1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I298" i="14"/>
  <c r="M298" i="14" s="1"/>
  <c r="K297" i="14"/>
  <c r="I297" i="14"/>
  <c r="M297" i="14" s="1"/>
  <c r="K296" i="14"/>
  <c r="I296" i="14"/>
  <c r="M296" i="14" s="1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I290" i="14"/>
  <c r="M290" i="14" s="1"/>
  <c r="K289" i="14"/>
  <c r="I289" i="14"/>
  <c r="M289" i="14" s="1"/>
  <c r="K288" i="14"/>
  <c r="I288" i="14"/>
  <c r="M288" i="14" s="1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I282" i="14"/>
  <c r="M282" i="14" s="1"/>
  <c r="K281" i="14"/>
  <c r="I281" i="14"/>
  <c r="M281" i="14" s="1"/>
  <c r="K280" i="14"/>
  <c r="I280" i="14"/>
  <c r="M280" i="14" s="1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I274" i="14"/>
  <c r="M274" i="14" s="1"/>
  <c r="K273" i="14"/>
  <c r="I273" i="14"/>
  <c r="M273" i="14" s="1"/>
  <c r="K272" i="14"/>
  <c r="I272" i="14"/>
  <c r="M272" i="14" s="1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I266" i="14"/>
  <c r="M266" i="14" s="1"/>
  <c r="K265" i="14"/>
  <c r="I265" i="14"/>
  <c r="M265" i="14" s="1"/>
  <c r="K264" i="14"/>
  <c r="I264" i="14"/>
  <c r="M264" i="14" s="1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I258" i="14"/>
  <c r="M258" i="14" s="1"/>
  <c r="K257" i="14"/>
  <c r="I257" i="14"/>
  <c r="M257" i="14" s="1"/>
  <c r="K256" i="14"/>
  <c r="I256" i="14"/>
  <c r="M256" i="14" s="1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I250" i="14"/>
  <c r="M250" i="14" s="1"/>
  <c r="K249" i="14"/>
  <c r="I249" i="14"/>
  <c r="M249" i="14" s="1"/>
  <c r="K248" i="14"/>
  <c r="I248" i="14"/>
  <c r="M248" i="14" s="1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I242" i="14"/>
  <c r="M242" i="14" s="1"/>
  <c r="K241" i="14"/>
  <c r="I241" i="14"/>
  <c r="M241" i="14" s="1"/>
  <c r="K240" i="14"/>
  <c r="I240" i="14"/>
  <c r="M240" i="14" s="1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I226" i="14"/>
  <c r="M226" i="14" s="1"/>
  <c r="K225" i="14"/>
  <c r="I225" i="14"/>
  <c r="M225" i="14" s="1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I218" i="14"/>
  <c r="M218" i="14" s="1"/>
  <c r="K217" i="14"/>
  <c r="I217" i="14"/>
  <c r="M217" i="14" s="1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I210" i="14"/>
  <c r="M210" i="14" s="1"/>
  <c r="K209" i="14"/>
  <c r="I209" i="14"/>
  <c r="M209" i="14" s="1"/>
  <c r="I208" i="14"/>
  <c r="M208" i="14" s="1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I200" i="14"/>
  <c r="M200" i="14" s="1"/>
  <c r="I199" i="14"/>
  <c r="M199" i="14" s="1"/>
  <c r="K198" i="14"/>
  <c r="I198" i="14"/>
  <c r="M198" i="14" s="1"/>
  <c r="K197" i="14"/>
  <c r="I197" i="14"/>
  <c r="M197" i="14" s="1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I178" i="14"/>
  <c r="M178" i="14" s="1"/>
  <c r="K177" i="14"/>
  <c r="I177" i="14"/>
  <c r="M177" i="14" s="1"/>
  <c r="I176" i="14"/>
  <c r="M176" i="14" s="1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I168" i="14"/>
  <c r="M168" i="14" s="1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I160" i="14"/>
  <c r="M160" i="14" s="1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I154" i="14"/>
  <c r="M154" i="14" s="1"/>
  <c r="K153" i="14"/>
  <c r="I153" i="14"/>
  <c r="M153" i="14" s="1"/>
  <c r="I152" i="14"/>
  <c r="M152" i="14" s="1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I146" i="14"/>
  <c r="M146" i="14" s="1"/>
  <c r="K145" i="14"/>
  <c r="I145" i="14"/>
  <c r="M145" i="14" s="1"/>
  <c r="K144" i="14"/>
  <c r="I144" i="14"/>
  <c r="M144" i="14" s="1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I138" i="14"/>
  <c r="M138" i="14" s="1"/>
  <c r="K137" i="14"/>
  <c r="I137" i="14"/>
  <c r="M137" i="14" s="1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I130" i="14"/>
  <c r="M130" i="14" s="1"/>
  <c r="K129" i="14"/>
  <c r="I129" i="14"/>
  <c r="M129" i="14" s="1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I122" i="14"/>
  <c r="M122" i="14" s="1"/>
  <c r="K121" i="14"/>
  <c r="I121" i="14"/>
  <c r="M121" i="14" s="1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I114" i="14"/>
  <c r="M114" i="14" s="1"/>
  <c r="K113" i="14"/>
  <c r="I113" i="14"/>
  <c r="M113" i="14" s="1"/>
  <c r="I112" i="14"/>
  <c r="M112" i="14" s="1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I104" i="14"/>
  <c r="M104" i="14" s="1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I88" i="14"/>
  <c r="M88" i="14" s="1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I82" i="14"/>
  <c r="M82" i="14" s="1"/>
  <c r="K81" i="14"/>
  <c r="I81" i="14"/>
  <c r="M81" i="14" s="1"/>
  <c r="I80" i="14"/>
  <c r="M80" i="14" s="1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I72" i="14"/>
  <c r="M72" i="14" s="1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I58" i="14"/>
  <c r="M58" i="14" s="1"/>
  <c r="B58" i="14"/>
  <c r="K57" i="14"/>
  <c r="I57" i="14"/>
  <c r="M57" i="14" s="1"/>
  <c r="B57" i="14"/>
  <c r="I56" i="14"/>
  <c r="M56" i="14" s="1"/>
  <c r="B56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I50" i="14"/>
  <c r="M50" i="14" s="1"/>
  <c r="B50" i="14"/>
  <c r="K49" i="14"/>
  <c r="I49" i="14"/>
  <c r="M49" i="14" s="1"/>
  <c r="B49" i="14"/>
  <c r="I48" i="14"/>
  <c r="M48" i="14" s="1"/>
  <c r="B48" i="14"/>
  <c r="I47" i="14"/>
  <c r="M47" i="14" s="1"/>
  <c r="B47" i="14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I42" i="14"/>
  <c r="M42" i="14" s="1"/>
  <c r="B42" i="14"/>
  <c r="K41" i="14"/>
  <c r="I41" i="14"/>
  <c r="M41" i="14" s="1"/>
  <c r="B41" i="14"/>
  <c r="I40" i="14"/>
  <c r="M40" i="14" s="1"/>
  <c r="B40" i="14"/>
  <c r="I39" i="14"/>
  <c r="M39" i="14" s="1"/>
  <c r="B39" i="14"/>
  <c r="K38" i="14"/>
  <c r="I38" i="14"/>
  <c r="M38" i="14" s="1"/>
  <c r="B38" i="14"/>
  <c r="K37" i="14"/>
  <c r="I37" i="14"/>
  <c r="K36" i="14"/>
  <c r="I36" i="14"/>
  <c r="M36" i="14" s="1"/>
  <c r="A36" i="14" s="1"/>
  <c r="K35" i="14"/>
  <c r="I35" i="14"/>
  <c r="K34" i="14"/>
  <c r="I34" i="14"/>
  <c r="M34" i="14" s="1"/>
  <c r="K33" i="14"/>
  <c r="I33" i="14"/>
  <c r="I32" i="14"/>
  <c r="M32" i="14" s="1"/>
  <c r="A32" i="14" s="1"/>
  <c r="I31" i="14"/>
  <c r="M31" i="14" s="1"/>
  <c r="K30" i="14"/>
  <c r="I30" i="14"/>
  <c r="K29" i="14"/>
  <c r="I29" i="14"/>
  <c r="I28" i="14"/>
  <c r="K27" i="14"/>
  <c r="I27" i="14"/>
  <c r="K26" i="14"/>
  <c r="I26" i="14"/>
  <c r="M26" i="14" s="1"/>
  <c r="A26" i="14" s="1"/>
  <c r="K25" i="14"/>
  <c r="I25" i="14"/>
  <c r="I24" i="14"/>
  <c r="M24" i="14" s="1"/>
  <c r="A24" i="14" s="1"/>
  <c r="K23" i="14"/>
  <c r="I23" i="14"/>
  <c r="M23" i="14" s="1"/>
  <c r="K22" i="14"/>
  <c r="I22" i="14"/>
  <c r="M22" i="14" s="1"/>
  <c r="K21" i="14"/>
  <c r="I21" i="14"/>
  <c r="K20" i="14"/>
  <c r="I20" i="14"/>
  <c r="M20" i="14" s="1"/>
  <c r="A20" i="14" s="1"/>
  <c r="K19" i="14"/>
  <c r="I19" i="14"/>
  <c r="K18" i="14"/>
  <c r="I18" i="14"/>
  <c r="K17" i="14"/>
  <c r="I17" i="14"/>
  <c r="M17" i="14" s="1"/>
  <c r="I16" i="14"/>
  <c r="M16" i="14" s="1"/>
  <c r="I15" i="14"/>
  <c r="M15" i="14" s="1"/>
  <c r="AI14" i="14"/>
  <c r="K14" i="14"/>
  <c r="I14" i="14"/>
  <c r="M14" i="14" s="1"/>
  <c r="AI13" i="14"/>
  <c r="K13" i="14"/>
  <c r="I13" i="14"/>
  <c r="AI12" i="14"/>
  <c r="K12" i="14"/>
  <c r="I12" i="14"/>
  <c r="M12" i="14" s="1"/>
  <c r="K11" i="14"/>
  <c r="I11" i="14"/>
  <c r="M11" i="14" s="1"/>
  <c r="I10" i="14"/>
  <c r="M10" i="14" s="1"/>
  <c r="K9" i="14"/>
  <c r="I9" i="14"/>
  <c r="M9" i="14" s="1"/>
  <c r="I8" i="14"/>
  <c r="K7" i="14"/>
  <c r="I7" i="14"/>
  <c r="E6" i="13"/>
  <c r="K6" i="14"/>
  <c r="E7" i="13"/>
  <c r="K2" i="14"/>
  <c r="L7" i="14" s="1"/>
  <c r="AO12" i="28" l="1"/>
  <c r="AN7" i="28"/>
  <c r="I17" i="28"/>
  <c r="J17" i="28" s="1"/>
  <c r="I16" i="28"/>
  <c r="J16" i="28" s="1"/>
  <c r="I15" i="28"/>
  <c r="J15" i="28" s="1"/>
  <c r="I14" i="28"/>
  <c r="J14" i="28" s="1"/>
  <c r="I13" i="28"/>
  <c r="J13" i="28" s="1"/>
  <c r="I9" i="28"/>
  <c r="J9" i="28" s="1"/>
  <c r="J8" i="28"/>
  <c r="J12" i="28"/>
  <c r="J11" i="28"/>
  <c r="J18" i="28"/>
  <c r="J19" i="28"/>
  <c r="J20" i="28"/>
  <c r="J21" i="28"/>
  <c r="J22" i="28"/>
  <c r="J23" i="28"/>
  <c r="L6" i="20"/>
  <c r="L9" i="20"/>
  <c r="L8" i="20"/>
  <c r="M8" i="20"/>
  <c r="N8" i="20" s="1"/>
  <c r="A8" i="20" s="1"/>
  <c r="M20" i="20"/>
  <c r="M21" i="20"/>
  <c r="N21" i="20" s="1"/>
  <c r="A21" i="20" s="1"/>
  <c r="M23" i="20"/>
  <c r="N23" i="20"/>
  <c r="A23" i="20" s="1"/>
  <c r="M30" i="20"/>
  <c r="N30" i="20" s="1"/>
  <c r="A30" i="20" s="1"/>
  <c r="N251" i="20"/>
  <c r="A251" i="20" s="1"/>
  <c r="M251" i="20"/>
  <c r="N255" i="20"/>
  <c r="A255" i="20" s="1"/>
  <c r="M255" i="20"/>
  <c r="M263" i="20"/>
  <c r="N263" i="20"/>
  <c r="A263" i="20" s="1"/>
  <c r="N264" i="20"/>
  <c r="A264" i="20" s="1"/>
  <c r="M264" i="20"/>
  <c r="M271" i="20"/>
  <c r="N271" i="20"/>
  <c r="A271" i="20" s="1"/>
  <c r="N276" i="20"/>
  <c r="A276" i="20" s="1"/>
  <c r="M276" i="20"/>
  <c r="N279" i="20"/>
  <c r="A279" i="20" s="1"/>
  <c r="M279" i="20"/>
  <c r="N283" i="20"/>
  <c r="A283" i="20" s="1"/>
  <c r="M283" i="20"/>
  <c r="N284" i="20"/>
  <c r="A284" i="20" s="1"/>
  <c r="M284" i="20"/>
  <c r="M299" i="20"/>
  <c r="N299" i="20"/>
  <c r="A299" i="20" s="1"/>
  <c r="M43" i="20"/>
  <c r="M44" i="20"/>
  <c r="N44" i="20" s="1"/>
  <c r="A44" i="20" s="1"/>
  <c r="M50" i="20"/>
  <c r="M54" i="20"/>
  <c r="N54" i="20" s="1"/>
  <c r="A54" i="20" s="1"/>
  <c r="M60" i="20"/>
  <c r="N60" i="20" s="1"/>
  <c r="A60" i="20" s="1"/>
  <c r="M68" i="20"/>
  <c r="N68" i="20" s="1"/>
  <c r="A68" i="20" s="1"/>
  <c r="M69" i="20"/>
  <c r="N69" i="20" s="1"/>
  <c r="A69" i="20" s="1"/>
  <c r="M70" i="20"/>
  <c r="N70" i="20" s="1"/>
  <c r="A70" i="20" s="1"/>
  <c r="M74" i="20"/>
  <c r="M77" i="20"/>
  <c r="N77" i="20" s="1"/>
  <c r="A77" i="20" s="1"/>
  <c r="M86" i="20"/>
  <c r="N86" i="20" s="1"/>
  <c r="A86" i="20" s="1"/>
  <c r="M88" i="20"/>
  <c r="N88" i="20" s="1"/>
  <c r="A88" i="20" s="1"/>
  <c r="M94" i="20"/>
  <c r="N94" i="20" s="1"/>
  <c r="A94" i="20" s="1"/>
  <c r="M102" i="20"/>
  <c r="N102" i="20" s="1"/>
  <c r="A102" i="20" s="1"/>
  <c r="M104" i="20"/>
  <c r="N104" i="20" s="1"/>
  <c r="A104" i="20" s="1"/>
  <c r="M110" i="20"/>
  <c r="N110" i="20" s="1"/>
  <c r="A110" i="20" s="1"/>
  <c r="M111" i="20"/>
  <c r="N111" i="20"/>
  <c r="A111" i="20" s="1"/>
  <c r="M118" i="20"/>
  <c r="N118" i="20" s="1"/>
  <c r="A118" i="20" s="1"/>
  <c r="M128" i="20"/>
  <c r="N128" i="20" s="1"/>
  <c r="A128" i="20" s="1"/>
  <c r="M133" i="20"/>
  <c r="M150" i="20"/>
  <c r="N150" i="20" s="1"/>
  <c r="A150" i="20" s="1"/>
  <c r="M157" i="20"/>
  <c r="M159" i="20"/>
  <c r="N159" i="20" s="1"/>
  <c r="A159" i="20" s="1"/>
  <c r="M161" i="20"/>
  <c r="N161" i="20"/>
  <c r="A161" i="20" s="1"/>
  <c r="M165" i="20"/>
  <c r="M166" i="20"/>
  <c r="N166" i="20" s="1"/>
  <c r="A166" i="20" s="1"/>
  <c r="M167" i="20"/>
  <c r="N167" i="20" s="1"/>
  <c r="A167" i="20" s="1"/>
  <c r="N174" i="20"/>
  <c r="A174" i="20" s="1"/>
  <c r="M174" i="20"/>
  <c r="M175" i="20"/>
  <c r="N175" i="20"/>
  <c r="A175" i="20" s="1"/>
  <c r="N183" i="20"/>
  <c r="A183" i="20" s="1"/>
  <c r="M183" i="20"/>
  <c r="M198" i="20"/>
  <c r="N198" i="20" s="1"/>
  <c r="A198" i="20" s="1"/>
  <c r="N200" i="20"/>
  <c r="A200" i="20" s="1"/>
  <c r="M200" i="20"/>
  <c r="M206" i="20"/>
  <c r="N206" i="20" s="1"/>
  <c r="A206" i="20" s="1"/>
  <c r="M207" i="20"/>
  <c r="N207" i="20" s="1"/>
  <c r="A207" i="20" s="1"/>
  <c r="M215" i="20"/>
  <c r="N215" i="20" s="1"/>
  <c r="A215" i="20" s="1"/>
  <c r="M217" i="20"/>
  <c r="N217" i="20"/>
  <c r="A217" i="20" s="1"/>
  <c r="M221" i="20"/>
  <c r="M223" i="20"/>
  <c r="N223" i="20" s="1"/>
  <c r="A223" i="20" s="1"/>
  <c r="M229" i="20"/>
  <c r="N230" i="20"/>
  <c r="A230" i="20" s="1"/>
  <c r="M230" i="20"/>
  <c r="M231" i="20"/>
  <c r="N231" i="20" s="1"/>
  <c r="A231" i="20" s="1"/>
  <c r="M232" i="20"/>
  <c r="N232" i="20" s="1"/>
  <c r="A232" i="20" s="1"/>
  <c r="M246" i="20"/>
  <c r="N246" i="20" s="1"/>
  <c r="A246" i="20" s="1"/>
  <c r="AG23" i="28"/>
  <c r="AJ6" i="28"/>
  <c r="AL7" i="28"/>
  <c r="AN6" i="28"/>
  <c r="L8" i="26"/>
  <c r="L9" i="26"/>
  <c r="L6" i="26"/>
  <c r="M6" i="26"/>
  <c r="A6" i="26" s="1"/>
  <c r="M9" i="26"/>
  <c r="A9" i="26" s="1"/>
  <c r="V17" i="28"/>
  <c r="V7" i="28"/>
  <c r="U46" i="26"/>
  <c r="W10" i="28"/>
  <c r="V9" i="15"/>
  <c r="V7" i="15"/>
  <c r="V6" i="15"/>
  <c r="V8" i="15"/>
  <c r="V9" i="14"/>
  <c r="V8" i="14"/>
  <c r="V7" i="14"/>
  <c r="U6" i="14"/>
  <c r="V6" i="14" s="1"/>
  <c r="M9" i="15"/>
  <c r="G15" i="28"/>
  <c r="E17" i="28"/>
  <c r="E16" i="28"/>
  <c r="E15" i="28"/>
  <c r="E14" i="28"/>
  <c r="E13" i="28"/>
  <c r="E9" i="28"/>
  <c r="E8" i="28"/>
  <c r="AL11" i="28"/>
  <c r="AJ11" i="28"/>
  <c r="AN11" i="28"/>
  <c r="AJ8" i="28"/>
  <c r="AJ10" i="28"/>
  <c r="AL8" i="28"/>
  <c r="AN10" i="28"/>
  <c r="AL10" i="28"/>
  <c r="AL9" i="28"/>
  <c r="AJ9" i="28"/>
  <c r="M9" i="20"/>
  <c r="N9" i="20" s="1"/>
  <c r="A9" i="20" s="1"/>
  <c r="AD17" i="28"/>
  <c r="AE17" i="28" s="1"/>
  <c r="AO17" i="28" s="1"/>
  <c r="AD15" i="28"/>
  <c r="AE15" i="28" s="1"/>
  <c r="AO15" i="28" s="1"/>
  <c r="AE18" i="28"/>
  <c r="AO18" i="28" s="1"/>
  <c r="AE7" i="28"/>
  <c r="AE6" i="28"/>
  <c r="AO7" i="28" s="1"/>
  <c r="AE8" i="28"/>
  <c r="AE20" i="28"/>
  <c r="AO20" i="28" s="1"/>
  <c r="AE21" i="28"/>
  <c r="AO21" i="28" s="1"/>
  <c r="AE22" i="28"/>
  <c r="AO22" i="28" s="1"/>
  <c r="AE23" i="28"/>
  <c r="AO23" i="28" s="1"/>
  <c r="AE12" i="28"/>
  <c r="AO10" i="28" s="1"/>
  <c r="AB15" i="28"/>
  <c r="AC15" i="28" s="1"/>
  <c r="AN15" i="28" s="1"/>
  <c r="AC9" i="28"/>
  <c r="AN12" i="28" s="1"/>
  <c r="AB17" i="28"/>
  <c r="AC17" i="28" s="1"/>
  <c r="AN17" i="28" s="1"/>
  <c r="AC18" i="28"/>
  <c r="AN18" i="28" s="1"/>
  <c r="AA22" i="28"/>
  <c r="AM22" i="28" s="1"/>
  <c r="AA23" i="28"/>
  <c r="AM23" i="28" s="1"/>
  <c r="Z17" i="28"/>
  <c r="AA17" i="28" s="1"/>
  <c r="AM17" i="28" s="1"/>
  <c r="AI16" i="25"/>
  <c r="AG9" i="28"/>
  <c r="AG20" i="28"/>
  <c r="AG21" i="28"/>
  <c r="AG7" i="28"/>
  <c r="AG22" i="28"/>
  <c r="AG15" i="28"/>
  <c r="M87" i="20"/>
  <c r="N87" i="20" s="1"/>
  <c r="A87" i="20" s="1"/>
  <c r="M224" i="20"/>
  <c r="N224" i="20" s="1"/>
  <c r="A224" i="20" s="1"/>
  <c r="M168" i="20"/>
  <c r="N168" i="20" s="1"/>
  <c r="A168" i="20" s="1"/>
  <c r="M222" i="20"/>
  <c r="N222" i="20" s="1"/>
  <c r="A222" i="20" s="1"/>
  <c r="M71" i="20"/>
  <c r="M134" i="20"/>
  <c r="N134" i="20" s="1"/>
  <c r="A134" i="20" s="1"/>
  <c r="M114" i="20"/>
  <c r="M67" i="20"/>
  <c r="N67" i="20" s="1"/>
  <c r="A67" i="20" s="1"/>
  <c r="M76" i="20"/>
  <c r="N76" i="20" s="1"/>
  <c r="A76" i="20" s="1"/>
  <c r="M112" i="20"/>
  <c r="N112" i="20" s="1"/>
  <c r="A112" i="20" s="1"/>
  <c r="M117" i="20"/>
  <c r="N153" i="20"/>
  <c r="A153" i="20" s="1"/>
  <c r="M160" i="20"/>
  <c r="N160" i="20" s="1"/>
  <c r="A160" i="20" s="1"/>
  <c r="M184" i="20"/>
  <c r="N184" i="20" s="1"/>
  <c r="A184" i="20" s="1"/>
  <c r="M214" i="20"/>
  <c r="N214" i="20" s="1"/>
  <c r="A214" i="20" s="1"/>
  <c r="N233" i="20"/>
  <c r="A233" i="20" s="1"/>
  <c r="M239" i="20"/>
  <c r="M247" i="20"/>
  <c r="M125" i="20"/>
  <c r="M240" i="20"/>
  <c r="N240" i="20" s="1"/>
  <c r="A240" i="20" s="1"/>
  <c r="M82" i="20"/>
  <c r="N82" i="20" s="1"/>
  <c r="A82" i="20" s="1"/>
  <c r="M96" i="20"/>
  <c r="N96" i="20" s="1"/>
  <c r="A96" i="20" s="1"/>
  <c r="M192" i="20"/>
  <c r="M176" i="20"/>
  <c r="N176" i="20" s="1"/>
  <c r="A176" i="20" s="1"/>
  <c r="M37" i="20"/>
  <c r="N37" i="20" s="1"/>
  <c r="A37" i="20" s="1"/>
  <c r="N39" i="20"/>
  <c r="A39" i="20" s="1"/>
  <c r="M52" i="20"/>
  <c r="N52" i="20" s="1"/>
  <c r="A52" i="20" s="1"/>
  <c r="M63" i="20"/>
  <c r="M126" i="20"/>
  <c r="N126" i="20" s="1"/>
  <c r="A126" i="20" s="1"/>
  <c r="M158" i="20"/>
  <c r="N158" i="20" s="1"/>
  <c r="A158" i="20" s="1"/>
  <c r="N225" i="20"/>
  <c r="A225" i="20" s="1"/>
  <c r="M55" i="20"/>
  <c r="N55" i="20" s="1"/>
  <c r="A55" i="20" s="1"/>
  <c r="M46" i="20"/>
  <c r="N46" i="20" s="1"/>
  <c r="A46" i="20" s="1"/>
  <c r="M84" i="20"/>
  <c r="M144" i="20"/>
  <c r="N144" i="20" s="1"/>
  <c r="A144" i="20" s="1"/>
  <c r="M190" i="20"/>
  <c r="N190" i="20" s="1"/>
  <c r="A190" i="20" s="1"/>
  <c r="M248" i="20"/>
  <c r="N248" i="20" s="1"/>
  <c r="A248" i="20" s="1"/>
  <c r="M98" i="20"/>
  <c r="N89" i="20"/>
  <c r="A89" i="20" s="1"/>
  <c r="M101" i="20"/>
  <c r="M79" i="20"/>
  <c r="N169" i="20"/>
  <c r="A169" i="20" s="1"/>
  <c r="M47" i="20"/>
  <c r="N47" i="20" s="1"/>
  <c r="A47" i="20" s="1"/>
  <c r="M66" i="20"/>
  <c r="N66" i="20" s="1"/>
  <c r="A66" i="20" s="1"/>
  <c r="M64" i="20"/>
  <c r="N64" i="20" s="1"/>
  <c r="A64" i="20" s="1"/>
  <c r="N151" i="20"/>
  <c r="A151" i="20" s="1"/>
  <c r="M59" i="20"/>
  <c r="N59" i="20" s="1"/>
  <c r="A59" i="20" s="1"/>
  <c r="N43" i="20"/>
  <c r="A43" i="20" s="1"/>
  <c r="M93" i="20"/>
  <c r="M100" i="20"/>
  <c r="N100" i="20" s="1"/>
  <c r="A100" i="20" s="1"/>
  <c r="M115" i="20"/>
  <c r="N115" i="20"/>
  <c r="A115" i="20" s="1"/>
  <c r="N141" i="20"/>
  <c r="A141" i="20" s="1"/>
  <c r="N154" i="20"/>
  <c r="A154" i="20" s="1"/>
  <c r="M154" i="20"/>
  <c r="M171" i="20"/>
  <c r="N171" i="20" s="1"/>
  <c r="A171" i="20" s="1"/>
  <c r="M187" i="20"/>
  <c r="N187" i="20" s="1"/>
  <c r="A187" i="20" s="1"/>
  <c r="M212" i="20"/>
  <c r="N212" i="20" s="1"/>
  <c r="A212" i="20" s="1"/>
  <c r="N227" i="20"/>
  <c r="A227" i="20" s="1"/>
  <c r="M227" i="20"/>
  <c r="M40" i="20"/>
  <c r="N40" i="20" s="1"/>
  <c r="A40" i="20" s="1"/>
  <c r="M73" i="20"/>
  <c r="N73" i="20" s="1"/>
  <c r="A73" i="20" s="1"/>
  <c r="M124" i="20"/>
  <c r="N124" i="20" s="1"/>
  <c r="A124" i="20" s="1"/>
  <c r="M129" i="20"/>
  <c r="N129" i="20" s="1"/>
  <c r="A129" i="20" s="1"/>
  <c r="M148" i="20"/>
  <c r="N148" i="20" s="1"/>
  <c r="A148" i="20" s="1"/>
  <c r="M151" i="20"/>
  <c r="M164" i="20"/>
  <c r="N164" i="20" s="1"/>
  <c r="A164" i="20" s="1"/>
  <c r="N237" i="20"/>
  <c r="A237" i="20" s="1"/>
  <c r="M49" i="20"/>
  <c r="N49" i="20" s="1"/>
  <c r="A49" i="20" s="1"/>
  <c r="N71" i="20"/>
  <c r="A71" i="20" s="1"/>
  <c r="M80" i="20"/>
  <c r="N80" i="20" s="1"/>
  <c r="A80" i="20" s="1"/>
  <c r="M85" i="20"/>
  <c r="N85" i="20" s="1"/>
  <c r="A85" i="20" s="1"/>
  <c r="M107" i="20"/>
  <c r="N107" i="20" s="1"/>
  <c r="A107" i="20" s="1"/>
  <c r="M122" i="20"/>
  <c r="N122" i="20" s="1"/>
  <c r="A122" i="20" s="1"/>
  <c r="N139" i="20"/>
  <c r="A139" i="20" s="1"/>
  <c r="M194" i="20"/>
  <c r="N194" i="20" s="1"/>
  <c r="A194" i="20" s="1"/>
  <c r="M210" i="20"/>
  <c r="N210" i="20" s="1"/>
  <c r="A210" i="20" s="1"/>
  <c r="N235" i="20"/>
  <c r="A235" i="20" s="1"/>
  <c r="M235" i="20"/>
  <c r="M249" i="20"/>
  <c r="N249" i="20" s="1"/>
  <c r="A249" i="20" s="1"/>
  <c r="M56" i="20"/>
  <c r="N56" i="20" s="1"/>
  <c r="A56" i="20" s="1"/>
  <c r="M92" i="20"/>
  <c r="N92" i="20" s="1"/>
  <c r="A92" i="20" s="1"/>
  <c r="M119" i="20"/>
  <c r="N119" i="20" s="1"/>
  <c r="A119" i="20" s="1"/>
  <c r="N127" i="20"/>
  <c r="A127" i="20" s="1"/>
  <c r="M131" i="20"/>
  <c r="N131" i="20"/>
  <c r="A131" i="20" s="1"/>
  <c r="M141" i="20"/>
  <c r="M162" i="20"/>
  <c r="N162" i="20" s="1"/>
  <c r="A162" i="20" s="1"/>
  <c r="M220" i="20"/>
  <c r="N220" i="20" s="1"/>
  <c r="A220" i="20" s="1"/>
  <c r="M228" i="20"/>
  <c r="N228" i="20" s="1"/>
  <c r="A228" i="20" s="1"/>
  <c r="M42" i="20"/>
  <c r="N42" i="20" s="1"/>
  <c r="A42" i="20" s="1"/>
  <c r="M65" i="20"/>
  <c r="N65" i="20" s="1"/>
  <c r="A65" i="20" s="1"/>
  <c r="M90" i="20"/>
  <c r="N90" i="20" s="1"/>
  <c r="A90" i="20" s="1"/>
  <c r="N140" i="20"/>
  <c r="A140" i="20" s="1"/>
  <c r="M140" i="20"/>
  <c r="M145" i="20"/>
  <c r="N145" i="20" s="1"/>
  <c r="A145" i="20" s="1"/>
  <c r="N181" i="20"/>
  <c r="A181" i="20" s="1"/>
  <c r="M181" i="20"/>
  <c r="M237" i="20"/>
  <c r="M41" i="20"/>
  <c r="N41" i="20" s="1"/>
  <c r="A41" i="20" s="1"/>
  <c r="N63" i="20"/>
  <c r="A63" i="20" s="1"/>
  <c r="M72" i="20"/>
  <c r="N72" i="20" s="1"/>
  <c r="A72" i="20" s="1"/>
  <c r="N74" i="20"/>
  <c r="A74" i="20" s="1"/>
  <c r="N95" i="20"/>
  <c r="A95" i="20" s="1"/>
  <c r="M99" i="20"/>
  <c r="N99" i="20"/>
  <c r="A99" i="20" s="1"/>
  <c r="M109" i="20"/>
  <c r="N109" i="20" s="1"/>
  <c r="A109" i="20" s="1"/>
  <c r="M123" i="20"/>
  <c r="N123" i="20" s="1"/>
  <c r="A123" i="20" s="1"/>
  <c r="N125" i="20"/>
  <c r="A125" i="20" s="1"/>
  <c r="M138" i="20"/>
  <c r="N138" i="20" s="1"/>
  <c r="A138" i="20" s="1"/>
  <c r="N179" i="20"/>
  <c r="A179" i="20" s="1"/>
  <c r="M179" i="20"/>
  <c r="M197" i="20"/>
  <c r="N197" i="20" s="1"/>
  <c r="A197" i="20" s="1"/>
  <c r="N204" i="20"/>
  <c r="A204" i="20" s="1"/>
  <c r="M204" i="20"/>
  <c r="M218" i="20"/>
  <c r="N218" i="20" s="1"/>
  <c r="A218" i="20" s="1"/>
  <c r="N116" i="20"/>
  <c r="A116" i="20" s="1"/>
  <c r="M116" i="20"/>
  <c r="M48" i="20"/>
  <c r="N48" i="20" s="1"/>
  <c r="A48" i="20" s="1"/>
  <c r="N50" i="20"/>
  <c r="A50" i="20" s="1"/>
  <c r="AG6" i="28" s="1"/>
  <c r="M51" i="20"/>
  <c r="N51" i="20" s="1"/>
  <c r="A51" i="20" s="1"/>
  <c r="M58" i="20"/>
  <c r="N58" i="20" s="1"/>
  <c r="A58" i="20" s="1"/>
  <c r="M81" i="20"/>
  <c r="N81" i="20" s="1"/>
  <c r="A81" i="20" s="1"/>
  <c r="M108" i="20"/>
  <c r="N108" i="20" s="1"/>
  <c r="A108" i="20" s="1"/>
  <c r="M113" i="20"/>
  <c r="N113" i="20" s="1"/>
  <c r="A113" i="20" s="1"/>
  <c r="N132" i="20"/>
  <c r="A132" i="20" s="1"/>
  <c r="M132" i="20"/>
  <c r="M135" i="20"/>
  <c r="N135" i="20" s="1"/>
  <c r="A135" i="20" s="1"/>
  <c r="N143" i="20"/>
  <c r="A143" i="20" s="1"/>
  <c r="M147" i="20"/>
  <c r="N147" i="20" s="1"/>
  <c r="A147" i="20" s="1"/>
  <c r="M156" i="20"/>
  <c r="N156" i="20" s="1"/>
  <c r="A156" i="20" s="1"/>
  <c r="N163" i="20"/>
  <c r="A163" i="20" s="1"/>
  <c r="M163" i="20"/>
  <c r="M202" i="20"/>
  <c r="N202" i="20" s="1"/>
  <c r="A202" i="20" s="1"/>
  <c r="M245" i="20"/>
  <c r="N245" i="20" s="1"/>
  <c r="A245" i="20" s="1"/>
  <c r="M57" i="20"/>
  <c r="N57" i="20" s="1"/>
  <c r="A57" i="20" s="1"/>
  <c r="N79" i="20"/>
  <c r="A79" i="20" s="1"/>
  <c r="M91" i="20"/>
  <c r="N91" i="20" s="1"/>
  <c r="A91" i="20" s="1"/>
  <c r="N93" i="20"/>
  <c r="A93" i="20" s="1"/>
  <c r="M106" i="20"/>
  <c r="N106" i="20" s="1"/>
  <c r="A106" i="20" s="1"/>
  <c r="N173" i="20"/>
  <c r="A173" i="20" s="1"/>
  <c r="M189" i="20"/>
  <c r="N189" i="20" s="1"/>
  <c r="A189" i="20" s="1"/>
  <c r="N243" i="20"/>
  <c r="A243" i="20" s="1"/>
  <c r="M243" i="20"/>
  <c r="N84" i="20"/>
  <c r="A84" i="20" s="1"/>
  <c r="N101" i="20"/>
  <c r="A101" i="20" s="1"/>
  <c r="M105" i="20"/>
  <c r="N105" i="20" s="1"/>
  <c r="A105" i="20" s="1"/>
  <c r="N117" i="20"/>
  <c r="A117" i="20" s="1"/>
  <c r="M121" i="20"/>
  <c r="N121" i="20" s="1"/>
  <c r="A121" i="20" s="1"/>
  <c r="N133" i="20"/>
  <c r="A133" i="20" s="1"/>
  <c r="M137" i="20"/>
  <c r="N137" i="20" s="1"/>
  <c r="A137" i="20" s="1"/>
  <c r="N149" i="20"/>
  <c r="A149" i="20" s="1"/>
  <c r="M170" i="20"/>
  <c r="N170" i="20" s="1"/>
  <c r="A170" i="20" s="1"/>
  <c r="N180" i="20"/>
  <c r="A180" i="20" s="1"/>
  <c r="M180" i="20"/>
  <c r="M203" i="20"/>
  <c r="N203" i="20" s="1"/>
  <c r="A203" i="20" s="1"/>
  <c r="N213" i="20"/>
  <c r="A213" i="20" s="1"/>
  <c r="M234" i="20"/>
  <c r="N234" i="20" s="1"/>
  <c r="A234" i="20" s="1"/>
  <c r="N244" i="20"/>
  <c r="A244" i="20" s="1"/>
  <c r="M244" i="20"/>
  <c r="N157" i="20"/>
  <c r="A157" i="20" s="1"/>
  <c r="M178" i="20"/>
  <c r="N178" i="20" s="1"/>
  <c r="A178" i="20" s="1"/>
  <c r="N188" i="20"/>
  <c r="A188" i="20" s="1"/>
  <c r="M188" i="20"/>
  <c r="M211" i="20"/>
  <c r="N211" i="20" s="1"/>
  <c r="A211" i="20" s="1"/>
  <c r="N221" i="20"/>
  <c r="A221" i="20" s="1"/>
  <c r="M242" i="20"/>
  <c r="N242" i="20" s="1"/>
  <c r="A242" i="20" s="1"/>
  <c r="M250" i="20"/>
  <c r="N250" i="20" s="1"/>
  <c r="A250" i="20" s="1"/>
  <c r="M172" i="20"/>
  <c r="N172" i="20" s="1"/>
  <c r="A172" i="20" s="1"/>
  <c r="N195" i="20"/>
  <c r="A195" i="20" s="1"/>
  <c r="M195" i="20"/>
  <c r="M226" i="20"/>
  <c r="N226" i="20" s="1"/>
  <c r="A226" i="20" s="1"/>
  <c r="N236" i="20"/>
  <c r="A236" i="20" s="1"/>
  <c r="M236" i="20"/>
  <c r="M83" i="20"/>
  <c r="N83" i="20" s="1"/>
  <c r="A83" i="20" s="1"/>
  <c r="N98" i="20"/>
  <c r="A98" i="20" s="1"/>
  <c r="N114" i="20"/>
  <c r="A114" i="20" s="1"/>
  <c r="N130" i="20"/>
  <c r="A130" i="20" s="1"/>
  <c r="N146" i="20"/>
  <c r="A146" i="20" s="1"/>
  <c r="M155" i="20"/>
  <c r="N155" i="20" s="1"/>
  <c r="A155" i="20" s="1"/>
  <c r="N165" i="20"/>
  <c r="A165" i="20" s="1"/>
  <c r="M186" i="20"/>
  <c r="N186" i="20" s="1"/>
  <c r="A186" i="20" s="1"/>
  <c r="M196" i="20"/>
  <c r="N196" i="20" s="1"/>
  <c r="A196" i="20" s="1"/>
  <c r="M205" i="20"/>
  <c r="N205" i="20" s="1"/>
  <c r="A205" i="20" s="1"/>
  <c r="M219" i="20"/>
  <c r="N219" i="20" s="1"/>
  <c r="A219" i="20" s="1"/>
  <c r="N229" i="20"/>
  <c r="A229" i="20" s="1"/>
  <c r="N266" i="20"/>
  <c r="A266" i="20" s="1"/>
  <c r="M266" i="20"/>
  <c r="N270" i="20"/>
  <c r="A270" i="20" s="1"/>
  <c r="M270" i="20"/>
  <c r="M22" i="20"/>
  <c r="M10" i="20"/>
  <c r="N10" i="20" s="1"/>
  <c r="A10" i="20" s="1"/>
  <c r="M29" i="20"/>
  <c r="N29" i="20" s="1"/>
  <c r="A29" i="20" s="1"/>
  <c r="N267" i="20"/>
  <c r="A267" i="20" s="1"/>
  <c r="M267" i="20"/>
  <c r="N298" i="20"/>
  <c r="A298" i="20" s="1"/>
  <c r="M298" i="20"/>
  <c r="N280" i="20"/>
  <c r="A280" i="20" s="1"/>
  <c r="M280" i="20"/>
  <c r="M292" i="20"/>
  <c r="M295" i="20"/>
  <c r="M14" i="20"/>
  <c r="N22" i="20"/>
  <c r="A22" i="20" s="1"/>
  <c r="N275" i="20"/>
  <c r="A275" i="20" s="1"/>
  <c r="M275" i="20"/>
  <c r="L7" i="20"/>
  <c r="M7" i="20" s="1"/>
  <c r="N7" i="20" s="1"/>
  <c r="A7" i="20" s="1"/>
  <c r="AF17" i="28" a="1"/>
  <c r="AF17" i="28" s="1"/>
  <c r="AG17" i="28" s="1"/>
  <c r="AF13" i="28" a="1"/>
  <c r="AF13" i="28" s="1"/>
  <c r="AG13" i="28" s="1"/>
  <c r="AF14" i="28" a="1"/>
  <c r="AF14" i="28" s="1"/>
  <c r="AG14" i="28" s="1"/>
  <c r="M11" i="20"/>
  <c r="N11" i="20" s="1"/>
  <c r="A11" i="20" s="1"/>
  <c r="M32" i="20"/>
  <c r="N32" i="20" s="1"/>
  <c r="A32" i="20" s="1"/>
  <c r="N256" i="20"/>
  <c r="A256" i="20" s="1"/>
  <c r="M256" i="20"/>
  <c r="M259" i="20"/>
  <c r="N272" i="20"/>
  <c r="A272" i="20" s="1"/>
  <c r="M272" i="20"/>
  <c r="M6" i="20"/>
  <c r="N6" i="20" s="1"/>
  <c r="A6" i="20" s="1"/>
  <c r="M28" i="20"/>
  <c r="N28" i="20" s="1"/>
  <c r="A28" i="20" s="1"/>
  <c r="N254" i="20"/>
  <c r="A254" i="20" s="1"/>
  <c r="M254" i="20"/>
  <c r="N282" i="20"/>
  <c r="A282" i="20" s="1"/>
  <c r="M282" i="20"/>
  <c r="N287" i="20"/>
  <c r="A287" i="20" s="1"/>
  <c r="N300" i="20"/>
  <c r="A300" i="20" s="1"/>
  <c r="M300" i="20"/>
  <c r="N303" i="20"/>
  <c r="A303" i="20" s="1"/>
  <c r="M15" i="20"/>
  <c r="N252" i="20"/>
  <c r="A252" i="20" s="1"/>
  <c r="M252" i="20"/>
  <c r="M12" i="20"/>
  <c r="N20" i="20"/>
  <c r="A20" i="20" s="1"/>
  <c r="M260" i="20"/>
  <c r="M288" i="20"/>
  <c r="M304" i="20"/>
  <c r="M31" i="20"/>
  <c r="N31" i="20" s="1"/>
  <c r="A31" i="20" s="1"/>
  <c r="N268" i="20"/>
  <c r="A268" i="20" s="1"/>
  <c r="M268" i="20"/>
  <c r="M286" i="20"/>
  <c r="M291" i="20"/>
  <c r="N296" i="20"/>
  <c r="A296" i="20" s="1"/>
  <c r="M302" i="20"/>
  <c r="M13" i="20"/>
  <c r="M24" i="20"/>
  <c r="N24" i="20" s="1"/>
  <c r="A24" i="20" s="1"/>
  <c r="W17" i="28"/>
  <c r="AK17" i="28" s="1"/>
  <c r="W21" i="28"/>
  <c r="AK21" i="28" s="1"/>
  <c r="W22" i="28"/>
  <c r="AK22" i="28" s="1"/>
  <c r="W23" i="28"/>
  <c r="AK23" i="28" s="1"/>
  <c r="W11" i="28"/>
  <c r="W18" i="28"/>
  <c r="AK18" i="28" s="1"/>
  <c r="V15" i="28"/>
  <c r="W15" i="28" s="1"/>
  <c r="AK15" i="28" s="1"/>
  <c r="V16" i="28"/>
  <c r="W16" i="28" s="1"/>
  <c r="AK16" i="28" s="1"/>
  <c r="W9" i="28"/>
  <c r="V13" i="28"/>
  <c r="W13" i="28" s="1"/>
  <c r="AK13" i="28" s="1"/>
  <c r="V14" i="28"/>
  <c r="W14" i="28" s="1"/>
  <c r="AK14" i="28" s="1"/>
  <c r="W19" i="28"/>
  <c r="AK19" i="28" s="1"/>
  <c r="W8" i="28"/>
  <c r="W20" i="28"/>
  <c r="AK20" i="28" s="1"/>
  <c r="M8" i="26"/>
  <c r="A8" i="26" s="1"/>
  <c r="W7" i="28"/>
  <c r="W12" i="28"/>
  <c r="AK10" i="28" s="1"/>
  <c r="W6" i="28"/>
  <c r="AK7" i="28" s="1"/>
  <c r="M12" i="26"/>
  <c r="A12" i="26" s="1"/>
  <c r="AA11" i="28"/>
  <c r="AA18" i="28"/>
  <c r="AM18" i="28" s="1"/>
  <c r="AA21" i="28"/>
  <c r="AM21" i="28" s="1"/>
  <c r="M12" i="24"/>
  <c r="A12" i="24" s="1"/>
  <c r="AA9" i="28"/>
  <c r="AM12" i="28" s="1"/>
  <c r="AA8" i="28"/>
  <c r="M16" i="24"/>
  <c r="A16" i="24" s="1"/>
  <c r="Z14" i="28"/>
  <c r="AA14" i="28" s="1"/>
  <c r="AM14" i="28" s="1"/>
  <c r="AA19" i="28"/>
  <c r="AM19" i="28" s="1"/>
  <c r="M8" i="24"/>
  <c r="A8" i="24" s="1"/>
  <c r="AA10" i="28"/>
  <c r="Z15" i="28"/>
  <c r="AA15" i="28" s="1"/>
  <c r="AM15" i="28" s="1"/>
  <c r="L7" i="24"/>
  <c r="M7" i="24" s="1"/>
  <c r="A7" i="24" s="1"/>
  <c r="L6" i="24"/>
  <c r="M6" i="24" s="1"/>
  <c r="A6" i="24" s="1"/>
  <c r="AA7" i="28"/>
  <c r="AM6" i="28" s="1"/>
  <c r="Z16" i="28"/>
  <c r="AA16" i="28" s="1"/>
  <c r="AM16" i="28" s="1"/>
  <c r="M11" i="24"/>
  <c r="A11" i="24" s="1"/>
  <c r="AA12" i="28"/>
  <c r="AA20" i="28"/>
  <c r="AM20" i="28" s="1"/>
  <c r="R13" i="28"/>
  <c r="L7" i="21"/>
  <c r="M7" i="21" s="1"/>
  <c r="A7" i="21" s="1"/>
  <c r="R16" i="28"/>
  <c r="R17" i="28"/>
  <c r="S10" i="28"/>
  <c r="S20" i="28"/>
  <c r="AI20" i="28" s="1"/>
  <c r="L6" i="21"/>
  <c r="R14" i="28"/>
  <c r="M6" i="21"/>
  <c r="A6" i="21" s="1"/>
  <c r="S21" i="28" s="1"/>
  <c r="AI21" i="28" s="1"/>
  <c r="S12" i="28"/>
  <c r="L8" i="27"/>
  <c r="L7" i="27"/>
  <c r="L7" i="26"/>
  <c r="M7" i="26" s="1"/>
  <c r="A7" i="26" s="1"/>
  <c r="L7" i="25"/>
  <c r="L6" i="25"/>
  <c r="AI16" i="24"/>
  <c r="M10" i="24"/>
  <c r="A10" i="24" s="1"/>
  <c r="M20" i="24"/>
  <c r="A20" i="24" s="1"/>
  <c r="M6" i="23"/>
  <c r="A6" i="23" s="1"/>
  <c r="AI16" i="23"/>
  <c r="M7" i="23"/>
  <c r="A7" i="23" s="1"/>
  <c r="M11" i="23"/>
  <c r="A11" i="23" s="1"/>
  <c r="M10" i="23"/>
  <c r="A10" i="23" s="1"/>
  <c r="AI16" i="22"/>
  <c r="M17" i="22"/>
  <c r="A17" i="22" s="1"/>
  <c r="M6" i="22"/>
  <c r="A6" i="22" s="1"/>
  <c r="M10" i="22"/>
  <c r="A10" i="22" s="1"/>
  <c r="M11" i="22"/>
  <c r="A11" i="22" s="1"/>
  <c r="M16" i="22"/>
  <c r="A16" i="22" s="1"/>
  <c r="AI16" i="21"/>
  <c r="N258" i="20"/>
  <c r="A258" i="20" s="1"/>
  <c r="M258" i="20"/>
  <c r="M17" i="20"/>
  <c r="N17" i="20" s="1"/>
  <c r="A17" i="20" s="1"/>
  <c r="N274" i="20"/>
  <c r="A274" i="20" s="1"/>
  <c r="M274" i="20"/>
  <c r="M35" i="20"/>
  <c r="N35" i="20"/>
  <c r="A35" i="20" s="1"/>
  <c r="N13" i="20"/>
  <c r="A13" i="20" s="1"/>
  <c r="M33" i="20"/>
  <c r="N33" i="20" s="1"/>
  <c r="A33" i="20" s="1"/>
  <c r="N294" i="20"/>
  <c r="A294" i="20" s="1"/>
  <c r="M294" i="20"/>
  <c r="M34" i="20"/>
  <c r="N34" i="20" s="1"/>
  <c r="A34" i="20" s="1"/>
  <c r="N278" i="20"/>
  <c r="A278" i="20" s="1"/>
  <c r="M278" i="20"/>
  <c r="M25" i="20"/>
  <c r="N25" i="20" s="1"/>
  <c r="A25" i="20" s="1"/>
  <c r="N12" i="20"/>
  <c r="A12" i="20" s="1"/>
  <c r="M16" i="20"/>
  <c r="N16" i="20" s="1"/>
  <c r="A16" i="20" s="1"/>
  <c r="N290" i="20"/>
  <c r="A290" i="20" s="1"/>
  <c r="M290" i="20"/>
  <c r="M26" i="20"/>
  <c r="N26" i="20" s="1"/>
  <c r="A26" i="20" s="1"/>
  <c r="M19" i="20"/>
  <c r="N19" i="20" s="1"/>
  <c r="A19" i="20" s="1"/>
  <c r="N15" i="20"/>
  <c r="A15" i="20" s="1"/>
  <c r="M27" i="20"/>
  <c r="N27" i="20" s="1"/>
  <c r="A27" i="20" s="1"/>
  <c r="M36" i="20"/>
  <c r="N36" i="20" s="1"/>
  <c r="A36" i="20" s="1"/>
  <c r="N14" i="20"/>
  <c r="A14" i="20" s="1"/>
  <c r="M18" i="20"/>
  <c r="N18" i="20" s="1"/>
  <c r="A18" i="20" s="1"/>
  <c r="N262" i="20"/>
  <c r="A262" i="20" s="1"/>
  <c r="M262" i="20"/>
  <c r="N277" i="20"/>
  <c r="A277" i="20" s="1"/>
  <c r="M277" i="20"/>
  <c r="N281" i="20"/>
  <c r="A281" i="20" s="1"/>
  <c r="M281" i="20"/>
  <c r="N293" i="20"/>
  <c r="A293" i="20" s="1"/>
  <c r="M293" i="20"/>
  <c r="N297" i="20"/>
  <c r="A297" i="20" s="1"/>
  <c r="M297" i="20"/>
  <c r="N253" i="20"/>
  <c r="A253" i="20" s="1"/>
  <c r="M253" i="20"/>
  <c r="N261" i="20"/>
  <c r="A261" i="20" s="1"/>
  <c r="M261" i="20"/>
  <c r="N265" i="20"/>
  <c r="A265" i="20" s="1"/>
  <c r="M265" i="20"/>
  <c r="N269" i="20"/>
  <c r="A269" i="20" s="1"/>
  <c r="M269" i="20"/>
  <c r="N285" i="20"/>
  <c r="A285" i="20" s="1"/>
  <c r="M285" i="20"/>
  <c r="N301" i="20"/>
  <c r="A301" i="20" s="1"/>
  <c r="M301" i="20"/>
  <c r="N257" i="20"/>
  <c r="A257" i="20" s="1"/>
  <c r="M257" i="20"/>
  <c r="N273" i="20"/>
  <c r="A273" i="20" s="1"/>
  <c r="M273" i="20"/>
  <c r="N289" i="20"/>
  <c r="A289" i="20" s="1"/>
  <c r="M289" i="20"/>
  <c r="N305" i="20"/>
  <c r="A305" i="20" s="1"/>
  <c r="M305" i="20"/>
  <c r="P11" i="13"/>
  <c r="P8" i="13"/>
  <c r="P9" i="13"/>
  <c r="P15" i="13"/>
  <c r="P16" i="13"/>
  <c r="P17" i="13"/>
  <c r="M6" i="13"/>
  <c r="M12" i="13"/>
  <c r="M13" i="13"/>
  <c r="M11" i="13"/>
  <c r="M8" i="13"/>
  <c r="M9" i="13"/>
  <c r="M15" i="13"/>
  <c r="M16" i="13"/>
  <c r="M17" i="13"/>
  <c r="M7" i="14"/>
  <c r="AI16" i="14"/>
  <c r="M8" i="15"/>
  <c r="AI16" i="15"/>
  <c r="M6" i="16"/>
  <c r="A6" i="16" s="1"/>
  <c r="J6" i="28" s="1"/>
  <c r="M11" i="17"/>
  <c r="A11" i="17" s="1"/>
  <c r="M13" i="17"/>
  <c r="A13" i="17" s="1"/>
  <c r="AI16" i="17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9" i="17"/>
  <c r="A29" i="17" s="1"/>
  <c r="M30" i="17"/>
  <c r="A30" i="17" s="1"/>
  <c r="M31" i="17"/>
  <c r="A31" i="17" s="1"/>
  <c r="M32" i="17"/>
  <c r="A32" i="17" s="1"/>
  <c r="M36" i="17"/>
  <c r="A36" i="17" s="1"/>
  <c r="M37" i="17"/>
  <c r="A37" i="17" s="1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6" i="18"/>
  <c r="A36" i="18" s="1"/>
  <c r="M37" i="18"/>
  <c r="A37" i="18" s="1"/>
  <c r="N9" i="19"/>
  <c r="M9" i="19"/>
  <c r="N10" i="19"/>
  <c r="A10" i="19" s="1"/>
  <c r="M10" i="19"/>
  <c r="N11" i="19"/>
  <c r="M11" i="19"/>
  <c r="N12" i="19"/>
  <c r="A12" i="19" s="1"/>
  <c r="M12" i="19"/>
  <c r="N13" i="19"/>
  <c r="M13" i="19"/>
  <c r="N14" i="19"/>
  <c r="A14" i="19" s="1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A22" i="19" s="1"/>
  <c r="M22" i="19"/>
  <c r="N23" i="19"/>
  <c r="A23" i="19" s="1"/>
  <c r="M23" i="19"/>
  <c r="N24" i="19"/>
  <c r="A24" i="19" s="1"/>
  <c r="M24" i="19"/>
  <c r="N25" i="19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A34" i="19" s="1"/>
  <c r="M34" i="19"/>
  <c r="N35" i="19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A46" i="19" s="1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M62" i="19"/>
  <c r="N63" i="19"/>
  <c r="A63" i="19" s="1"/>
  <c r="M63" i="19"/>
  <c r="N64" i="19"/>
  <c r="A64" i="19" s="1"/>
  <c r="M64" i="19"/>
  <c r="N65" i="19"/>
  <c r="M65" i="19"/>
  <c r="N66" i="19"/>
  <c r="A66" i="19" s="1"/>
  <c r="M66" i="19"/>
  <c r="N67" i="19"/>
  <c r="A67" i="19" s="1"/>
  <c r="M67" i="19"/>
  <c r="N68" i="19"/>
  <c r="M68" i="19"/>
  <c r="N69" i="19"/>
  <c r="A69" i="19" s="1"/>
  <c r="M69" i="19"/>
  <c r="N70" i="19"/>
  <c r="M70" i="19"/>
  <c r="N71" i="19"/>
  <c r="M71" i="19"/>
  <c r="N72" i="19"/>
  <c r="A72" i="19" s="1"/>
  <c r="M72" i="19"/>
  <c r="N73" i="19"/>
  <c r="A73" i="19" s="1"/>
  <c r="M73" i="19"/>
  <c r="N74" i="19"/>
  <c r="M74" i="19"/>
  <c r="N75" i="19"/>
  <c r="A75" i="19" s="1"/>
  <c r="M75" i="19"/>
  <c r="N76" i="19"/>
  <c r="M76" i="19"/>
  <c r="N77" i="19"/>
  <c r="M77" i="19"/>
  <c r="N78" i="19"/>
  <c r="A78" i="19" s="1"/>
  <c r="M78" i="19"/>
  <c r="N79" i="19"/>
  <c r="A79" i="19" s="1"/>
  <c r="M79" i="19"/>
  <c r="N80" i="19"/>
  <c r="M80" i="19"/>
  <c r="N81" i="19"/>
  <c r="A81" i="19" s="1"/>
  <c r="M81" i="19"/>
  <c r="N82" i="19"/>
  <c r="M82" i="19"/>
  <c r="N83" i="19"/>
  <c r="M83" i="19"/>
  <c r="N84" i="19"/>
  <c r="A84" i="19" s="1"/>
  <c r="M84" i="19"/>
  <c r="N85" i="19"/>
  <c r="A85" i="19" s="1"/>
  <c r="M85" i="19"/>
  <c r="N86" i="19"/>
  <c r="M86" i="19"/>
  <c r="N87" i="19"/>
  <c r="A87" i="19" s="1"/>
  <c r="M87" i="19"/>
  <c r="N88" i="19"/>
  <c r="M88" i="19"/>
  <c r="N89" i="19"/>
  <c r="M89" i="19"/>
  <c r="N90" i="19"/>
  <c r="A90" i="19" s="1"/>
  <c r="M90" i="19"/>
  <c r="N91" i="19"/>
  <c r="A91" i="19" s="1"/>
  <c r="M91" i="19"/>
  <c r="N92" i="19"/>
  <c r="M92" i="19"/>
  <c r="N93" i="19"/>
  <c r="A93" i="19" s="1"/>
  <c r="M93" i="19"/>
  <c r="N94" i="19"/>
  <c r="M94" i="19"/>
  <c r="N95" i="19"/>
  <c r="M95" i="19"/>
  <c r="N96" i="19"/>
  <c r="A96" i="19" s="1"/>
  <c r="M96" i="19"/>
  <c r="N97" i="19"/>
  <c r="A97" i="19" s="1"/>
  <c r="M97" i="19"/>
  <c r="N98" i="19"/>
  <c r="M98" i="19"/>
  <c r="N99" i="19"/>
  <c r="A99" i="19" s="1"/>
  <c r="M99" i="19"/>
  <c r="N100" i="19"/>
  <c r="M100" i="19"/>
  <c r="N101" i="19"/>
  <c r="M101" i="19"/>
  <c r="N102" i="19"/>
  <c r="A102" i="19" s="1"/>
  <c r="M102" i="19"/>
  <c r="N103" i="19"/>
  <c r="M103" i="19"/>
  <c r="N104" i="19"/>
  <c r="M104" i="19"/>
  <c r="N105" i="19"/>
  <c r="A105" i="19" s="1"/>
  <c r="M105" i="19"/>
  <c r="N106" i="19"/>
  <c r="M106" i="19"/>
  <c r="N107" i="19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M112" i="19"/>
  <c r="N113" i="19"/>
  <c r="M113" i="19"/>
  <c r="N114" i="19"/>
  <c r="A114" i="19" s="1"/>
  <c r="M114" i="19"/>
  <c r="N115" i="19"/>
  <c r="A115" i="19" s="1"/>
  <c r="M115" i="19"/>
  <c r="N116" i="19"/>
  <c r="M116" i="19"/>
  <c r="N117" i="19"/>
  <c r="A117" i="19" s="1"/>
  <c r="M117" i="19"/>
  <c r="N118" i="19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M143" i="19"/>
  <c r="N144" i="19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M157" i="19"/>
  <c r="N158" i="19"/>
  <c r="M158" i="19"/>
  <c r="N159" i="19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M167" i="19"/>
  <c r="N168" i="19"/>
  <c r="M168" i="19"/>
  <c r="N169" i="19"/>
  <c r="A169" i="19" s="1"/>
  <c r="M169" i="19"/>
  <c r="N170" i="19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M181" i="19"/>
  <c r="N182" i="19"/>
  <c r="A182" i="19" s="1"/>
  <c r="M182" i="19"/>
  <c r="N183" i="19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M205" i="19"/>
  <c r="N206" i="19"/>
  <c r="A206" i="19" s="1"/>
  <c r="M206" i="19"/>
  <c r="N207" i="19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M224" i="19"/>
  <c r="N225" i="19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M236" i="19"/>
  <c r="N237" i="19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M248" i="19"/>
  <c r="N249" i="19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M260" i="19"/>
  <c r="N261" i="19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M284" i="19"/>
  <c r="N285" i="19"/>
  <c r="M285" i="19"/>
  <c r="N286" i="19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M296" i="19"/>
  <c r="N297" i="19"/>
  <c r="M297" i="19"/>
  <c r="N298" i="19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K7" i="13"/>
  <c r="L14" i="13"/>
  <c r="L18" i="13"/>
  <c r="L19" i="13"/>
  <c r="L20" i="13"/>
  <c r="L21" i="13"/>
  <c r="L22" i="13"/>
  <c r="L23" i="13"/>
  <c r="K12" i="13"/>
  <c r="L12" i="13" s="1"/>
  <c r="K13" i="13"/>
  <c r="L13" i="13" s="1"/>
  <c r="K11" i="13"/>
  <c r="L11" i="13" s="1"/>
  <c r="K8" i="13"/>
  <c r="L8" i="13" s="1"/>
  <c r="K9" i="13"/>
  <c r="L9" i="13" s="1"/>
  <c r="K15" i="13"/>
  <c r="L15" i="13" s="1"/>
  <c r="K16" i="13"/>
  <c r="L16" i="13" s="1"/>
  <c r="K17" i="13"/>
  <c r="L17" i="13" s="1"/>
  <c r="J16" i="13"/>
  <c r="I17" i="13"/>
  <c r="J17" i="13" s="1"/>
  <c r="J10" i="13"/>
  <c r="J18" i="13"/>
  <c r="J6" i="13"/>
  <c r="I12" i="13"/>
  <c r="J19" i="13"/>
  <c r="I13" i="13"/>
  <c r="J13" i="13" s="1"/>
  <c r="J20" i="13"/>
  <c r="A36" i="16"/>
  <c r="A17" i="16"/>
  <c r="M29" i="16"/>
  <c r="A29" i="16" s="1"/>
  <c r="M37" i="16"/>
  <c r="A37" i="16" s="1"/>
  <c r="I11" i="13"/>
  <c r="J11" i="13" s="1"/>
  <c r="J21" i="13"/>
  <c r="L8" i="16"/>
  <c r="M8" i="16" s="1"/>
  <c r="A8" i="16" s="1"/>
  <c r="M22" i="16"/>
  <c r="A22" i="16" s="1"/>
  <c r="I8" i="13"/>
  <c r="J8" i="13" s="1"/>
  <c r="J22" i="13"/>
  <c r="M15" i="16"/>
  <c r="A15" i="16" s="1"/>
  <c r="I9" i="13"/>
  <c r="J9" i="13" s="1"/>
  <c r="J23" i="13"/>
  <c r="A23" i="16"/>
  <c r="A28" i="16"/>
  <c r="M24" i="16"/>
  <c r="A24" i="16" s="1"/>
  <c r="J14" i="13"/>
  <c r="I15" i="13"/>
  <c r="J15" i="13" s="1"/>
  <c r="A27" i="15"/>
  <c r="M36" i="15"/>
  <c r="A36" i="15" s="1"/>
  <c r="M13" i="15"/>
  <c r="A13" i="15" s="1"/>
  <c r="M21" i="15"/>
  <c r="A21" i="15" s="1"/>
  <c r="M37" i="15"/>
  <c r="A37" i="15" s="1"/>
  <c r="A28" i="15"/>
  <c r="M31" i="15"/>
  <c r="A31" i="15" s="1"/>
  <c r="A19" i="15"/>
  <c r="A29" i="15"/>
  <c r="A35" i="15"/>
  <c r="M24" i="15"/>
  <c r="A24" i="15" s="1"/>
  <c r="A16" i="15"/>
  <c r="A32" i="15"/>
  <c r="M17" i="15"/>
  <c r="A17" i="15" s="1"/>
  <c r="M25" i="15"/>
  <c r="A25" i="15" s="1"/>
  <c r="M33" i="15"/>
  <c r="A33" i="15" s="1"/>
  <c r="A20" i="15"/>
  <c r="A23" i="15"/>
  <c r="A10" i="15"/>
  <c r="H9" i="28" s="1"/>
  <c r="H8" i="13"/>
  <c r="M30" i="14"/>
  <c r="A30" i="14" s="1"/>
  <c r="A15" i="14"/>
  <c r="A23" i="14"/>
  <c r="A31" i="14"/>
  <c r="M25" i="14"/>
  <c r="A25" i="14" s="1"/>
  <c r="M33" i="14"/>
  <c r="A33" i="14" s="1"/>
  <c r="M18" i="14"/>
  <c r="A18" i="14" s="1"/>
  <c r="A9" i="14"/>
  <c r="F10" i="28" s="1"/>
  <c r="A16" i="14"/>
  <c r="A34" i="14"/>
  <c r="M19" i="14"/>
  <c r="A19" i="14" s="1"/>
  <c r="M27" i="14"/>
  <c r="A27" i="14" s="1"/>
  <c r="M35" i="14"/>
  <c r="A35" i="14" s="1"/>
  <c r="M28" i="14"/>
  <c r="A28" i="14" s="1"/>
  <c r="A14" i="14"/>
  <c r="A17" i="14"/>
  <c r="A22" i="14"/>
  <c r="M13" i="14"/>
  <c r="A13" i="14" s="1"/>
  <c r="M21" i="14"/>
  <c r="A21" i="14" s="1"/>
  <c r="M29" i="14"/>
  <c r="A29" i="14" s="1"/>
  <c r="M37" i="14"/>
  <c r="A37" i="14" s="1"/>
  <c r="A19" i="18"/>
  <c r="A34" i="18"/>
  <c r="A26" i="18"/>
  <c r="A35" i="18"/>
  <c r="A11" i="18"/>
  <c r="A10" i="17"/>
  <c r="A26" i="16"/>
  <c r="A34" i="16"/>
  <c r="A12" i="15"/>
  <c r="A8" i="15"/>
  <c r="H14" i="13" s="1"/>
  <c r="A9" i="15"/>
  <c r="H10" i="13" s="1"/>
  <c r="A11" i="15"/>
  <c r="L6" i="14"/>
  <c r="A7" i="14"/>
  <c r="L8" i="14"/>
  <c r="M8" i="14" s="1"/>
  <c r="A10" i="14"/>
  <c r="A11" i="14"/>
  <c r="A12" i="14"/>
  <c r="L7" i="15"/>
  <c r="L6" i="15"/>
  <c r="M6" i="15" s="1"/>
  <c r="L8" i="17"/>
  <c r="M8" i="17" s="1"/>
  <c r="A8" i="17" s="1"/>
  <c r="L10" i="13" s="1"/>
  <c r="L6" i="17"/>
  <c r="L7" i="16"/>
  <c r="M7" i="16" s="1"/>
  <c r="L7" i="17"/>
  <c r="M7" i="17" s="1"/>
  <c r="A7" i="17" s="1"/>
  <c r="L6" i="13" s="1"/>
  <c r="A86" i="19"/>
  <c r="A103" i="19"/>
  <c r="A273" i="19"/>
  <c r="A13" i="19"/>
  <c r="A216" i="19"/>
  <c r="A77" i="19"/>
  <c r="A88" i="19"/>
  <c r="A11" i="19"/>
  <c r="A21" i="19"/>
  <c r="L7" i="19"/>
  <c r="M7" i="19" s="1"/>
  <c r="N7" i="19" s="1"/>
  <c r="L8" i="19"/>
  <c r="L6" i="19"/>
  <c r="M6" i="19" s="1"/>
  <c r="N6" i="19" s="1"/>
  <c r="A76" i="19"/>
  <c r="A98" i="19"/>
  <c r="A6" i="19"/>
  <c r="L6" i="18"/>
  <c r="L7" i="18"/>
  <c r="M7" i="18" s="1"/>
  <c r="A7" i="19"/>
  <c r="P6" i="13" s="1"/>
  <c r="A35" i="19"/>
  <c r="A65" i="19"/>
  <c r="A112" i="19"/>
  <c r="L8" i="18"/>
  <c r="AJ16" i="19"/>
  <c r="A48" i="19"/>
  <c r="A33" i="19"/>
  <c r="A71" i="19"/>
  <c r="A59" i="19"/>
  <c r="A62" i="19"/>
  <c r="A82" i="19"/>
  <c r="A92" i="19"/>
  <c r="A107" i="19"/>
  <c r="A116" i="19"/>
  <c r="A205" i="19"/>
  <c r="A60" i="19"/>
  <c r="A68" i="19"/>
  <c r="A83" i="19"/>
  <c r="A183" i="19"/>
  <c r="A297" i="19"/>
  <c r="A25" i="19"/>
  <c r="A94" i="19"/>
  <c r="A113" i="19"/>
  <c r="A15" i="19"/>
  <c r="A89" i="19"/>
  <c r="A104" i="19"/>
  <c r="A118" i="19"/>
  <c r="A167" i="19"/>
  <c r="A194" i="19"/>
  <c r="A249" i="19"/>
  <c r="A44" i="19"/>
  <c r="A74" i="19"/>
  <c r="A100" i="19"/>
  <c r="A55" i="19"/>
  <c r="A95" i="19"/>
  <c r="A38" i="19"/>
  <c r="A40" i="19"/>
  <c r="A70" i="19"/>
  <c r="A80" i="19"/>
  <c r="A110" i="19"/>
  <c r="A154" i="19"/>
  <c r="A158" i="19"/>
  <c r="A225" i="19"/>
  <c r="A45" i="19"/>
  <c r="A101" i="19"/>
  <c r="A106" i="19"/>
  <c r="A146" i="19"/>
  <c r="A168" i="19"/>
  <c r="A157" i="19"/>
  <c r="A232" i="19"/>
  <c r="A256" i="19"/>
  <c r="A280" i="19"/>
  <c r="A207" i="19"/>
  <c r="A143" i="19"/>
  <c r="A147" i="19"/>
  <c r="A159" i="19"/>
  <c r="A237" i="19"/>
  <c r="A181" i="19"/>
  <c r="A244" i="19"/>
  <c r="A261" i="19"/>
  <c r="A268" i="19"/>
  <c r="A285" i="19"/>
  <c r="A218" i="19"/>
  <c r="A54" i="19"/>
  <c r="A144" i="19"/>
  <c r="A170" i="19"/>
  <c r="A192" i="19"/>
  <c r="A292" i="19"/>
  <c r="A226" i="19"/>
  <c r="A238" i="19"/>
  <c r="A250" i="19"/>
  <c r="A262" i="19"/>
  <c r="A274" i="19"/>
  <c r="A286" i="19"/>
  <c r="A298" i="19"/>
  <c r="A224" i="19"/>
  <c r="A236" i="19"/>
  <c r="A248" i="19"/>
  <c r="A260" i="19"/>
  <c r="A272" i="19"/>
  <c r="A284" i="19"/>
  <c r="A296" i="19"/>
  <c r="A254" i="19"/>
  <c r="A266" i="19"/>
  <c r="A228" i="19"/>
  <c r="A240" i="19"/>
  <c r="A264" i="19"/>
  <c r="A276" i="19"/>
  <c r="AK12" i="28" l="1"/>
  <c r="AN9" i="28"/>
  <c r="AM9" i="28"/>
  <c r="AO6" i="28"/>
  <c r="AM7" i="28"/>
  <c r="AK6" i="28"/>
  <c r="H8" i="28"/>
  <c r="H21" i="28"/>
  <c r="H22" i="28"/>
  <c r="H15" i="28"/>
  <c r="H12" i="28"/>
  <c r="H18" i="28"/>
  <c r="H16" i="28"/>
  <c r="H10" i="28"/>
  <c r="H19" i="28"/>
  <c r="H17" i="28"/>
  <c r="H20" i="28"/>
  <c r="H23" i="28"/>
  <c r="H13" i="28"/>
  <c r="H14" i="28"/>
  <c r="H11" i="28"/>
  <c r="P7" i="13"/>
  <c r="P7" i="28"/>
  <c r="F11" i="13"/>
  <c r="F7" i="28"/>
  <c r="F12" i="28"/>
  <c r="F11" i="28"/>
  <c r="F18" i="28"/>
  <c r="F19" i="28"/>
  <c r="F20" i="28"/>
  <c r="F21" i="28"/>
  <c r="F22" i="28"/>
  <c r="F23" i="28"/>
  <c r="F8" i="28"/>
  <c r="F9" i="28"/>
  <c r="F13" i="28"/>
  <c r="F14" i="28"/>
  <c r="F15" i="28"/>
  <c r="F16" i="28"/>
  <c r="F17" i="28"/>
  <c r="AO8" i="28"/>
  <c r="AO11" i="28"/>
  <c r="AK8" i="28"/>
  <c r="AK11" i="28"/>
  <c r="AM11" i="28"/>
  <c r="AO9" i="28"/>
  <c r="AM10" i="28"/>
  <c r="AM8" i="28"/>
  <c r="AK9" i="28"/>
  <c r="S17" i="28"/>
  <c r="AI17" i="28" s="1"/>
  <c r="S16" i="28"/>
  <c r="AI16" i="28" s="1"/>
  <c r="S9" i="28"/>
  <c r="AI12" i="28" s="1"/>
  <c r="S14" i="28"/>
  <c r="AI14" i="28" s="1"/>
  <c r="S15" i="28"/>
  <c r="AI15" i="28" s="1"/>
  <c r="S22" i="28"/>
  <c r="AI22" i="28" s="1"/>
  <c r="S6" i="28"/>
  <c r="S8" i="28"/>
  <c r="AI8" i="28" s="1"/>
  <c r="S13" i="28"/>
  <c r="AI13" i="28" s="1"/>
  <c r="S23" i="28"/>
  <c r="AI23" i="28" s="1"/>
  <c r="S18" i="28"/>
  <c r="AI18" i="28" s="1"/>
  <c r="S19" i="28"/>
  <c r="AI19" i="28" s="1"/>
  <c r="S7" i="28"/>
  <c r="AI6" i="28" s="1"/>
  <c r="S11" i="28"/>
  <c r="F12" i="13"/>
  <c r="F13" i="13"/>
  <c r="H16" i="13"/>
  <c r="H11" i="13"/>
  <c r="H17" i="13"/>
  <c r="H15" i="13"/>
  <c r="H9" i="13"/>
  <c r="H12" i="13"/>
  <c r="H13" i="13"/>
  <c r="P14" i="13"/>
  <c r="P12" i="13"/>
  <c r="P13" i="13"/>
  <c r="P18" i="13"/>
  <c r="P19" i="13"/>
  <c r="P20" i="13"/>
  <c r="P21" i="13"/>
  <c r="P22" i="13"/>
  <c r="P23" i="13"/>
  <c r="N7" i="13"/>
  <c r="N14" i="13"/>
  <c r="N10" i="13"/>
  <c r="N18" i="13"/>
  <c r="N19" i="13"/>
  <c r="N20" i="13"/>
  <c r="N21" i="13"/>
  <c r="N22" i="13"/>
  <c r="N23" i="13"/>
  <c r="N17" i="13"/>
  <c r="N16" i="13"/>
  <c r="N15" i="13"/>
  <c r="N9" i="13"/>
  <c r="N8" i="13"/>
  <c r="N11" i="13"/>
  <c r="N13" i="13"/>
  <c r="N12" i="13"/>
  <c r="M8" i="18"/>
  <c r="A8" i="18" s="1"/>
  <c r="M6" i="18"/>
  <c r="N6" i="13" s="1"/>
  <c r="M8" i="19"/>
  <c r="N8" i="19" s="1"/>
  <c r="A8" i="19" s="1"/>
  <c r="P10" i="13" s="1"/>
  <c r="M6" i="17"/>
  <c r="A6" i="17" s="1"/>
  <c r="L7" i="28" s="1"/>
  <c r="L7" i="13"/>
  <c r="A7" i="16"/>
  <c r="H21" i="13"/>
  <c r="H23" i="13"/>
  <c r="H19" i="13"/>
  <c r="H20" i="13"/>
  <c r="H18" i="13"/>
  <c r="H22" i="13"/>
  <c r="A6" i="15"/>
  <c r="H6" i="28" s="1"/>
  <c r="M7" i="15"/>
  <c r="A7" i="15" s="1"/>
  <c r="M6" i="14"/>
  <c r="A6" i="14" s="1"/>
  <c r="F22" i="13"/>
  <c r="F20" i="13"/>
  <c r="F18" i="13"/>
  <c r="F23" i="13"/>
  <c r="F10" i="13"/>
  <c r="F21" i="13"/>
  <c r="F15" i="13"/>
  <c r="F19" i="13"/>
  <c r="F9" i="13"/>
  <c r="F17" i="13"/>
  <c r="F14" i="13"/>
  <c r="F16" i="13"/>
  <c r="F8" i="13"/>
  <c r="AI9" i="28" l="1"/>
  <c r="D16" i="13"/>
  <c r="J12" i="13"/>
  <c r="J7" i="28"/>
  <c r="J7" i="13"/>
  <c r="AI7" i="28"/>
  <c r="D21" i="28"/>
  <c r="H6" i="13"/>
  <c r="D14" i="13"/>
  <c r="D20" i="28"/>
  <c r="D18" i="13"/>
  <c r="D17" i="13"/>
  <c r="H7" i="13"/>
  <c r="H7" i="28"/>
  <c r="D7" i="28" s="1"/>
  <c r="D11" i="13"/>
  <c r="D13" i="13"/>
  <c r="D18" i="28"/>
  <c r="D22" i="28"/>
  <c r="D9" i="28"/>
  <c r="D23" i="28"/>
  <c r="D17" i="28"/>
  <c r="D16" i="28"/>
  <c r="D12" i="13"/>
  <c r="D19" i="28"/>
  <c r="F7" i="13"/>
  <c r="F6" i="28"/>
  <c r="D6" i="28" s="1"/>
  <c r="F6" i="13"/>
  <c r="D6" i="13" s="1"/>
  <c r="D12" i="28"/>
  <c r="AI11" i="28"/>
  <c r="AI10" i="28"/>
  <c r="D10" i="28" s="1"/>
  <c r="D8" i="28"/>
  <c r="D15" i="28"/>
  <c r="D14" i="28"/>
  <c r="D13" i="28"/>
  <c r="D9" i="13"/>
  <c r="D20" i="13"/>
  <c r="D15" i="13"/>
  <c r="D8" i="13"/>
  <c r="D10" i="13"/>
  <c r="D22" i="13"/>
  <c r="D21" i="13"/>
  <c r="D19" i="13"/>
  <c r="D23" i="13"/>
  <c r="D7" i="13" l="1"/>
  <c r="D11" i="2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<sst xmlns="http://schemas.openxmlformats.org/spreadsheetml/2006/main" count="1183" uniqueCount="326">
  <si>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</si>
  <si>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</si>
  <si>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</si>
  <si>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Kat.2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</si>
  <si>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</si>
  <si>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</si>
  <si>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</si>
  <si>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</si>
  <si>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</si>
  <si>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</si>
  <si>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</si>
  <si>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</si>
  <si>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</si>
  <si>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</si>
  <si>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</si>
  <si>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</si>
  <si>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GANSZCZYK Anna</t>
  </si>
  <si>
    <t>WASILCZUK Beata</t>
  </si>
  <si>
    <t>FITKEVICIENE Audrone</t>
  </si>
  <si>
    <t>POJMAŃSKA Katarzyna</t>
  </si>
  <si>
    <t>WALECKA Wanda</t>
  </si>
  <si>
    <t>SADOWIŃSKA Adriana</t>
  </si>
  <si>
    <t>KARMAN Irene</t>
  </si>
  <si>
    <t>BEDNARSKA Halina</t>
  </si>
  <si>
    <t>MILOVA Tatiana</t>
  </si>
  <si>
    <t xml:space="preserve"> </t>
  </si>
  <si>
    <t>Liczba uczestników:</t>
  </si>
  <si>
    <t>GP Punkty</t>
  </si>
  <si>
    <t>Bonus za rundę</t>
  </si>
  <si>
    <t>Bonus za podium</t>
  </si>
  <si>
    <t>Liczba uczestników połączonych kategorii:</t>
  </si>
  <si>
    <t>Mnożnik za podium</t>
  </si>
  <si>
    <t>miejsce:</t>
  </si>
  <si>
    <t>PABIANICE</t>
  </si>
  <si>
    <t xml:space="preserve"> data:</t>
  </si>
  <si>
    <t>WYNIKI ŁĄCZONYCH KATEGORII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</si>
  <si>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</si>
  <si>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</si>
  <si>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</si>
  <si>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</si>
  <si>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</si>
  <si>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</si>
  <si>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</si>
  <si>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</si>
  <si>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</si>
  <si>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</si>
  <si>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</si>
  <si>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</si>
  <si>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NAZWISKO</t>
  </si>
  <si>
    <t>BYTOMSKIE TOWARZYSTWO SZERMIERCZE</t>
  </si>
  <si>
    <t>POL</t>
  </si>
  <si>
    <t>AKADEMIA SZERMIERKI W-WA</t>
  </si>
  <si>
    <t>BORKOWSKA Halina</t>
  </si>
  <si>
    <t>Feniks Nowy Dwór Mazowiecki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</si>
  <si>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</si>
  <si>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</si>
  <si>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</si>
  <si>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</si>
  <si>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</si>
  <si>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</si>
  <si>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</si>
  <si>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</si>
  <si>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</si>
  <si>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IKS AWF WARSZAWA</t>
  </si>
  <si>
    <t>NIEPOŁOMICE</t>
  </si>
  <si>
    <t xml:space="preserve"> POL</t>
  </si>
  <si>
    <t>AZS AWF KRAKÓW</t>
  </si>
  <si>
    <t>Alex Toruń</t>
  </si>
  <si>
    <t>KATOWICE</t>
  </si>
  <si>
    <t>22-23.10.2022</t>
  </si>
  <si>
    <t>3k1</t>
  </si>
  <si>
    <t>ŚWIDNICA</t>
  </si>
  <si>
    <t>11-12.11.2022</t>
  </si>
  <si>
    <t>KSz WARSZAWIANKA</t>
  </si>
  <si>
    <t>Podium</t>
  </si>
  <si>
    <t>Współczynnik MPW</t>
  </si>
  <si>
    <t>KRAKÓW</t>
  </si>
  <si>
    <t>3-4.12.2022</t>
  </si>
  <si>
    <t>Punkty MPW</t>
  </si>
  <si>
    <t>IKS AWF Warszawa</t>
  </si>
  <si>
    <t>Bytom</t>
  </si>
  <si>
    <t>6k1</t>
  </si>
  <si>
    <t>Nowy Dwór Mazowiecki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</si>
  <si>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</si>
  <si>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</si>
  <si>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</si>
  <si>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</si>
  <si>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</si>
  <si>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</si>
  <si>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</si>
  <si>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</si>
  <si>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</si>
  <si>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</si>
  <si>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Guildford</t>
  </si>
  <si>
    <t>Kiev/Santander</t>
  </si>
  <si>
    <t>25.02.2023</t>
  </si>
  <si>
    <t>Gdańsk</t>
  </si>
  <si>
    <t>15-16.04.2023</t>
  </si>
  <si>
    <t>Paris</t>
  </si>
  <si>
    <t>9 lipca 2022</t>
  </si>
  <si>
    <t>Budapest</t>
  </si>
  <si>
    <t>Turku</t>
  </si>
  <si>
    <t>Madryt</t>
  </si>
  <si>
    <t>Thionville</t>
  </si>
  <si>
    <t xml:space="preserve"> USHER </t>
  </si>
  <si>
    <t xml:space="preserve"> GEORGINA </t>
  </si>
  <si>
    <t xml:space="preserve">  GBR  </t>
  </si>
  <si>
    <t xml:space="preserve">  </t>
  </si>
  <si>
    <t xml:space="preserve"> DE VARGAS HILLA </t>
  </si>
  <si>
    <t xml:space="preserve"> CRISTINA </t>
  </si>
  <si>
    <t xml:space="preserve">  ESP  </t>
  </si>
  <si>
    <t xml:space="preserve"> KERVEADOU </t>
  </si>
  <si>
    <t xml:space="preserve"> NOLWENN </t>
  </si>
  <si>
    <t xml:space="preserve">  FRA  </t>
  </si>
  <si>
    <t xml:space="preserve"> LORENZ </t>
  </si>
  <si>
    <t xml:space="preserve"> THERESE </t>
  </si>
  <si>
    <t xml:space="preserve">  AUT  </t>
  </si>
  <si>
    <t xml:space="preserve"> LAISNEY </t>
  </si>
  <si>
    <t xml:space="preserve"> SANDRA </t>
  </si>
  <si>
    <t xml:space="preserve"> PREAUX </t>
  </si>
  <si>
    <t xml:space="preserve"> VALERIE </t>
  </si>
  <si>
    <t xml:space="preserve"> CHARROY </t>
  </si>
  <si>
    <t xml:space="preserve"> CAROLE </t>
  </si>
  <si>
    <t xml:space="preserve"> TANZMEISTER </t>
  </si>
  <si>
    <t xml:space="preserve"> DOROTHEA </t>
  </si>
  <si>
    <t xml:space="preserve"> DE GROOTE </t>
  </si>
  <si>
    <t xml:space="preserve"> ANNICA </t>
  </si>
  <si>
    <t xml:space="preserve">  SWE  </t>
  </si>
  <si>
    <t xml:space="preserve"> DUCHNOWSKI </t>
  </si>
  <si>
    <t xml:space="preserve"> CLAIRE </t>
  </si>
  <si>
    <t xml:space="preserve"> BOUQUET </t>
  </si>
  <si>
    <t xml:space="preserve"> CAROLINE </t>
  </si>
  <si>
    <t xml:space="preserve"> GURWIC </t>
  </si>
  <si>
    <t xml:space="preserve"> ALEXANE </t>
  </si>
  <si>
    <t xml:space="preserve"> FLEURY </t>
  </si>
  <si>
    <t xml:space="preserve"> CORINNE </t>
  </si>
  <si>
    <t xml:space="preserve">  SUI  </t>
  </si>
  <si>
    <t xml:space="preserve"> STIHL </t>
  </si>
  <si>
    <t xml:space="preserve"> JUDITH </t>
  </si>
  <si>
    <t xml:space="preserve">  GER  </t>
  </si>
  <si>
    <t xml:space="preserve"> THOULESS </t>
  </si>
  <si>
    <t xml:space="preserve"> HELEN </t>
  </si>
  <si>
    <t xml:space="preserve"> CANO DIOSA </t>
  </si>
  <si>
    <t xml:space="preserve"> ROSA MARIA </t>
  </si>
  <si>
    <t xml:space="preserve"> GRAF </t>
  </si>
  <si>
    <t xml:space="preserve"> BETTINA </t>
  </si>
  <si>
    <t xml:space="preserve"> VANDEWALLE </t>
  </si>
  <si>
    <t xml:space="preserve"> NATHALIE </t>
  </si>
  <si>
    <t xml:space="preserve">  BEL  </t>
  </si>
  <si>
    <t xml:space="preserve"> HAUTERVILLE </t>
  </si>
  <si>
    <t xml:space="preserve"> MARLENE </t>
  </si>
  <si>
    <t xml:space="preserve"> BUGALLO OTERO </t>
  </si>
  <si>
    <t xml:space="preserve"> ARACELI </t>
  </si>
  <si>
    <t xml:space="preserve"> TIPPELT </t>
  </si>
  <si>
    <t xml:space="preserve"> SONJA </t>
  </si>
  <si>
    <t xml:space="preserve"> STROHMEYER </t>
  </si>
  <si>
    <t xml:space="preserve"> HILDEGARD </t>
  </si>
  <si>
    <t xml:space="preserve"> EHLERMANN </t>
  </si>
  <si>
    <t xml:space="preserve"> JULIA </t>
  </si>
  <si>
    <t xml:space="preserve"> VAN DER VEEN </t>
  </si>
  <si>
    <t xml:space="preserve"> YNET </t>
  </si>
  <si>
    <t xml:space="preserve">  NED  </t>
  </si>
  <si>
    <t xml:space="preserve"> APPAVOUPOULLE </t>
  </si>
  <si>
    <t xml:space="preserve"> PASCALE </t>
  </si>
  <si>
    <t xml:space="preserve"> FICHTEL </t>
  </si>
  <si>
    <t xml:space="preserve"> MARHEINEKE </t>
  </si>
  <si>
    <t xml:space="preserve"> CAROLIN </t>
  </si>
  <si>
    <t xml:space="preserve"> PAGNY </t>
  </si>
  <si>
    <t xml:space="preserve"> FLORENCE </t>
  </si>
  <si>
    <t xml:space="preserve"> ONIYE </t>
  </si>
  <si>
    <t xml:space="preserve"> MARGARETTE </t>
  </si>
  <si>
    <t xml:space="preserve"> VALAR </t>
  </si>
  <si>
    <t xml:space="preserve"> MARTINA </t>
  </si>
  <si>
    <t xml:space="preserve"> VAN DEN BERG </t>
  </si>
  <si>
    <t xml:space="preserve"> ALICE </t>
  </si>
  <si>
    <t xml:space="preserve"> MAYER </t>
  </si>
  <si>
    <t xml:space="preserve"> BARBARA </t>
  </si>
  <si>
    <t xml:space="preserve"> VALERA SANCHEZ </t>
  </si>
  <si>
    <t xml:space="preserve"> MACARENA </t>
  </si>
  <si>
    <t xml:space="preserve"> CHALON </t>
  </si>
  <si>
    <t xml:space="preserve"> NATALIA </t>
  </si>
  <si>
    <t xml:space="preserve"> BOYKO </t>
  </si>
  <si>
    <t xml:space="preserve"> MARIA </t>
  </si>
  <si>
    <t xml:space="preserve">  ISR  </t>
  </si>
  <si>
    <t xml:space="preserve"> BJORK </t>
  </si>
  <si>
    <t xml:space="preserve"> PIA </t>
  </si>
  <si>
    <t xml:space="preserve"> SKAALID </t>
  </si>
  <si>
    <t xml:space="preserve"> RAGNHILD </t>
  </si>
  <si>
    <t xml:space="preserve">  NOR  </t>
  </si>
  <si>
    <t xml:space="preserve"> KOJO </t>
  </si>
  <si>
    <t xml:space="preserve"> SARI </t>
  </si>
  <si>
    <t xml:space="preserve">  FIN  </t>
  </si>
  <si>
    <t xml:space="preserve"> BONATO </t>
  </si>
  <si>
    <t xml:space="preserve"> ILIANA DIANA </t>
  </si>
  <si>
    <t xml:space="preserve">  ITA  </t>
  </si>
  <si>
    <t xml:space="preserve"> NOVOSELSKA </t>
  </si>
  <si>
    <t xml:space="preserve"> TETIANA </t>
  </si>
  <si>
    <t xml:space="preserve">  UKR  </t>
  </si>
  <si>
    <t xml:space="preserve"> TROLL </t>
  </si>
  <si>
    <t xml:space="preserve"> CHRISTINE </t>
  </si>
  <si>
    <t xml:space="preserve"> HULL </t>
  </si>
  <si>
    <t xml:space="preserve"> NICOLA </t>
  </si>
  <si>
    <t xml:space="preserve"> PRAHA-TSAREHRADSKA </t>
  </si>
  <si>
    <t xml:space="preserve"> NADIIA </t>
  </si>
  <si>
    <t xml:space="preserve"> SCHMID-PFAUS </t>
  </si>
  <si>
    <t xml:space="preserve"> ANJA </t>
  </si>
  <si>
    <t xml:space="preserve"> ANNA </t>
  </si>
  <si>
    <t xml:space="preserve">  POL  </t>
  </si>
  <si>
    <t xml:space="preserve"> POUBLANC-LEDUN </t>
  </si>
  <si>
    <t xml:space="preserve"> MURIEL </t>
  </si>
  <si>
    <t xml:space="preserve"> REIMERS </t>
  </si>
  <si>
    <t xml:space="preserve"> GESCHE </t>
  </si>
  <si>
    <t xml:space="preserve"> HESKETA </t>
  </si>
  <si>
    <t xml:space="preserve"> INGRIDA </t>
  </si>
  <si>
    <t xml:space="preserve">  LAT  </t>
  </si>
  <si>
    <t xml:space="preserve"> HOM </t>
  </si>
  <si>
    <t xml:space="preserve"> ANS </t>
  </si>
  <si>
    <t xml:space="preserve"> GRANT </t>
  </si>
  <si>
    <t xml:space="preserve"> KAREN </t>
  </si>
  <si>
    <t xml:space="preserve"> STRAUB </t>
  </si>
  <si>
    <t xml:space="preserve"> PRESSE </t>
  </si>
  <si>
    <t xml:space="preserve"> SANDRINE </t>
  </si>
  <si>
    <t xml:space="preserve"> ALBERTSON </t>
  </si>
  <si>
    <t xml:space="preserve"> VAZQUEZ CORBACHO </t>
  </si>
  <si>
    <t xml:space="preserve"> ISABEL MARIA </t>
  </si>
  <si>
    <t xml:space="preserve"> BUDDEN </t>
  </si>
  <si>
    <t xml:space="preserve"> SARAH </t>
  </si>
  <si>
    <t xml:space="preserve"> VILLEMONT </t>
  </si>
  <si>
    <t xml:space="preserve"> ESTELLE </t>
  </si>
  <si>
    <t xml:space="preserve"> KATJA </t>
  </si>
  <si>
    <t xml:space="preserve"> CALAMBE </t>
  </si>
  <si>
    <t xml:space="preserve"> CATHERINE </t>
  </si>
  <si>
    <t xml:space="preserve"> ALTKEMPER </t>
  </si>
  <si>
    <t xml:space="preserve"> SUSANN </t>
  </si>
  <si>
    <t xml:space="preserve"> SKOKANOVA </t>
  </si>
  <si>
    <t xml:space="preserve"> DANA </t>
  </si>
  <si>
    <t xml:space="preserve">  CZE  </t>
  </si>
  <si>
    <t xml:space="preserve"> SPEER </t>
  </si>
  <si>
    <t xml:space="preserve"> MANUELA </t>
  </si>
  <si>
    <t xml:space="preserve"> HORI </t>
  </si>
  <si>
    <t xml:space="preserve"> EICHNER-BRUNING </t>
  </si>
  <si>
    <t xml:space="preserve"> VANESSA </t>
  </si>
  <si>
    <t xml:space="preserve"> VINCENT VELGHE </t>
  </si>
  <si>
    <t xml:space="preserve"> FREDERIQUE </t>
  </si>
  <si>
    <t xml:space="preserve"> CLAVOT </t>
  </si>
  <si>
    <t xml:space="preserve"> AXELLE </t>
  </si>
  <si>
    <t xml:space="preserve"> KOS </t>
  </si>
  <si>
    <t xml:space="preserve"> YAROSLAVA </t>
  </si>
  <si>
    <t xml:space="preserve">  SLO  </t>
  </si>
  <si>
    <t xml:space="preserve"> MION </t>
  </si>
  <si>
    <t xml:space="preserve"> ANNA-LISE </t>
  </si>
  <si>
    <t xml:space="preserve">  IRL  </t>
  </si>
  <si>
    <t xml:space="preserve"> WEINHOLTZ </t>
  </si>
  <si>
    <t xml:space="preserve"> ARNOLD </t>
  </si>
  <si>
    <t xml:space="preserve"> MONIKA </t>
  </si>
  <si>
    <t xml:space="preserve">  HUN  </t>
  </si>
  <si>
    <t xml:space="preserve"> KYMALAINEN </t>
  </si>
  <si>
    <t xml:space="preserve"> SIRKKA-LIISA </t>
  </si>
  <si>
    <t xml:space="preserve"> CAVO </t>
  </si>
  <si>
    <t xml:space="preserve"> DONATELLA </t>
  </si>
  <si>
    <t xml:space="preserve"> AUERBACH </t>
  </si>
  <si>
    <t xml:space="preserve"> ANITA </t>
  </si>
  <si>
    <t xml:space="preserve">  DEN  </t>
  </si>
  <si>
    <t xml:space="preserve"> VAN BERGEN </t>
  </si>
  <si>
    <t xml:space="preserve"> NANCY </t>
  </si>
  <si>
    <t xml:space="preserve"> BRUNET </t>
  </si>
  <si>
    <t xml:space="preserve"> MAREVA </t>
  </si>
  <si>
    <t xml:space="preserve"> OLIER </t>
  </si>
  <si>
    <t xml:space="preserve"> VIITA </t>
  </si>
  <si>
    <t xml:space="preserve"> MILI </t>
  </si>
  <si>
    <t xml:space="preserve"> JEDAMZIK </t>
  </si>
  <si>
    <t xml:space="preserve"> TINA </t>
  </si>
  <si>
    <t xml:space="preserve"> WAELLE </t>
  </si>
  <si>
    <t xml:space="preserve"> TORDA </t>
  </si>
  <si>
    <t xml:space="preserve"> MELINDA </t>
  </si>
  <si>
    <t xml:space="preserve"> NIEDERMEIER </t>
  </si>
  <si>
    <t xml:space="preserve"> KARMAN </t>
  </si>
  <si>
    <t xml:space="preserve"> IREN </t>
  </si>
  <si>
    <t xml:space="preserve"> ASQUINI </t>
  </si>
  <si>
    <t xml:space="preserve"> ALESSANDRA </t>
  </si>
  <si>
    <t xml:space="preserve"> ROUSSELOT </t>
  </si>
  <si>
    <t xml:space="preserve"> BELLA </t>
  </si>
  <si>
    <t xml:space="preserve"> PARK-BHASIN </t>
  </si>
  <si>
    <t xml:space="preserve"> OK KYONG </t>
  </si>
  <si>
    <t xml:space="preserve"> WOLFF </t>
  </si>
  <si>
    <t xml:space="preserve"> KRISTINA </t>
  </si>
  <si>
    <t xml:space="preserve"> FOLZ </t>
  </si>
  <si>
    <t xml:space="preserve"> IRIS </t>
  </si>
  <si>
    <t xml:space="preserve"> SCHOBER </t>
  </si>
  <si>
    <t xml:space="preserve"> GRABHER-RHOMBERG </t>
  </si>
  <si>
    <t xml:space="preserve"> ANDREA </t>
  </si>
  <si>
    <t xml:space="preserve"> KASOLYNE DEKANY </t>
  </si>
  <si>
    <t xml:space="preserve"> DORA EMOKE </t>
  </si>
  <si>
    <t xml:space="preserve"> SCHNEIDEWIND </t>
  </si>
  <si>
    <t xml:space="preserve"> GUNDULA </t>
  </si>
  <si>
    <t xml:space="preserve"> LIULCHENKO </t>
  </si>
  <si>
    <t xml:space="preserve"> LARYSA </t>
  </si>
  <si>
    <t xml:space="preserve"> BRAUN </t>
  </si>
  <si>
    <t xml:space="preserve"> MARGRET </t>
  </si>
  <si>
    <t xml:space="preserve"> DITHMAR </t>
  </si>
  <si>
    <t xml:space="preserve"> HEIKE </t>
  </si>
  <si>
    <t xml:space="preserve"> GRUNOW </t>
  </si>
  <si>
    <t xml:space="preserve"> NINA </t>
  </si>
  <si>
    <t xml:space="preserve"> LIVENAIS </t>
  </si>
  <si>
    <t xml:space="preserve"> ANNICK </t>
  </si>
  <si>
    <t xml:space="preserve"> MUNNICH </t>
  </si>
  <si>
    <t xml:space="preserve"> KATHLEEN </t>
  </si>
  <si>
    <t xml:space="preserve"> ONCOY DE FANASCH </t>
  </si>
  <si>
    <t xml:space="preserve"> SONIA </t>
  </si>
  <si>
    <t xml:space="preserve"> CHAUVAT </t>
  </si>
  <si>
    <t xml:space="preserve"> GEETA </t>
  </si>
  <si>
    <t xml:space="preserve"> WIESMULLER </t>
  </si>
  <si>
    <t xml:space="preserve"> ANGELIKA </t>
  </si>
  <si>
    <t xml:space="preserve"> KIRCHHOF </t>
  </si>
  <si>
    <t xml:space="preserve"> SUSANNE </t>
  </si>
  <si>
    <t xml:space="preserve"> LOEHLER </t>
  </si>
  <si>
    <t xml:space="preserve"> BAERBEL </t>
  </si>
  <si>
    <t xml:space="preserve"> NEUMANN </t>
  </si>
  <si>
    <t xml:space="preserve"> KATRIN </t>
  </si>
  <si>
    <t xml:space="preserve"> SCHULZ </t>
  </si>
  <si>
    <t xml:space="preserve"> GERHILD </t>
  </si>
  <si>
    <t xml:space="preserve"> SEIDEL </t>
  </si>
  <si>
    <t xml:space="preserve"> SYLVIA </t>
  </si>
  <si>
    <t xml:space="preserve"> VAN DER SCHUEREN </t>
  </si>
  <si>
    <t xml:space="preserve"> JOKE </t>
  </si>
  <si>
    <t xml:space="preserve">  BEL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</si>
</sst>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8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sz val="9"/>
      <color theme="4"/>
      <name val="Arial"/>
      <family val="2"/>
      <charset val="238"/>
    </font>
    <font>
      <sz val="11"/>
      <color theme="4"/>
      <name val="Agency FB"/>
      <family val="2"/>
    </font>
    <font>
      <sz val="10"/>
      <color theme="4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i/>
      <sz val="11"/>
      <color theme="1"/>
      <name val="Agency FB"/>
      <family val="2"/>
    </font>
    <font>
      <i/>
      <sz val="10"/>
      <name val="Arial"/>
      <family val="2"/>
      <charset val="238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9"/>
      <color rgb="FFFFFFFF"/>
      <name val="Calibri"/>
      <family val="2"/>
    </font>
    <font>
      <sz val="11"/>
      <color rgb="FFBFBFBF"/>
      <name val="Calibri"/>
      <family val="2"/>
    </font>
    <font>
      <i/>
      <sz val="11"/>
      <color rgb="FFFFFFFF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</fills>
  <borders count="3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7">
    <xf numFmtId="0" fontId="0" fillId="0" borderId="0"/>
    <xf numFmtId="0" fontId="7" fillId="3" borderId="0" applyNumberFormat="0" applyBorder="0" applyAlignment="0" applyProtection="0"/>
    <xf numFmtId="0" fontId="3" fillId="0" borderId="0"/>
    <xf numFmtId="0" fontId="2" fillId="13" borderId="0" applyNumberFormat="0" applyBorder="0" applyAlignment="0" applyProtection="0"/>
    <xf numFmtId="0" fontId="2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201">
    <xf numFmtId="0" fontId="0" fillId="0" borderId="0" xfId="0"/>
    <xf numFmtId="0" fontId="7" fillId="3" borderId="0" xfId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2" fillId="4" borderId="0" xfId="0" applyFont="1" applyFill="1"/>
    <xf numFmtId="0" fontId="11" fillId="4" borderId="0" xfId="0" applyFont="1" applyFill="1"/>
    <xf numFmtId="0" fontId="4" fillId="2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6" fillId="7" borderId="11" xfId="0" applyFont="1" applyFill="1" applyBorder="1" applyAlignment="1">
      <alignment horizontal="left"/>
    </xf>
    <xf numFmtId="0" fontId="13" fillId="7" borderId="12" xfId="0" applyFont="1" applyFill="1" applyBorder="1" applyAlignment="1">
      <alignment horizontal="center" vertical="center"/>
    </xf>
    <xf numFmtId="1" fontId="14" fillId="7" borderId="11" xfId="0" applyNumberFormat="1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left"/>
    </xf>
    <xf numFmtId="0" fontId="6" fillId="7" borderId="13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center" vertical="center"/>
    </xf>
    <xf numFmtId="1" fontId="14" fillId="7" borderId="13" xfId="0" applyNumberFormat="1" applyFont="1" applyFill="1" applyBorder="1" applyAlignment="1">
      <alignment horizontal="center" vertical="center"/>
    </xf>
    <xf numFmtId="1" fontId="14" fillId="7" borderId="15" xfId="0" applyNumberFormat="1" applyFont="1" applyFill="1" applyBorder="1" applyAlignment="1">
      <alignment horizontal="center" vertical="center"/>
    </xf>
    <xf numFmtId="0" fontId="0" fillId="7" borderId="0" xfId="0" applyFill="1"/>
    <xf numFmtId="0" fontId="3" fillId="8" borderId="0" xfId="2" applyFill="1"/>
    <xf numFmtId="0" fontId="15" fillId="8" borderId="0" xfId="2" applyFont="1" applyFill="1" applyAlignment="1">
      <alignment horizontal="right" vertical="center"/>
    </xf>
    <xf numFmtId="0" fontId="15" fillId="8" borderId="0" xfId="2" applyFont="1" applyFill="1" applyAlignment="1">
      <alignment horizontal="center" vertical="center"/>
    </xf>
    <xf numFmtId="1" fontId="16" fillId="8" borderId="0" xfId="2" applyNumberFormat="1" applyFont="1" applyFill="1" applyAlignment="1">
      <alignment horizontal="left" vertical="center"/>
    </xf>
    <xf numFmtId="0" fontId="3" fillId="8" borderId="0" xfId="2" applyFill="1" applyAlignment="1">
      <alignment horizontal="center" vertical="center"/>
    </xf>
    <xf numFmtId="0" fontId="3" fillId="7" borderId="0" xfId="2" applyFill="1"/>
    <xf numFmtId="0" fontId="5" fillId="8" borderId="0" xfId="0" applyFont="1" applyFill="1" applyAlignment="1">
      <alignment horizontal="right"/>
    </xf>
    <xf numFmtId="0" fontId="17" fillId="8" borderId="0" xfId="0" applyFont="1" applyFill="1" applyAlignment="1">
      <alignment horizontal="right"/>
    </xf>
    <xf numFmtId="0" fontId="9" fillId="9" borderId="0" xfId="2" applyFont="1" applyFill="1" applyAlignment="1">
      <alignment horizontal="center" vertical="center"/>
    </xf>
    <xf numFmtId="0" fontId="9" fillId="7" borderId="0" xfId="2" applyFont="1" applyFill="1" applyAlignment="1">
      <alignment horizontal="center" vertical="center"/>
    </xf>
    <xf numFmtId="1" fontId="3" fillId="7" borderId="0" xfId="2" applyNumberFormat="1" applyFill="1" applyAlignment="1">
      <alignment horizontal="center" vertical="center"/>
    </xf>
    <xf numFmtId="0" fontId="3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3" fillId="8" borderId="0" xfId="2" applyNumberFormat="1" applyFill="1" applyAlignment="1">
      <alignment horizontal="center" vertical="center"/>
    </xf>
    <xf numFmtId="0" fontId="0" fillId="8" borderId="0" xfId="0" applyFill="1"/>
    <xf numFmtId="0" fontId="7" fillId="3" borderId="16" xfId="1" applyBorder="1" applyAlignment="1">
      <alignment horizontal="center" vertical="center" wrapText="1"/>
    </xf>
    <xf numFmtId="0" fontId="18" fillId="10" borderId="0" xfId="2" applyFont="1" applyFill="1" applyAlignment="1">
      <alignment horizontal="center" vertical="center"/>
    </xf>
    <xf numFmtId="0" fontId="18" fillId="10" borderId="0" xfId="2" applyFont="1" applyFill="1" applyAlignment="1">
      <alignment horizontal="center" vertical="center" wrapText="1"/>
    </xf>
    <xf numFmtId="1" fontId="18" fillId="10" borderId="0" xfId="2" applyNumberFormat="1" applyFont="1" applyFill="1" applyAlignment="1">
      <alignment horizontal="center" vertical="center" wrapText="1"/>
    </xf>
    <xf numFmtId="1" fontId="6" fillId="7" borderId="0" xfId="0" applyNumberFormat="1" applyFont="1" applyFill="1" applyAlignment="1">
      <alignment horizontal="center" vertical="center"/>
    </xf>
    <xf numFmtId="0" fontId="19" fillId="7" borderId="17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0" fillId="8" borderId="0" xfId="2" applyFont="1" applyFill="1" applyAlignment="1">
      <alignment horizontal="center" vertical="center"/>
    </xf>
    <xf numFmtId="2" fontId="20" fillId="8" borderId="0" xfId="2" applyNumberFormat="1" applyFont="1" applyFill="1" applyAlignment="1">
      <alignment horizontal="center" vertical="center"/>
    </xf>
    <xf numFmtId="164" fontId="20" fillId="8" borderId="0" xfId="2" applyNumberFormat="1" applyFont="1" applyFill="1" applyAlignment="1">
      <alignment horizontal="center" vertical="center"/>
    </xf>
    <xf numFmtId="1" fontId="6" fillId="6" borderId="0" xfId="0" applyNumberFormat="1" applyFont="1" applyFill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0" fillId="11" borderId="0" xfId="2" applyFont="1" applyFill="1" applyAlignment="1">
      <alignment horizontal="center" vertical="center"/>
    </xf>
    <xf numFmtId="2" fontId="20" fillId="11" borderId="0" xfId="2" applyNumberFormat="1" applyFont="1" applyFill="1" applyAlignment="1">
      <alignment horizontal="center" vertical="center"/>
    </xf>
    <xf numFmtId="164" fontId="20" fillId="11" borderId="0" xfId="2" applyNumberFormat="1" applyFont="1" applyFill="1" applyAlignment="1">
      <alignment horizontal="center" vertical="center"/>
    </xf>
    <xf numFmtId="0" fontId="10" fillId="7" borderId="0" xfId="2" applyFont="1" applyFill="1"/>
    <xf numFmtId="1" fontId="3" fillId="7" borderId="0" xfId="2" applyNumberFormat="1" applyFill="1"/>
    <xf numFmtId="0" fontId="3" fillId="7" borderId="0" xfId="2" applyFill="1" applyAlignment="1">
      <alignment horizontal="right"/>
    </xf>
    <xf numFmtId="0" fontId="9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1" fillId="7" borderId="0" xfId="2" applyFont="1" applyFill="1"/>
    <xf numFmtId="164" fontId="3" fillId="8" borderId="0" xfId="2" applyNumberFormat="1" applyFill="1"/>
    <xf numFmtId="49" fontId="3" fillId="7" borderId="0" xfId="2" applyNumberFormat="1" applyFill="1"/>
    <xf numFmtId="0" fontId="9" fillId="8" borderId="0" xfId="2" applyFont="1" applyFill="1"/>
    <xf numFmtId="164" fontId="9" fillId="7" borderId="0" xfId="2" applyNumberFormat="1" applyFont="1" applyFill="1"/>
    <xf numFmtId="164" fontId="3" fillId="7" borderId="0" xfId="2" applyNumberFormat="1" applyFill="1"/>
    <xf numFmtId="1" fontId="3" fillId="0" borderId="0" xfId="2" applyNumberFormat="1" applyAlignment="1">
      <alignment horizontal="center"/>
    </xf>
    <xf numFmtId="0" fontId="3" fillId="0" borderId="0" xfId="2"/>
    <xf numFmtId="164" fontId="3" fillId="0" borderId="0" xfId="2" applyNumberFormat="1" applyAlignment="1">
      <alignment horizontal="center"/>
    </xf>
    <xf numFmtId="0" fontId="3" fillId="0" borderId="0" xfId="2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164" fontId="3" fillId="0" borderId="0" xfId="2" applyNumberFormat="1" applyAlignment="1">
      <alignment horizontal="center" vertical="center"/>
    </xf>
    <xf numFmtId="0" fontId="10" fillId="8" borderId="0" xfId="2" applyFont="1" applyFill="1" applyAlignment="1">
      <alignment horizontal="left" vertical="center"/>
    </xf>
    <xf numFmtId="0" fontId="3" fillId="8" borderId="0" xfId="2" applyFill="1" applyAlignment="1">
      <alignment horizontal="left" vertical="center"/>
    </xf>
    <xf numFmtId="164" fontId="3" fillId="7" borderId="0" xfId="2" applyNumberFormat="1" applyFill="1" applyAlignment="1">
      <alignment horizontal="center" vertical="center"/>
    </xf>
    <xf numFmtId="2" fontId="3" fillId="7" borderId="0" xfId="2" applyNumberFormat="1" applyFill="1" applyAlignment="1">
      <alignment horizontal="center" vertical="center"/>
    </xf>
    <xf numFmtId="0" fontId="6" fillId="7" borderId="11" xfId="0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6" fillId="7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23" fillId="4" borderId="0" xfId="0" applyFont="1" applyFill="1"/>
    <xf numFmtId="0" fontId="24" fillId="12" borderId="13" xfId="0" applyFont="1" applyFill="1" applyBorder="1" applyAlignment="1">
      <alignment horizontal="left"/>
    </xf>
    <xf numFmtId="1" fontId="24" fillId="7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vertical="center" wrapText="1"/>
    </xf>
    <xf numFmtId="1" fontId="24" fillId="6" borderId="0" xfId="0" applyNumberFormat="1" applyFont="1" applyFill="1" applyAlignment="1">
      <alignment horizontal="center" vertical="center"/>
    </xf>
    <xf numFmtId="0" fontId="25" fillId="6" borderId="17" xfId="0" applyFont="1" applyFill="1" applyBorder="1" applyAlignment="1">
      <alignment horizontal="center" vertical="center"/>
    </xf>
    <xf numFmtId="0" fontId="26" fillId="6" borderId="0" xfId="0" applyFont="1" applyFill="1" applyAlignment="1">
      <alignment vertical="center" wrapText="1"/>
    </xf>
    <xf numFmtId="0" fontId="8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" fillId="8" borderId="0" xfId="4" applyFill="1"/>
    <xf numFmtId="0" fontId="15" fillId="8" borderId="0" xfId="4" applyFont="1" applyFill="1" applyAlignment="1">
      <alignment horizontal="right" vertical="center"/>
    </xf>
    <xf numFmtId="0" fontId="15" fillId="8" borderId="0" xfId="4" applyFont="1" applyFill="1" applyAlignment="1">
      <alignment horizontal="center" vertical="center"/>
    </xf>
    <xf numFmtId="1" fontId="16" fillId="8" borderId="0" xfId="4" applyNumberFormat="1" applyFont="1" applyFill="1" applyAlignment="1">
      <alignment horizontal="left" vertical="center"/>
    </xf>
    <xf numFmtId="0" fontId="10" fillId="8" borderId="0" xfId="4" applyFont="1" applyFill="1" applyAlignment="1">
      <alignment horizontal="left" vertical="center"/>
    </xf>
    <xf numFmtId="0" fontId="2" fillId="8" borderId="0" xfId="4" applyFill="1" applyAlignment="1">
      <alignment horizontal="left" vertical="center"/>
    </xf>
    <xf numFmtId="0" fontId="2" fillId="8" borderId="0" xfId="4" applyFill="1" applyAlignment="1">
      <alignment horizontal="center" vertical="center"/>
    </xf>
    <xf numFmtId="0" fontId="2" fillId="7" borderId="0" xfId="4" applyFill="1"/>
    <xf numFmtId="0" fontId="9" fillId="9" borderId="0" xfId="4" applyFont="1" applyFill="1" applyAlignment="1">
      <alignment horizontal="center" vertical="center"/>
    </xf>
    <xf numFmtId="0" fontId="9" fillId="7" borderId="0" xfId="4" applyFont="1" applyFill="1" applyAlignment="1">
      <alignment horizontal="center" vertical="center"/>
    </xf>
    <xf numFmtId="1" fontId="2" fillId="7" borderId="0" xfId="4" applyNumberFormat="1" applyFill="1" applyAlignment="1">
      <alignment horizontal="center" vertical="center"/>
    </xf>
    <xf numFmtId="164" fontId="2" fillId="7" borderId="0" xfId="4" applyNumberFormat="1" applyFill="1" applyAlignment="1">
      <alignment horizontal="center" vertical="center"/>
    </xf>
    <xf numFmtId="0" fontId="2" fillId="8" borderId="0" xfId="4" applyFill="1" applyAlignment="1">
      <alignment horizontal="right"/>
    </xf>
    <xf numFmtId="1" fontId="2" fillId="8" borderId="0" xfId="4" applyNumberFormat="1" applyFill="1" applyAlignment="1">
      <alignment horizontal="center" vertical="center"/>
    </xf>
    <xf numFmtId="0" fontId="18" fillId="10" borderId="0" xfId="4" applyFont="1" applyFill="1" applyAlignment="1">
      <alignment horizontal="center" vertical="center"/>
    </xf>
    <xf numFmtId="0" fontId="18" fillId="10" borderId="0" xfId="4" applyFont="1" applyFill="1" applyAlignment="1">
      <alignment horizontal="center" vertical="center" wrapText="1"/>
    </xf>
    <xf numFmtId="1" fontId="18" fillId="10" borderId="0" xfId="4" applyNumberFormat="1" applyFont="1" applyFill="1" applyAlignment="1">
      <alignment horizontal="center" vertical="center" wrapText="1"/>
    </xf>
    <xf numFmtId="0" fontId="20" fillId="8" borderId="0" xfId="4" applyFont="1" applyFill="1" applyAlignment="1">
      <alignment horizontal="center" vertical="center"/>
    </xf>
    <xf numFmtId="2" fontId="20" fillId="8" borderId="0" xfId="4" applyNumberFormat="1" applyFont="1" applyFill="1" applyAlignment="1">
      <alignment horizontal="center" vertical="center"/>
    </xf>
    <xf numFmtId="164" fontId="20" fillId="8" borderId="0" xfId="4" applyNumberFormat="1" applyFont="1" applyFill="1" applyAlignment="1">
      <alignment horizontal="center" vertical="center"/>
    </xf>
    <xf numFmtId="0" fontId="20" fillId="11" borderId="0" xfId="4" applyFont="1" applyFill="1" applyAlignment="1">
      <alignment horizontal="center" vertical="center"/>
    </xf>
    <xf numFmtId="2" fontId="20" fillId="11" borderId="0" xfId="4" applyNumberFormat="1" applyFont="1" applyFill="1" applyAlignment="1">
      <alignment horizontal="center" vertical="center"/>
    </xf>
    <xf numFmtId="164" fontId="20" fillId="11" borderId="0" xfId="4" applyNumberFormat="1" applyFont="1" applyFill="1" applyAlignment="1">
      <alignment horizontal="center" vertical="center"/>
    </xf>
    <xf numFmtId="0" fontId="10" fillId="7" borderId="0" xfId="4" applyFont="1" applyFill="1"/>
    <xf numFmtId="1" fontId="2" fillId="7" borderId="0" xfId="4" applyNumberFormat="1" applyFill="1"/>
    <xf numFmtId="0" fontId="2" fillId="7" borderId="0" xfId="4" applyFill="1" applyAlignment="1">
      <alignment horizontal="right"/>
    </xf>
    <xf numFmtId="0" fontId="9" fillId="7" borderId="0" xfId="4" applyFont="1" applyFill="1"/>
    <xf numFmtId="0" fontId="21" fillId="7" borderId="0" xfId="4" applyFont="1" applyFill="1"/>
    <xf numFmtId="164" fontId="2" fillId="8" borderId="0" xfId="4" applyNumberFormat="1" applyFill="1"/>
    <xf numFmtId="49" fontId="2" fillId="7" borderId="0" xfId="4" applyNumberFormat="1" applyFill="1"/>
    <xf numFmtId="0" fontId="9" fillId="8" borderId="0" xfId="4" applyFont="1" applyFill="1"/>
    <xf numFmtId="164" fontId="9" fillId="7" borderId="0" xfId="4" applyNumberFormat="1" applyFont="1" applyFill="1"/>
    <xf numFmtId="164" fontId="2" fillId="7" borderId="0" xfId="4" applyNumberFormat="1" applyFill="1"/>
    <xf numFmtId="1" fontId="2" fillId="0" borderId="0" xfId="4" applyNumberFormat="1" applyAlignment="1">
      <alignment horizontal="center"/>
    </xf>
    <xf numFmtId="0" fontId="2" fillId="0" borderId="0" xfId="4"/>
    <xf numFmtId="164" fontId="2" fillId="0" borderId="0" xfId="4" applyNumberFormat="1" applyAlignment="1">
      <alignment horizontal="center"/>
    </xf>
    <xf numFmtId="0" fontId="2" fillId="0" borderId="0" xfId="4" applyAlignment="1">
      <alignment horizontal="center" vertical="center"/>
    </xf>
    <xf numFmtId="1" fontId="2" fillId="0" borderId="0" xfId="4" applyNumberFormat="1" applyAlignment="1">
      <alignment horizontal="center" vertical="center"/>
    </xf>
    <xf numFmtId="164" fontId="2" fillId="0" borderId="0" xfId="4" applyNumberFormat="1" applyAlignment="1">
      <alignment horizontal="center" vertical="center"/>
    </xf>
    <xf numFmtId="2" fontId="2" fillId="7" borderId="0" xfId="4" applyNumberFormat="1" applyFill="1" applyAlignment="1">
      <alignment horizontal="center" vertical="center"/>
    </xf>
    <xf numFmtId="0" fontId="27" fillId="4" borderId="0" xfId="0" applyFont="1" applyFill="1"/>
    <xf numFmtId="0" fontId="28" fillId="2" borderId="1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10" fillId="13" borderId="1" xfId="3" applyFont="1" applyBorder="1" applyAlignment="1">
      <alignment horizontal="center" vertical="center" wrapText="1"/>
    </xf>
    <xf numFmtId="0" fontId="10" fillId="13" borderId="9" xfId="3" applyFont="1" applyBorder="1" applyAlignment="1">
      <alignment horizontal="center" vertical="center" wrapText="1"/>
    </xf>
    <xf numFmtId="1" fontId="30" fillId="0" borderId="0" xfId="0" applyNumberFormat="1" applyFont="1" applyAlignment="1">
      <alignment horizontal="center" vertical="center"/>
    </xf>
    <xf numFmtId="2" fontId="14" fillId="7" borderId="11" xfId="0" applyNumberFormat="1" applyFont="1" applyFill="1" applyBorder="1" applyAlignment="1">
      <alignment horizontal="center" vertical="center"/>
    </xf>
    <xf numFmtId="2" fontId="14" fillId="7" borderId="13" xfId="0" applyNumberFormat="1" applyFont="1" applyFill="1" applyBorder="1" applyAlignment="1">
      <alignment horizontal="center" vertical="center"/>
    </xf>
    <xf numFmtId="2" fontId="5" fillId="7" borderId="11" xfId="0" applyNumberFormat="1" applyFont="1" applyFill="1" applyBorder="1" applyAlignment="1">
      <alignment horizontal="center" vertical="center"/>
    </xf>
    <xf numFmtId="2" fontId="14" fillId="7" borderId="15" xfId="0" applyNumberFormat="1" applyFont="1" applyFill="1" applyBorder="1" applyAlignment="1">
      <alignment horizontal="center" vertical="center"/>
    </xf>
    <xf numFmtId="2" fontId="29" fillId="7" borderId="11" xfId="0" applyNumberFormat="1" applyFont="1" applyFill="1" applyBorder="1" applyAlignment="1">
      <alignment horizontal="center" vertical="center"/>
    </xf>
    <xf numFmtId="2" fontId="29" fillId="7" borderId="13" xfId="0" applyNumberFormat="1" applyFont="1" applyFill="1" applyBorder="1" applyAlignment="1">
      <alignment horizontal="center" vertical="center"/>
    </xf>
    <xf numFmtId="2" fontId="29" fillId="7" borderId="15" xfId="0" applyNumberFormat="1" applyFont="1" applyFill="1" applyBorder="1" applyAlignment="1">
      <alignment horizontal="center" vertical="center"/>
    </xf>
    <xf numFmtId="2" fontId="6" fillId="7" borderId="0" xfId="0" applyNumberFormat="1" applyFont="1" applyFill="1" applyAlignment="1">
      <alignment horizontal="center" vertical="center"/>
    </xf>
    <xf numFmtId="2" fontId="6" fillId="6" borderId="0" xfId="0" applyNumberFormat="1" applyFon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2" fontId="2" fillId="0" borderId="0" xfId="4" applyNumberFormat="1" applyAlignment="1">
      <alignment horizontal="center"/>
    </xf>
    <xf numFmtId="14" fontId="8" fillId="8" borderId="0" xfId="5" applyNumberFormat="1" applyFill="1" applyAlignment="1">
      <alignment horizontal="left"/>
    </xf>
    <xf numFmtId="0" fontId="31" fillId="6" borderId="17" xfId="0" applyFont="1" applyFill="1" applyBorder="1" applyAlignment="1">
      <alignment horizontal="center" vertical="center"/>
    </xf>
    <xf numFmtId="0" fontId="32" fillId="6" borderId="0" xfId="0" applyFont="1" applyFill="1" applyAlignment="1">
      <alignment vertical="center" wrapText="1"/>
    </xf>
    <xf numFmtId="0" fontId="1" fillId="8" borderId="0" xfId="2" applyFont="1" applyFill="1"/>
    <xf numFmtId="2" fontId="12" fillId="7" borderId="11" xfId="0" applyNumberFormat="1" applyFont="1" applyFill="1" applyBorder="1" applyAlignment="1">
      <alignment horizontal="center" vertical="center"/>
    </xf>
    <xf numFmtId="0" fontId="33" fillId="15" borderId="0" xfId="0" applyFont="1" applyFill="1" applyAlignment="1">
      <alignment horizontal="left" vertical="center"/>
    </xf>
    <xf numFmtId="0" fontId="34" fillId="15" borderId="0" xfId="0" applyFont="1" applyFill="1" applyAlignment="1">
      <alignment horizontal="right" vertical="center"/>
    </xf>
    <xf numFmtId="0" fontId="34" fillId="15" borderId="0" xfId="0" applyFont="1" applyFill="1" applyAlignment="1">
      <alignment horizontal="center" vertical="center"/>
    </xf>
    <xf numFmtId="0" fontId="33" fillId="15" borderId="0" xfId="0" applyFont="1" applyFill="1" applyAlignment="1">
      <alignment horizontal="center" vertical="center"/>
    </xf>
    <xf numFmtId="2" fontId="33" fillId="15" borderId="0" xfId="0" applyNumberFormat="1" applyFont="1" applyFill="1" applyAlignment="1">
      <alignment horizontal="center" vertical="center"/>
    </xf>
    <xf numFmtId="0" fontId="35" fillId="15" borderId="0" xfId="0" applyFont="1" applyFill="1" applyAlignment="1">
      <alignment horizontal="center" vertical="center" wrapText="1"/>
    </xf>
    <xf numFmtId="0" fontId="36" fillId="15" borderId="0" xfId="0" applyFont="1" applyFill="1" applyAlignment="1">
      <alignment horizontal="center" vertical="center"/>
    </xf>
    <xf numFmtId="0" fontId="37" fillId="15" borderId="0" xfId="0" applyFont="1" applyFill="1" applyAlignment="1">
      <alignment horizontal="left" vertical="center"/>
    </xf>
    <xf numFmtId="0" fontId="33" fillId="0" borderId="0" xfId="0" applyFont="1" applyAlignment="1">
      <alignment horizontal="center" vertical="center"/>
    </xf>
    <xf numFmtId="2" fontId="33" fillId="0" borderId="0" xfId="0" applyNumberFormat="1" applyFont="1" applyAlignment="1">
      <alignment horizontal="center" vertical="center"/>
    </xf>
    <xf numFmtId="2" fontId="1" fillId="8" borderId="0" xfId="2" applyNumberFormat="1" applyFont="1" applyFill="1"/>
    <xf numFmtId="0" fontId="1" fillId="7" borderId="0" xfId="2" applyFont="1" applyFill="1"/>
    <xf numFmtId="2" fontId="1" fillId="7" borderId="0" xfId="2" applyNumberFormat="1" applyFont="1" applyFill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8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33" fillId="15" borderId="0" xfId="0" applyFont="1" applyFill="1" applyAlignment="1">
      <alignment horizontal="center" vertical="center"/>
    </xf>
    <xf numFmtId="0" fontId="8" fillId="8" borderId="0" xfId="6" applyFill="1" applyAlignment="1">
      <alignment horizontal="left" vertical="center"/>
    </xf>
    <xf numFmtId="0" fontId="10" fillId="13" borderId="26" xfId="3" applyFont="1" applyBorder="1" applyAlignment="1">
      <alignment horizontal="center" vertical="center"/>
    </xf>
    <xf numFmtId="0" fontId="10" fillId="13" borderId="27" xfId="3" applyFont="1" applyBorder="1" applyAlignment="1">
      <alignment horizontal="center" vertical="center"/>
    </xf>
    <xf numFmtId="0" fontId="22" fillId="4" borderId="0" xfId="0" applyFont="1" applyFill="1" applyAlignment="1">
      <alignment horizontal="center" vertical="center" wrapText="1"/>
    </xf>
    <xf numFmtId="0" fontId="0" fillId="14" borderId="18" xfId="0" applyFill="1" applyBorder="1" applyAlignment="1">
      <alignment wrapText="1"/>
    </xf>
    <xf numFmtId="0" fontId="0" fillId="14" borderId="19" xfId="0" applyFill="1" applyBorder="1" applyAlignment="1">
      <alignment wrapText="1"/>
    </xf>
    <xf numFmtId="0" fontId="0" fillId="14" borderId="28" xfId="0" applyFill="1" applyBorder="1" applyAlignment="1">
      <alignment wrapText="1"/>
    </xf>
    <xf numFmtId="0" fontId="0" fillId="14" borderId="21" xfId="0" applyFill="1" applyBorder="1" applyAlignment="1">
      <alignment wrapText="1"/>
    </xf>
    <xf numFmtId="0" fontId="0" fillId="14" borderId="0" xfId="0" applyFill="1" applyAlignment="1">
      <alignment wrapText="1"/>
    </xf>
    <xf numFmtId="0" fontId="0" fillId="14" borderId="29" xfId="0" applyFill="1" applyBorder="1" applyAlignment="1">
      <alignment wrapText="1"/>
    </xf>
    <xf numFmtId="0" fontId="0" fillId="14" borderId="30" xfId="0" applyFill="1" applyBorder="1" applyAlignment="1">
      <alignment wrapText="1"/>
    </xf>
    <xf numFmtId="0" fontId="0" fillId="14" borderId="31" xfId="0" applyFill="1" applyBorder="1" applyAlignment="1">
      <alignment wrapText="1"/>
    </xf>
    <xf numFmtId="0" fontId="0" fillId="14" borderId="32" xfId="0" applyFill="1" applyBorder="1" applyAlignment="1">
      <alignment wrapText="1"/>
    </xf>
    <xf numFmtId="0" fontId="28" fillId="2" borderId="5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8" fillId="15" borderId="0" xfId="6" applyFill="1" applyBorder="1" applyAlignment="1"/>
    <xf numFmtId="0" fontId="0" fillId="15" borderId="0" xfId="0" applyFill="1" applyAlignment="1">
      <alignment horizontal="left"/>
    </xf>
  </cellXfs>
  <cellStyles count="7">
    <cellStyle name="20% — akcent 1" xfId="3" builtinId="30"/>
    <cellStyle name="Akcent 1" xfId="1" builtinId="29"/>
    <cellStyle name="Hiperłącze" xfId="5" builtinId="8"/>
    <cellStyle name="Hyperlink" xfId="6" xr:uid="{00000000-000B-0000-0000-000008000000}"/>
    <cellStyle name="Normal 2" xfId="2" xr:uid="{A0C5B794-07DF-4486-9021-334F7E2E1851}"/>
    <cellStyle name="Normal 2 2" xfId="4" xr:uid="{FDD65B2C-3C60-4129-BDDD-EE0C53F83BBF}"/>
    <cellStyle name="Normalny" xfId="0" builtinId="0"/>
  </cellStyles>
  <dxfs count="2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BDCC997B6E8B40508D1A77492201A9C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EA766E9B52164B49B9EE28559B7FE60B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9B6ADC78FC974063BB079D6F68261E4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13A1E86D6D8C42CBB612452343AF6DA1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F11C3B2072FC4D47B4E3F60919F866B4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162DF74D9DCA4C17929082818123C2EC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siteTemplate.php?lang=en&amp;Organisme=santanderfencing&amp;Event=evf_epee_circuit_santander&amp;page=competitions.php&amp;fbclid=IwAR1Y03XIzd9obFCP4EbgAdiBfzHNwVr8-B80nMVzhoSNniJmSvThBA13DF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engarde-service.com/competition/e3f/efcv/womenepeev2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0EC5-A26B-4FC3-9667-336334CFD186}">
  <dimension ref="A1:U39"/>
  <sheetViews>
    <sheetView tabSelected="1" workbookViewId="0">
      <selection activeCell="B28" sqref="B28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4" customWidth="1"/>
  </cols>
  <sheetData>
    <row r="1" spans="1:21" ht="13.5" thickBot="1" x14ac:dyDescent="0.25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x14ac:dyDescent="0.2">
      <c r="A2" s="3"/>
      <c r="B2" s="4" t="s">
        <v>0</v>
      </c>
      <c r="C2" s="3"/>
      <c r="D2" s="75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R2" s="167" t="s">
        <v>2</v>
      </c>
      <c r="S2" s="168"/>
      <c r="T2" s="168"/>
      <c r="U2" s="169"/>
    </row>
    <row r="3" spans="1:21" x14ac:dyDescent="0.2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70"/>
      <c r="S3" s="171"/>
      <c r="T3" s="171"/>
      <c r="U3" s="172"/>
    </row>
    <row r="4" spans="1:21" ht="24.75" customHeight="1" x14ac:dyDescent="0.2">
      <c r="A4" s="162" t="s">
        <v>4</v>
      </c>
      <c r="B4" s="164" t="s">
        <v>5</v>
      </c>
      <c r="C4" s="164" t="s">
        <v>6</v>
      </c>
      <c r="D4" s="164" t="s">
        <v>7</v>
      </c>
      <c r="E4" s="160" t="s">
        <v>8</v>
      </c>
      <c r="F4" s="161"/>
      <c r="G4" s="160" t="s">
        <v>9</v>
      </c>
      <c r="H4" s="161"/>
      <c r="I4" s="160" t="s">
        <v>10</v>
      </c>
      <c r="J4" s="161"/>
      <c r="K4" s="160" t="s">
        <v>11</v>
      </c>
      <c r="L4" s="161"/>
      <c r="M4" s="160" t="s">
        <v>12</v>
      </c>
      <c r="N4" s="161"/>
      <c r="O4" s="160" t="s">
        <v>13</v>
      </c>
      <c r="P4" s="161"/>
      <c r="R4" s="173"/>
      <c r="S4" s="174"/>
      <c r="T4" s="174"/>
      <c r="U4" s="175"/>
    </row>
    <row r="5" spans="1:21" ht="18" customHeight="1" x14ac:dyDescent="0.2">
      <c r="A5" s="163"/>
      <c r="B5" s="165"/>
      <c r="C5" s="165"/>
      <c r="D5" s="166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4.85" customHeight="1" x14ac:dyDescent="0.2">
      <c r="A6" s="8">
        <f>ROW()-5</f>
        <v>1</v>
      </c>
      <c r="B6" s="9" t="s">
        <v>16</v>
      </c>
      <c r="C6" s="71"/>
      <c r="D6" s="146">
        <f>SUM(F6,H6,J6,L6,N6,P6)-MIN(F6,H6,J6,L6,N6)</f>
        <v>366.60010499723433</v>
      </c>
      <c r="E6" s="10">
        <f>_xlfn.XLOOKUP($B6,'GP1'!$C$6:$C$101,'GP1'!$B$6:$B$101,"")</f>
        <v>1</v>
      </c>
      <c r="F6" s="11">
        <f>_xlfn.XLOOKUP(E6,'GP1'!$B$6:$B$55,'GP1'!$A$6:$A$55,0)</f>
        <v>82.980246132766666</v>
      </c>
      <c r="G6" s="10">
        <f>_xlfn.XLOOKUP($B6,'GP2'!$C$6:$C$101,'GP2'!$B$6:$B$101,"")</f>
        <v>1</v>
      </c>
      <c r="H6" s="11">
        <f>_xlfn.XLOOKUP(G6,'GP2'!$B$6:$B$55,'GP2'!$A$6:$A$55,0)</f>
        <v>82.980246132766666</v>
      </c>
      <c r="I6" s="10">
        <f>_xlfn.XLOOKUP($B6,'GP3'!$C$6:$C$101,'GP3'!$B$6:$B$101,"")</f>
        <v>1</v>
      </c>
      <c r="J6" s="11">
        <f>_xlfn.XLOOKUP(I6,'GP3'!$B$6:$B$55,'GP3'!$A$6:$A$55,0)</f>
        <v>96.354085335489259</v>
      </c>
      <c r="K6" s="10">
        <f>_xlfn.XLOOKUP($B6,'GP4'!$C$6:$C$101,'GP4'!$B$6:$B$101,"")</f>
        <v>2</v>
      </c>
      <c r="L6" s="11">
        <f>_xlfn.XLOOKUP(K6,'GP4'!$B$6:$B$55,'GP4'!$A$6:$A$55,0)</f>
        <v>37.73793949684304</v>
      </c>
      <c r="M6" s="10">
        <f>_xlfn.XLOOKUP($B6,'GP5'!$C$6:$C$101,'GP5'!$B$6:$B$101,"")</f>
        <v>1</v>
      </c>
      <c r="N6" s="11">
        <f>_xlfn.XLOOKUP(M6,'GP5'!$B$6:$B$55,'GP5'!$A$6:$A$55,0)</f>
        <v>59</v>
      </c>
      <c r="O6" s="10">
        <f>_xlfn.XLOOKUP(B6,MPW!C$6:C$101,MPW!B$6:B$101,"")</f>
        <v>2</v>
      </c>
      <c r="P6" s="16">
        <f>_xlfn.XLOOKUP(O6,MPW!$B$6:$B$55,MPW!$A$6:$A$55,0)</f>
        <v>45.285527396211648</v>
      </c>
    </row>
    <row r="7" spans="1:21" ht="14.85" customHeight="1" x14ac:dyDescent="0.2">
      <c r="A7" s="8">
        <f>ROW()-5</f>
        <v>2</v>
      </c>
      <c r="B7" s="12" t="s">
        <v>17</v>
      </c>
      <c r="C7" s="13"/>
      <c r="D7" s="146">
        <f>SUM(F7,H7,J7,L7,N7,P7)-MIN(F7,H7,J7,L7,N7)</f>
        <v>282.24141699143001</v>
      </c>
      <c r="E7" s="14" t="str">
        <f>_xlfn.XLOOKUP($B7,'GP1'!$C$6:$C$101,'GP1'!$B$6:$B$101,"")</f>
        <v/>
      </c>
      <c r="F7" s="15">
        <f>_xlfn.XLOOKUP(E7,'GP1'!$B$6:$B$55,'GP1'!$A$6:$A$55,0)</f>
        <v>0</v>
      </c>
      <c r="G7" s="10">
        <f>_xlfn.XLOOKUP($B7,'GP2'!$C$6:$C$101,'GP2'!$B$6:$B$101,"")</f>
        <v>2</v>
      </c>
      <c r="H7" s="11">
        <f>_xlfn.XLOOKUP(G7,'GP2'!$B$6:$B$55,'GP2'!$A$6:$A$55,0)</f>
        <v>37.73793949684304</v>
      </c>
      <c r="I7" s="10">
        <f>_xlfn.XLOOKUP($B7,'GP3'!$C$6:$C$101,'GP3'!$B$6:$B$101,"")</f>
        <v>2</v>
      </c>
      <c r="J7" s="11">
        <f>_xlfn.XLOOKUP(I7,'GP3'!$B$6:$B$55,'GP3'!$A$6:$A$55,0)</f>
        <v>61.946936002500301</v>
      </c>
      <c r="K7" s="10">
        <f>_xlfn.XLOOKUP($B7,'GP4'!$C$6:$C$101,'GP4'!$B$6:$B$101,"")</f>
        <v>1</v>
      </c>
      <c r="L7" s="11">
        <f>_xlfn.XLOOKUP(K7,'GP4'!$B$6:$B$55,'GP4'!$A$6:$A$55,0)</f>
        <v>82.980246132766666</v>
      </c>
      <c r="M7" s="10" t="str">
        <f>_xlfn.XLOOKUP($B7,'GP5'!$C$6:$C$101,'GP5'!$B$6:$B$101,"")</f>
        <v/>
      </c>
      <c r="N7" s="11">
        <f>_xlfn.XLOOKUP(M7,'GP5'!$B$6:$B$55,'GP5'!$A$6:$A$55,0)</f>
        <v>0</v>
      </c>
      <c r="O7" s="10">
        <f>_xlfn.XLOOKUP(B7,MPW!C$6:C$101,MPW!B$6:B$101,"")</f>
        <v>1</v>
      </c>
      <c r="P7" s="16">
        <f>_xlfn.XLOOKUP(O7,MPW!$B$6:$B$55,MPW!$A$6:$A$55,0)</f>
        <v>99.57629535932</v>
      </c>
    </row>
    <row r="8" spans="1:21" ht="15.75" customHeight="1" x14ac:dyDescent="0.2">
      <c r="A8" s="8">
        <f>ROW()-5</f>
        <v>3</v>
      </c>
      <c r="B8" s="12" t="s">
        <v>19</v>
      </c>
      <c r="C8" s="13"/>
      <c r="D8" s="146">
        <f>SUM(F8,H8,J8,L8,N8,P8)-MIN(F8,H8,J8,L8,N8)</f>
        <v>37.73793949684304</v>
      </c>
      <c r="E8" s="14">
        <f>_xlfn.XLOOKUP($B8,'GP1'!$C$6:$C$101,'GP1'!$B$6:$B$101,"")</f>
        <v>2</v>
      </c>
      <c r="F8" s="15">
        <f>_xlfn.XLOOKUP(E8,'GP1'!$B$6:$B$55,'GP1'!$A$6:$A$55,0)</f>
        <v>37.73793949684304</v>
      </c>
      <c r="G8" s="10" t="str">
        <f>_xlfn.XLOOKUP($B8,'GP2'!$C$6:$C$101,'GP2'!$B$6:$B$101,"")</f>
        <v/>
      </c>
      <c r="H8" s="11">
        <f>_xlfn.XLOOKUP(G8,'GP2'!$B$6:$B$55,'GP2'!$A$6:$A$55,0)</f>
        <v>0</v>
      </c>
      <c r="I8" s="10" t="str">
        <f>_xlfn.XLOOKUP($B8,'GP3'!$C$6:$C$101,'GP3'!$B$6:$B$101,"")</f>
        <v/>
      </c>
      <c r="J8" s="11">
        <f>_xlfn.XLOOKUP(I8,'GP3'!$B$6:$B$55,'GP3'!$A$6:$A$55,0)</f>
        <v>0</v>
      </c>
      <c r="K8" s="10" t="str">
        <f>_xlfn.XLOOKUP($B8,'GP4'!$C$6:$C$101,'GP4'!$B$6:$B$101,"")</f>
        <v/>
      </c>
      <c r="L8" s="11">
        <f>_xlfn.XLOOKUP(K8,'GP4'!$B$6:$B$55,'GP4'!$A$6:$A$55,0)</f>
        <v>0</v>
      </c>
      <c r="M8" s="10" t="str">
        <f>_xlfn.XLOOKUP($B8,'GP5'!$C$6:$C$101,'GP5'!$B$6:$B$101,"")</f>
        <v/>
      </c>
      <c r="N8" s="11">
        <f>_xlfn.XLOOKUP(M8,'GP5'!$B$6:$B$55,'GP5'!$A$6:$A$55,0)</f>
        <v>0</v>
      </c>
      <c r="O8" s="10" t="str">
        <f>_xlfn.XLOOKUP(B8,MPW!C$6:C$101,MPW!B$6:B$101,"")</f>
        <v/>
      </c>
      <c r="P8" s="16">
        <f>_xlfn.XLOOKUP(O8,MPW!$B$6:$B$55,MPW!$A$6:$A$55,0)</f>
        <v>0</v>
      </c>
    </row>
    <row r="9" spans="1:21" ht="14.85" customHeight="1" x14ac:dyDescent="0.2">
      <c r="A9" s="8">
        <f>ROW()-5</f>
        <v>4</v>
      </c>
      <c r="B9" s="12" t="s">
        <v>24</v>
      </c>
      <c r="C9" s="13"/>
      <c r="D9" s="146">
        <f>SUM(F9,H9,J9,L9,N9,P9)-MIN(F9,H9,J9,L9,N9)</f>
        <v>35.407149332988958</v>
      </c>
      <c r="E9" s="14" t="str">
        <f>_xlfn.XLOOKUP($B9,'GP1'!$C$6:$C$101,'GP1'!$B$6:$B$101,"")</f>
        <v/>
      </c>
      <c r="F9" s="15">
        <f>_xlfn.XLOOKUP(E9,'GP1'!$B$6:$B$55,'GP1'!$A$6:$A$55,0)</f>
        <v>0</v>
      </c>
      <c r="G9" s="10" t="str">
        <f>_xlfn.XLOOKUP($B9,'GP2'!$C$6:$C$101,'GP2'!$B$6:$B$101,"")</f>
        <v/>
      </c>
      <c r="H9" s="11">
        <f>_xlfn.XLOOKUP(G9,'GP2'!$B$6:$B$55,'GP2'!$A$6:$A$55,0)</f>
        <v>0</v>
      </c>
      <c r="I9" s="10">
        <f>_xlfn.XLOOKUP($B9,'GP3'!$C$6:$C$101,'GP3'!$B$6:$B$101,"")</f>
        <v>3</v>
      </c>
      <c r="J9" s="11">
        <f>_xlfn.XLOOKUP(I9,'GP3'!$B$6:$B$55,'GP3'!$A$6:$A$55,0)</f>
        <v>35.407149332988958</v>
      </c>
      <c r="K9" s="10" t="str">
        <f>_xlfn.XLOOKUP($B9,'GP4'!$C$6:$C$101,'GP4'!$B$6:$B$101,"")</f>
        <v/>
      </c>
      <c r="L9" s="11">
        <f>_xlfn.XLOOKUP(K9,'GP4'!$B$6:$B$55,'GP4'!$A$6:$A$55,0)</f>
        <v>0</v>
      </c>
      <c r="M9" s="10" t="str">
        <f>_xlfn.XLOOKUP($B9,'GP5'!$C$6:$C$101,'GP5'!$B$6:$B$101,"")</f>
        <v/>
      </c>
      <c r="N9" s="11">
        <f>_xlfn.XLOOKUP(M9,'GP5'!$B$6:$B$55,'GP5'!$A$6:$A$55,0)</f>
        <v>0</v>
      </c>
      <c r="O9" s="10" t="str">
        <f>_xlfn.XLOOKUP(B9,MPW!C$6:C$101,MPW!B$6:B$101,"")</f>
        <v/>
      </c>
      <c r="P9" s="16">
        <f>_xlfn.XLOOKUP(O9,MPW!$B$6:$B$55,MPW!$A$6:$A$55,0)</f>
        <v>0</v>
      </c>
    </row>
    <row r="10" spans="1:21" ht="14.85" customHeight="1" x14ac:dyDescent="0.2">
      <c r="A10" s="8">
        <f>ROW()-5</f>
        <v>5</v>
      </c>
      <c r="B10" s="12" t="s">
        <v>21</v>
      </c>
      <c r="C10" s="13"/>
      <c r="D10" s="146">
        <f>SUM(F10,H10,J10,L10,N10,P10)-MIN(F10,H10,J10,L10,N10)</f>
        <v>33.807272055043818</v>
      </c>
      <c r="E10" s="14" t="str">
        <f>_xlfn.XLOOKUP($B10,'GP1'!$C$6:$C$101,'GP1'!$B$6:$B$101,"")</f>
        <v/>
      </c>
      <c r="F10" s="15">
        <f>_xlfn.XLOOKUP(E10,'GP1'!$B$6:$B$55,'GP1'!$A$6:$A$55,0)</f>
        <v>0</v>
      </c>
      <c r="G10" s="10" t="str">
        <f>_xlfn.XLOOKUP($B10,'GP2'!$C$6:$C$101,'GP2'!$B$6:$B$101,"")</f>
        <v/>
      </c>
      <c r="H10" s="11">
        <f>_xlfn.XLOOKUP(G10,'GP2'!$B$6:$B$55,'GP2'!$A$6:$A$55,0)</f>
        <v>0</v>
      </c>
      <c r="I10" s="10">
        <f>_xlfn.XLOOKUP($B10,'GP3'!$C$6:$C$101,'GP3'!$B$6:$B$101,"")</f>
        <v>4</v>
      </c>
      <c r="J10" s="11">
        <f>_xlfn.XLOOKUP(I10,'GP3'!$B$6:$B$55,'GP3'!$A$6:$A$55,0)</f>
        <v>22.088424891014924</v>
      </c>
      <c r="K10" s="10">
        <f>_xlfn.XLOOKUP($B10,'GP4'!$C$6:$C$101,'GP4'!$B$6:$B$101,"")</f>
        <v>3</v>
      </c>
      <c r="L10" s="11">
        <f>_xlfn.XLOOKUP(K10,'GP4'!$B$6:$B$55,'GP4'!$A$6:$A$55,0)</f>
        <v>5.3267487109222245</v>
      </c>
      <c r="M10" s="10" t="str">
        <f>_xlfn.XLOOKUP($B10,'GP5'!$C$6:$C$101,'GP5'!$B$6:$B$101,"")</f>
        <v/>
      </c>
      <c r="N10" s="11">
        <f>_xlfn.XLOOKUP(M10,'GP5'!$B$6:$B$55,'GP5'!$A$6:$A$55,0)</f>
        <v>0</v>
      </c>
      <c r="O10" s="10">
        <f>_xlfn.XLOOKUP(B10,MPW!C$6:C$101,MPW!B$6:B$101,"")</f>
        <v>3</v>
      </c>
      <c r="P10" s="16">
        <f>_xlfn.XLOOKUP(O10,MPW!$B$6:$B$55,MPW!$A$6:$A$55,0)</f>
        <v>6.3920984531066694</v>
      </c>
    </row>
    <row r="11" spans="1:21" ht="14.85" customHeight="1" x14ac:dyDescent="0.2">
      <c r="A11" s="8">
        <f>ROW()-5</f>
        <v>6</v>
      </c>
      <c r="B11" s="76" t="s">
        <v>20</v>
      </c>
      <c r="C11" s="13"/>
      <c r="D11" s="146">
        <f>SUM(F11,H11,J11,L11,N11,P11)-MIN(F11,H11,J11,L11,N11)</f>
        <v>33.110868021002943</v>
      </c>
      <c r="E11" s="14">
        <f>_xlfn.XLOOKUP($B11,'GP1'!$C$6:$C$101,'GP1'!$B$6:$B$101,"")</f>
        <v>3</v>
      </c>
      <c r="F11" s="15">
        <f>_xlfn.XLOOKUP(E11,'GP1'!$B$6:$B$55,'GP1'!$A$6:$A$55,0)</f>
        <v>5.3267487109222245</v>
      </c>
      <c r="G11" s="10">
        <f>_xlfn.XLOOKUP($B11,'GP2'!$C$6:$C$101,'GP2'!$B$6:$B$101,"")</f>
        <v>3</v>
      </c>
      <c r="H11" s="11">
        <f>_xlfn.XLOOKUP(G11,'GP2'!$B$6:$B$55,'GP2'!$A$6:$A$55,0)</f>
        <v>5.3267487109222245</v>
      </c>
      <c r="I11" s="10">
        <f>_xlfn.XLOOKUP($B11,'GP3'!$C$6:$C$101,'GP3'!$B$6:$B$101,"")</f>
        <v>5</v>
      </c>
      <c r="J11" s="11">
        <f>_xlfn.XLOOKUP(I11,'GP3'!$B$6:$B$55,'GP3'!$A$6:$A$55,0)</f>
        <v>1</v>
      </c>
      <c r="K11" s="10" t="str">
        <f>_xlfn.XLOOKUP($B11,'GP4'!$C$6:$C$101,'GP4'!$B$6:$B$101,"")</f>
        <v>3k1</v>
      </c>
      <c r="L11" s="11">
        <f>_xlfn.XLOOKUP(K11,'GP4'!$B$6:$B$55,'GP4'!$A$6:$A$55,0)</f>
        <v>5.3267487109222245</v>
      </c>
      <c r="M11" s="10" t="str">
        <f>_xlfn.XLOOKUP($B11,'GP5'!$C$6:$C$101,'GP5'!$B$6:$B$101,"")</f>
        <v>3k1</v>
      </c>
      <c r="N11" s="11">
        <f>_xlfn.XLOOKUP(M11,'GP5'!$B$6:$B$55,'GP5'!$A$6:$A$55,0)</f>
        <v>15.930621888236271</v>
      </c>
      <c r="O11" s="10" t="str">
        <f>_xlfn.XLOOKUP(B11,MPW!C$6:C$101,MPW!B$6:B$101,"")</f>
        <v>6k1</v>
      </c>
      <c r="P11" s="16">
        <f>_xlfn.XLOOKUP(O11,MPW!$B$6:$B$55,MPW!$A$6:$A$55,0)</f>
        <v>1.2</v>
      </c>
    </row>
    <row r="12" spans="1:21" ht="14.85" customHeight="1" x14ac:dyDescent="0.2">
      <c r="A12" s="8">
        <f>ROW()-5</f>
        <v>7</v>
      </c>
      <c r="B12" s="12" t="s">
        <v>18</v>
      </c>
      <c r="C12" s="72"/>
      <c r="D12" s="146">
        <f>SUM(F12,H12,J12,L12,N12,P12)-MIN(F12,H12,J12,L12,N12)</f>
        <v>0</v>
      </c>
      <c r="E12" s="14" t="str">
        <f>_xlfn.XLOOKUP($B12,'GP1'!$C$6:$C$101,'GP1'!$B$6:$B$101,"")</f>
        <v/>
      </c>
      <c r="F12" s="15">
        <f>_xlfn.XLOOKUP(E12,'GP1'!$B$6:$B$55,'GP1'!$A$6:$A$55,0)</f>
        <v>0</v>
      </c>
      <c r="G12" s="10" t="str">
        <f>_xlfn.XLOOKUP($B12,'GP2'!$C$6:$C$101,'GP2'!$B$6:$B$101,"")</f>
        <v/>
      </c>
      <c r="H12" s="11">
        <f>_xlfn.XLOOKUP(G12,'GP2'!$B$6:$B$55,'GP2'!$A$6:$A$55,0)</f>
        <v>0</v>
      </c>
      <c r="I12" s="10" t="str">
        <f>_xlfn.XLOOKUP($B12,'GP3'!$C$6:$C$101,'GP3'!$B$6:$B$101,"")</f>
        <v/>
      </c>
      <c r="J12" s="11">
        <f>_xlfn.XLOOKUP(I12,'GP3'!$B$6:$B$55,'GP3'!$A$6:$A$55,0)</f>
        <v>0</v>
      </c>
      <c r="K12" s="10" t="str">
        <f>_xlfn.XLOOKUP($B12,'GP4'!$C$6:$C$101,'GP4'!$B$6:$B$101,"")</f>
        <v/>
      </c>
      <c r="L12" s="11">
        <f>_xlfn.XLOOKUP(K12,'GP4'!$B$6:$B$55,'GP4'!$A$6:$A$55,0)</f>
        <v>0</v>
      </c>
      <c r="M12" s="10" t="str">
        <f>_xlfn.XLOOKUP($B12,'GP5'!$C$6:$C$101,'GP5'!$B$6:$B$101,"")</f>
        <v/>
      </c>
      <c r="N12" s="11">
        <f>_xlfn.XLOOKUP(M12,'GP5'!$B$6:$B$55,'GP5'!$A$6:$A$55,0)</f>
        <v>0</v>
      </c>
      <c r="O12" s="10" t="str">
        <f>_xlfn.XLOOKUP(B12,MPW!C$6:C$101,MPW!B$6:B$101,"")</f>
        <v/>
      </c>
      <c r="P12" s="16">
        <f>_xlfn.XLOOKUP(O12,MPW!$B$6:$B$55,MPW!$A$6:$A$55,0)</f>
        <v>0</v>
      </c>
    </row>
    <row r="13" spans="1:21" ht="14.85" customHeight="1" x14ac:dyDescent="0.2">
      <c r="A13" s="8">
        <f>ROW()-5</f>
        <v>8</v>
      </c>
      <c r="B13" s="12" t="s">
        <v>22</v>
      </c>
      <c r="C13" s="13"/>
      <c r="D13" s="146">
        <f>SUM(F13,H13,J13,L13,N13,P13)-MIN(F13,H13,J13,L13,N13)</f>
        <v>0</v>
      </c>
      <c r="E13" s="14" t="str">
        <f>_xlfn.XLOOKUP($B13,'GP1'!$C$6:$C$101,'GP1'!$B$6:$B$101,"")</f>
        <v/>
      </c>
      <c r="F13" s="15">
        <f>_xlfn.XLOOKUP(E13,'GP1'!$B$6:$B$55,'GP1'!$A$6:$A$55,0)</f>
        <v>0</v>
      </c>
      <c r="G13" s="10" t="str">
        <f>_xlfn.XLOOKUP($B13,'GP2'!$C$6:$C$101,'GP2'!$B$6:$B$101,"")</f>
        <v/>
      </c>
      <c r="H13" s="11">
        <f>_xlfn.XLOOKUP(G13,'GP2'!$B$6:$B$55,'GP2'!$A$6:$A$55,0)</f>
        <v>0</v>
      </c>
      <c r="I13" s="10" t="str">
        <f>_xlfn.XLOOKUP($B13,'GP3'!$C$6:$C$101,'GP3'!$B$6:$B$101,"")</f>
        <v/>
      </c>
      <c r="J13" s="11">
        <f>_xlfn.XLOOKUP(I13,'GP3'!$B$6:$B$55,'GP3'!$A$6:$A$55,0)</f>
        <v>0</v>
      </c>
      <c r="K13" s="10" t="str">
        <f>_xlfn.XLOOKUP($B13,'GP4'!$C$6:$C$101,'GP4'!$B$6:$B$101,"")</f>
        <v/>
      </c>
      <c r="L13" s="11">
        <f>_xlfn.XLOOKUP(K13,'GP4'!$B$6:$B$55,'GP4'!$A$6:$A$55,0)</f>
        <v>0</v>
      </c>
      <c r="M13" s="10" t="str">
        <f>_xlfn.XLOOKUP($B13,'GP5'!$C$6:$C$101,'GP5'!$B$6:$B$101,"")</f>
        <v/>
      </c>
      <c r="N13" s="11">
        <f>_xlfn.XLOOKUP(M13,'GP5'!$B$6:$B$55,'GP5'!$A$6:$A$55,0)</f>
        <v>0</v>
      </c>
      <c r="O13" s="10" t="str">
        <f>_xlfn.XLOOKUP(B13,MPW!C$6:C$101,MPW!B$6:B$101,"")</f>
        <v/>
      </c>
      <c r="P13" s="16">
        <f>_xlfn.XLOOKUP(O13,MPW!$B$6:$B$55,MPW!$A$6:$A$55,0)</f>
        <v>0</v>
      </c>
    </row>
    <row r="14" spans="1:21" ht="14.85" customHeight="1" x14ac:dyDescent="0.2">
      <c r="A14" s="8">
        <f>ROW()-5</f>
        <v>9</v>
      </c>
      <c r="B14" s="12" t="s">
        <v>23</v>
      </c>
      <c r="C14" s="13"/>
      <c r="D14" s="146">
        <f>SUM(F14,H14,J14,L14,N14,P14)-MIN(F14,H14,J14,L14,N14)</f>
        <v>0</v>
      </c>
      <c r="E14" s="14" t="str">
        <f>_xlfn.XLOOKUP($B14,'GP1'!$C$6:$C$101,'GP1'!$B$6:$B$101,"")</f>
        <v/>
      </c>
      <c r="F14" s="15">
        <f>_xlfn.XLOOKUP(E14,'GP1'!$B$6:$B$55,'GP1'!$A$6:$A$55,0)</f>
        <v>0</v>
      </c>
      <c r="G14" s="10" t="str">
        <f>_xlfn.XLOOKUP($B14,'GP2'!$C$6:$C$101,'GP2'!$B$6:$B$101,"")</f>
        <v/>
      </c>
      <c r="H14" s="11">
        <f>_xlfn.XLOOKUP(G14,'GP2'!$B$6:$B$55,'GP2'!$A$6:$A$55,0)</f>
        <v>0</v>
      </c>
      <c r="I14" s="10" t="str">
        <f>_xlfn.XLOOKUP($B14,'GP3'!$C$6:$C$101,'GP3'!$B$6:$B$101,"")</f>
        <v/>
      </c>
      <c r="J14" s="11">
        <f>_xlfn.XLOOKUP(I14,'GP3'!$B$6:$B$55,'GP3'!$A$6:$A$55,0)</f>
        <v>0</v>
      </c>
      <c r="K14" s="10" t="str">
        <f>_xlfn.XLOOKUP($B14,'GP4'!$C$6:$C$101,'GP4'!$B$6:$B$101,"")</f>
        <v/>
      </c>
      <c r="L14" s="11">
        <f>_xlfn.XLOOKUP(K14,'GP4'!$B$6:$B$55,'GP4'!$A$6:$A$55,0)</f>
        <v>0</v>
      </c>
      <c r="M14" s="10" t="str">
        <f>_xlfn.XLOOKUP($B14,'GP5'!$C$6:$C$101,'GP5'!$B$6:$B$101,"")</f>
        <v/>
      </c>
      <c r="N14" s="11">
        <f>_xlfn.XLOOKUP(M14,'GP5'!$B$6:$B$55,'GP5'!$A$6:$A$55,0)</f>
        <v>0</v>
      </c>
      <c r="O14" s="10" t="str">
        <f>_xlfn.XLOOKUP(B14,MPW!C$6:C$101,MPW!B$6:B$101,"")</f>
        <v/>
      </c>
      <c r="P14" s="16">
        <f>_xlfn.XLOOKUP(O14,MPW!$B$6:$B$55,MPW!$A$6:$A$55,0)</f>
        <v>0</v>
      </c>
    </row>
    <row r="15" spans="1:21" ht="14.85" customHeight="1" x14ac:dyDescent="0.2">
      <c r="A15" s="8">
        <f>ROW()-5</f>
        <v>10</v>
      </c>
      <c r="B15" s="12"/>
      <c r="C15" s="13"/>
      <c r="D15" s="146">
        <f>SUM(F15,H15,J15,L15,N15,P15)-MIN(F15,H15,J15,L15,N15)</f>
        <v>0</v>
      </c>
      <c r="E15" s="14">
        <f>_xlfn.XLOOKUP($B15,'GP1'!$C$6:$C$101,'GP1'!$B$6:$B$101,"")</f>
        <v>0</v>
      </c>
      <c r="F15" s="15">
        <f>_xlfn.XLOOKUP(E15,'GP1'!$B$6:$B$55,'GP1'!$A$6:$A$55,0)</f>
        <v>0</v>
      </c>
      <c r="G15" s="10">
        <f>_xlfn.XLOOKUP($B15,'GP2'!$C$6:$C$101,'GP2'!$B$6:$B$101,"")</f>
        <v>0</v>
      </c>
      <c r="H15" s="11">
        <f>_xlfn.XLOOKUP(G15,'GP2'!$B$6:$B$55,'GP2'!$A$6:$A$55,0)</f>
        <v>0</v>
      </c>
      <c r="I15" s="10" t="str">
        <f>_xlfn.XLOOKUP($B15,'GP3'!$C$6:$C$101,'GP3'!$B$6:$B$101,"")</f>
        <v/>
      </c>
      <c r="J15" s="11">
        <f>_xlfn.XLOOKUP(I15,'GP3'!$B$6:$B$55,'GP3'!$A$6:$A$55,0)</f>
        <v>0</v>
      </c>
      <c r="K15" s="10" t="str">
        <f>_xlfn.XLOOKUP($B15,'GP4'!$C$6:$C$101,'GP4'!$B$6:$B$101,"")</f>
        <v/>
      </c>
      <c r="L15" s="11">
        <f>_xlfn.XLOOKUP(K15,'GP4'!$B$6:$B$55,'GP4'!$A$6:$A$55,0)</f>
        <v>0</v>
      </c>
      <c r="M15" s="10" t="str">
        <f>_xlfn.XLOOKUP($B15,'GP5'!$C$6:$C$101,'GP5'!$B$6:$B$101,"")</f>
        <v/>
      </c>
      <c r="N15" s="11">
        <f>_xlfn.XLOOKUP(M15,'GP5'!$B$6:$B$55,'GP5'!$A$6:$A$55,0)</f>
        <v>0</v>
      </c>
      <c r="O15" s="10" t="str">
        <f>_xlfn.XLOOKUP(B15,MPW!C$6:C$101,MPW!B$6:B$101,"")</f>
        <v/>
      </c>
      <c r="P15" s="16">
        <f>_xlfn.XLOOKUP(O15,MPW!$B$6:$B$55,MPW!$A$6:$A$55,0)</f>
        <v>0</v>
      </c>
    </row>
    <row r="16" spans="1:21" ht="14.85" customHeight="1" x14ac:dyDescent="0.2">
      <c r="A16" s="8">
        <f>ROW()-5</f>
        <v>11</v>
      </c>
      <c r="B16" s="12"/>
      <c r="C16" s="13"/>
      <c r="D16" s="146">
        <f>SUM(F16,H16,J16,L16,N16,P16)-MIN(F16,H16,J16,L16,N16)</f>
        <v>0</v>
      </c>
      <c r="E16" s="14">
        <f>_xlfn.XLOOKUP($B16,'GP1'!$C$6:$C$101,'GP1'!$B$6:$B$101,"")</f>
        <v>0</v>
      </c>
      <c r="F16" s="15">
        <f>_xlfn.XLOOKUP(E16,'GP1'!$B$6:$B$55,'GP1'!$A$6:$A$55,0)</f>
        <v>0</v>
      </c>
      <c r="G16" s="10">
        <f>_xlfn.XLOOKUP($B16,'GP2'!$C$6:$C$101,'GP2'!$B$6:$B$101,"")</f>
        <v>0</v>
      </c>
      <c r="H16" s="11">
        <f>_xlfn.XLOOKUP(G16,'GP2'!$B$6:$B$55,'GP2'!$A$6:$A$55,0)</f>
        <v>0</v>
      </c>
      <c r="I16" s="10" t="str">
        <f>_xlfn.XLOOKUP($B16,'GP3'!$C$6:$C$101,'GP3'!$B$6:$B$101,"")</f>
        <v/>
      </c>
      <c r="J16" s="11">
        <f>_xlfn.XLOOKUP(I16,'GP3'!$B$6:$B$55,'GP3'!$A$6:$A$55,0)</f>
        <v>0</v>
      </c>
      <c r="K16" s="10" t="str">
        <f>_xlfn.XLOOKUP($B16,'GP4'!$C$6:$C$101,'GP4'!$B$6:$B$101,"")</f>
        <v/>
      </c>
      <c r="L16" s="11">
        <f>_xlfn.XLOOKUP(K16,'GP4'!$B$6:$B$55,'GP4'!$A$6:$A$55,0)</f>
        <v>0</v>
      </c>
      <c r="M16" s="10" t="str">
        <f>_xlfn.XLOOKUP($B16,'GP5'!$C$6:$C$101,'GP5'!$B$6:$B$101,"")</f>
        <v/>
      </c>
      <c r="N16" s="11">
        <f>_xlfn.XLOOKUP(M16,'GP5'!$B$6:$B$55,'GP5'!$A$6:$A$55,0)</f>
        <v>0</v>
      </c>
      <c r="O16" s="10" t="str">
        <f>_xlfn.XLOOKUP(B16,MPW!C$6:C$101,MPW!B$6:B$101,"")</f>
        <v/>
      </c>
      <c r="P16" s="16">
        <f>_xlfn.XLOOKUP(O16,MPW!$B$6:$B$55,MPW!$A$6:$A$55,0)</f>
        <v>0</v>
      </c>
    </row>
    <row r="17" spans="1:16" ht="14.85" customHeight="1" x14ac:dyDescent="0.2">
      <c r="A17" s="8">
        <f>ROW()-5</f>
        <v>12</v>
      </c>
      <c r="B17" s="12"/>
      <c r="C17" s="13"/>
      <c r="D17" s="146">
        <f>SUM(F17,H17,J17,L17,N17,P17)-MIN(F17,H17,J17,L17,N17)</f>
        <v>0</v>
      </c>
      <c r="E17" s="14">
        <f>_xlfn.XLOOKUP($B17,'GP1'!$C$6:$C$101,'GP1'!$B$6:$B$101,"")</f>
        <v>0</v>
      </c>
      <c r="F17" s="15">
        <f>_xlfn.XLOOKUP(E17,'GP1'!$B$6:$B$55,'GP1'!$A$6:$A$55,0)</f>
        <v>0</v>
      </c>
      <c r="G17" s="10">
        <f>_xlfn.XLOOKUP($B17,'GP2'!$C$6:$C$101,'GP2'!$B$6:$B$101,"")</f>
        <v>0</v>
      </c>
      <c r="H17" s="11">
        <f>_xlfn.XLOOKUP(G17,'GP2'!$B$6:$B$55,'GP2'!$A$6:$A$55,0)</f>
        <v>0</v>
      </c>
      <c r="I17" s="10" t="str">
        <f>_xlfn.XLOOKUP($B17,'GP3'!$C$6:$C$101,'GP3'!$B$6:$B$101,"")</f>
        <v/>
      </c>
      <c r="J17" s="11">
        <f>_xlfn.XLOOKUP(I17,'GP3'!$B$6:$B$55,'GP3'!$A$6:$A$55,0)</f>
        <v>0</v>
      </c>
      <c r="K17" s="10" t="str">
        <f>_xlfn.XLOOKUP($B17,'GP4'!$C$6:$C$101,'GP4'!$B$6:$B$101,"")</f>
        <v/>
      </c>
      <c r="L17" s="11">
        <f>_xlfn.XLOOKUP(K17,'GP4'!$B$6:$B$55,'GP4'!$A$6:$A$55,0)</f>
        <v>0</v>
      </c>
      <c r="M17" s="10" t="str">
        <f>_xlfn.XLOOKUP($B17,'GP5'!$C$6:$C$101,'GP5'!$B$6:$B$101,"")</f>
        <v/>
      </c>
      <c r="N17" s="11">
        <f>_xlfn.XLOOKUP(M17,'GP5'!$B$6:$B$55,'GP5'!$A$6:$A$55,0)</f>
        <v>0</v>
      </c>
      <c r="O17" s="10" t="str">
        <f>_xlfn.XLOOKUP(B17,MPW!C$6:C$101,MPW!B$6:B$101,"")</f>
        <v/>
      </c>
      <c r="P17" s="16">
        <f>_xlfn.XLOOKUP(O17,MPW!$B$6:$B$55,MPW!$A$6:$A$55,0)</f>
        <v>0</v>
      </c>
    </row>
    <row r="18" spans="1:16" ht="14.85" customHeight="1" x14ac:dyDescent="0.2">
      <c r="A18" s="8">
        <f>ROW()-5</f>
        <v>13</v>
      </c>
      <c r="B18" s="12" t="s">
        <v>25</v>
      </c>
      <c r="C18" s="13"/>
      <c r="D18" s="146">
        <f>SUM(F18,H18,J18,L18,N18,P18)-MIN(F18,H18,J18,L18,N18)</f>
        <v>0</v>
      </c>
      <c r="E18" s="14" t="str">
        <f>_xlfn.XLOOKUP($B18,'GP1'!$C$6:$C$101,'GP1'!$B$6:$B$101,"")</f>
        <v/>
      </c>
      <c r="F18" s="15">
        <f>_xlfn.XLOOKUP(E18,'GP1'!$B$6:$B$55,'GP1'!$A$6:$A$55,0)</f>
        <v>0</v>
      </c>
      <c r="G18" s="10" t="str">
        <f>_xlfn.XLOOKUP($B18,'GP2'!$C$6:$C$101,'GP2'!$B$6:$B$101,"")</f>
        <v/>
      </c>
      <c r="H18" s="11">
        <f>_xlfn.XLOOKUP(G18,'GP2'!$B$6:$B$55,'GP2'!$A$6:$A$55,0)</f>
        <v>0</v>
      </c>
      <c r="I18" s="10" t="str">
        <f>_xlfn.XLOOKUP($B18,'GP3'!$C$6:$C$101,'GP3'!$B$6:$B$101,"")</f>
        <v/>
      </c>
      <c r="J18" s="11">
        <f>_xlfn.XLOOKUP(I18,'GP3'!$B$6:$B$55,'GP3'!$A$6:$A$55,0)</f>
        <v>0</v>
      </c>
      <c r="K18" s="10" t="str">
        <f>_xlfn.XLOOKUP($B18,'GP4'!$C$6:$C$101,'GP4'!$B$6:$B$101,"")</f>
        <v/>
      </c>
      <c r="L18" s="11">
        <f>_xlfn.XLOOKUP(K18,'GP4'!$B$6:$B$55,'GP4'!$A$6:$A$55,0)</f>
        <v>0</v>
      </c>
      <c r="M18" s="10" t="str">
        <f>_xlfn.XLOOKUP($B18,'GP5'!$C$6:$C$101,'GP5'!$B$6:$B$101,"")</f>
        <v/>
      </c>
      <c r="N18" s="11">
        <f>_xlfn.XLOOKUP(M18,'GP5'!$B$6:$B$55,'GP5'!$A$6:$A$55,0)</f>
        <v>0</v>
      </c>
      <c r="O18" s="10" t="str">
        <f>_xlfn.XLOOKUP(B18,MPW!C$6:C$101,MPW!B$6:B$101,"")</f>
        <v/>
      </c>
      <c r="P18" s="16">
        <f>_xlfn.XLOOKUP(O18,MPW!$B$6:$B$55,MPW!$A$6:$A$55,0)</f>
        <v>0</v>
      </c>
    </row>
    <row r="19" spans="1:16" ht="14.85" customHeight="1" x14ac:dyDescent="0.2">
      <c r="A19" s="8">
        <f>ROW()-5</f>
        <v>14</v>
      </c>
      <c r="B19" s="12" t="s">
        <v>25</v>
      </c>
      <c r="C19" s="13"/>
      <c r="D19" s="146">
        <f>SUM(F19,H19,J19,L19,N19,P19)-MIN(F19,H19,J19,L19,N19)</f>
        <v>0</v>
      </c>
      <c r="E19" s="14" t="str">
        <f>_xlfn.XLOOKUP($B19,'GP1'!$C$6:$C$101,'GP1'!$B$6:$B$101,"")</f>
        <v/>
      </c>
      <c r="F19" s="15">
        <f>_xlfn.XLOOKUP(E19,'GP1'!$B$6:$B$55,'GP1'!$A$6:$A$55,0)</f>
        <v>0</v>
      </c>
      <c r="G19" s="10" t="str">
        <f>_xlfn.XLOOKUP($B19,'GP2'!$C$6:$C$101,'GP2'!$B$6:$B$101,"")</f>
        <v/>
      </c>
      <c r="H19" s="11">
        <f>_xlfn.XLOOKUP(G19,'GP2'!$B$6:$B$55,'GP2'!$A$6:$A$55,0)</f>
        <v>0</v>
      </c>
      <c r="I19" s="10" t="str">
        <f>_xlfn.XLOOKUP($B19,'GP3'!$C$6:$C$101,'GP3'!$B$6:$B$101,"")</f>
        <v/>
      </c>
      <c r="J19" s="11">
        <f>_xlfn.XLOOKUP(I19,'GP3'!$B$6:$B$55,'GP3'!$A$6:$A$55,0)</f>
        <v>0</v>
      </c>
      <c r="K19" s="10" t="str">
        <f>_xlfn.XLOOKUP($B19,'GP4'!$C$6:$C$101,'GP4'!$B$6:$B$101,"")</f>
        <v/>
      </c>
      <c r="L19" s="11">
        <f>_xlfn.XLOOKUP(K19,'GP4'!$B$6:$B$55,'GP4'!$A$6:$A$55,0)</f>
        <v>0</v>
      </c>
      <c r="M19" s="10" t="str">
        <f>_xlfn.XLOOKUP($B19,'GP5'!$C$6:$C$101,'GP5'!$B$6:$B$101,"")</f>
        <v/>
      </c>
      <c r="N19" s="11">
        <f>_xlfn.XLOOKUP(M19,'GP5'!$B$6:$B$55,'GP5'!$A$6:$A$55,0)</f>
        <v>0</v>
      </c>
      <c r="O19" s="10" t="str">
        <f>_xlfn.XLOOKUP(B19,MPW!C$6:C$101,MPW!B$6:B$101,"")</f>
        <v/>
      </c>
      <c r="P19" s="16">
        <f>_xlfn.XLOOKUP(O19,MPW!$B$6:$B$55,MPW!$A$6:$A$55,0)</f>
        <v>0</v>
      </c>
    </row>
    <row r="20" spans="1:16" ht="14.85" customHeight="1" x14ac:dyDescent="0.2">
      <c r="A20" s="8">
        <f>ROW()-5</f>
        <v>15</v>
      </c>
      <c r="B20" s="12" t="s">
        <v>25</v>
      </c>
      <c r="C20" s="13"/>
      <c r="D20" s="146">
        <f>SUM(F20,H20,J20,L20,N20,P20)-MIN(F20,H20,J20,L20,N20)</f>
        <v>0</v>
      </c>
      <c r="E20" s="14" t="str">
        <f>_xlfn.XLOOKUP($B20,'GP1'!$C$6:$C$101,'GP1'!$B$6:$B$101,"")</f>
        <v/>
      </c>
      <c r="F20" s="15">
        <f>_xlfn.XLOOKUP(E20,'GP1'!$B$6:$B$55,'GP1'!$A$6:$A$55,0)</f>
        <v>0</v>
      </c>
      <c r="G20" s="10" t="str">
        <f>_xlfn.XLOOKUP($B20,'GP2'!$C$6:$C$101,'GP2'!$B$6:$B$101,"")</f>
        <v/>
      </c>
      <c r="H20" s="11">
        <f>_xlfn.XLOOKUP(G20,'GP2'!$B$6:$B$55,'GP2'!$A$6:$A$55,0)</f>
        <v>0</v>
      </c>
      <c r="I20" s="10" t="str">
        <f>_xlfn.XLOOKUP($B20,'GP3'!$C$6:$C$101,'GP3'!$B$6:$B$101,"")</f>
        <v/>
      </c>
      <c r="J20" s="11">
        <f>_xlfn.XLOOKUP(I20,'GP3'!$B$6:$B$55,'GP3'!$A$6:$A$55,0)</f>
        <v>0</v>
      </c>
      <c r="K20" s="10" t="str">
        <f>_xlfn.XLOOKUP($B20,'GP4'!$C$6:$C$101,'GP4'!$B$6:$B$101,"")</f>
        <v/>
      </c>
      <c r="L20" s="11">
        <f>_xlfn.XLOOKUP(K20,'GP4'!$B$6:$B$55,'GP4'!$A$6:$A$55,0)</f>
        <v>0</v>
      </c>
      <c r="M20" s="10" t="str">
        <f>_xlfn.XLOOKUP($B20,'GP5'!$C$6:$C$101,'GP5'!$B$6:$B$101,"")</f>
        <v/>
      </c>
      <c r="N20" s="11">
        <f>_xlfn.XLOOKUP(M20,'GP5'!$B$6:$B$55,'GP5'!$A$6:$A$55,0)</f>
        <v>0</v>
      </c>
      <c r="O20" s="10" t="str">
        <f>_xlfn.XLOOKUP(B20,MPW!C$6:C$101,MPW!B$6:B$101,"")</f>
        <v/>
      </c>
      <c r="P20" s="16">
        <f>_xlfn.XLOOKUP(O20,MPW!$B$6:$B$55,MPW!$A$6:$A$55,0)</f>
        <v>0</v>
      </c>
    </row>
    <row r="21" spans="1:16" ht="14.85" customHeight="1" x14ac:dyDescent="0.2">
      <c r="A21" s="8">
        <f>ROW()-5</f>
        <v>16</v>
      </c>
      <c r="B21" s="12" t="s">
        <v>25</v>
      </c>
      <c r="C21" s="13"/>
      <c r="D21" s="146">
        <f>SUM(F21,H21,J21,L21,N21,P21)-MIN(F21,H21,J21,L21,N21)</f>
        <v>0</v>
      </c>
      <c r="E21" s="14" t="str">
        <f>_xlfn.XLOOKUP($B21,'GP1'!$C$6:$C$101,'GP1'!$B$6:$B$101,"")</f>
        <v/>
      </c>
      <c r="F21" s="15">
        <f>_xlfn.XLOOKUP(E21,'GP1'!$B$6:$B$55,'GP1'!$A$6:$A$55,0)</f>
        <v>0</v>
      </c>
      <c r="G21" s="10" t="str">
        <f>_xlfn.XLOOKUP($B21,'GP2'!$C$6:$C$101,'GP2'!$B$6:$B$101,"")</f>
        <v/>
      </c>
      <c r="H21" s="11">
        <f>_xlfn.XLOOKUP(G21,'GP2'!$B$6:$B$55,'GP2'!$A$6:$A$55,0)</f>
        <v>0</v>
      </c>
      <c r="I21" s="10" t="str">
        <f>_xlfn.XLOOKUP($B21,'GP3'!$C$6:$C$101,'GP3'!$B$6:$B$101,"")</f>
        <v/>
      </c>
      <c r="J21" s="11">
        <f>_xlfn.XLOOKUP(I21,'GP3'!$B$6:$B$55,'GP3'!$A$6:$A$55,0)</f>
        <v>0</v>
      </c>
      <c r="K21" s="10" t="str">
        <f>_xlfn.XLOOKUP($B21,'GP4'!$C$6:$C$101,'GP4'!$B$6:$B$101,"")</f>
        <v/>
      </c>
      <c r="L21" s="11">
        <f>_xlfn.XLOOKUP(K21,'GP4'!$B$6:$B$55,'GP4'!$A$6:$A$55,0)</f>
        <v>0</v>
      </c>
      <c r="M21" s="10" t="str">
        <f>_xlfn.XLOOKUP($B21,'GP5'!$C$6:$C$101,'GP5'!$B$6:$B$101,"")</f>
        <v/>
      </c>
      <c r="N21" s="11">
        <f>_xlfn.XLOOKUP(M21,'GP5'!$B$6:$B$55,'GP5'!$A$6:$A$55,0)</f>
        <v>0</v>
      </c>
      <c r="O21" s="10" t="str">
        <f>_xlfn.XLOOKUP(B21,MPW!C$6:C$101,MPW!B$6:B$101,"")</f>
        <v/>
      </c>
      <c r="P21" s="16">
        <f>_xlfn.XLOOKUP(O21,MPW!$B$6:$B$55,MPW!$A$6:$A$55,0)</f>
        <v>0</v>
      </c>
    </row>
    <row r="22" spans="1:16" ht="14.85" customHeight="1" x14ac:dyDescent="0.2">
      <c r="A22" s="8">
        <f>ROW()-5</f>
        <v>17</v>
      </c>
      <c r="B22" s="12" t="s">
        <v>25</v>
      </c>
      <c r="C22" s="13"/>
      <c r="D22" s="146">
        <f>SUM(F22,H22,J22,L22,N22,P22)-MIN(F22,H22,J22,L22,N22)</f>
        <v>0</v>
      </c>
      <c r="E22" s="14" t="str">
        <f>_xlfn.XLOOKUP($B22,'GP1'!$C$6:$C$101,'GP1'!$B$6:$B$101,"")</f>
        <v/>
      </c>
      <c r="F22" s="15">
        <f>_xlfn.XLOOKUP(E22,'GP1'!$B$6:$B$55,'GP1'!$A$6:$A$55,0)</f>
        <v>0</v>
      </c>
      <c r="G22" s="10" t="str">
        <f>_xlfn.XLOOKUP($B22,'GP2'!$C$6:$C$101,'GP2'!$B$6:$B$101,"")</f>
        <v/>
      </c>
      <c r="H22" s="11">
        <f>_xlfn.XLOOKUP(G22,'GP2'!$B$6:$B$55,'GP2'!$A$6:$A$55,0)</f>
        <v>0</v>
      </c>
      <c r="I22" s="10" t="str">
        <f>_xlfn.XLOOKUP($B22,'GP3'!$C$6:$C$101,'GP3'!$B$6:$B$101,"")</f>
        <v/>
      </c>
      <c r="J22" s="11">
        <f>_xlfn.XLOOKUP(I22,'GP3'!$B$6:$B$55,'GP3'!$A$6:$A$55,0)</f>
        <v>0</v>
      </c>
      <c r="K22" s="10" t="str">
        <f>_xlfn.XLOOKUP($B22,'GP4'!$C$6:$C$101,'GP4'!$B$6:$B$101,"")</f>
        <v/>
      </c>
      <c r="L22" s="11">
        <f>_xlfn.XLOOKUP(K22,'GP4'!$B$6:$B$55,'GP4'!$A$6:$A$55,0)</f>
        <v>0</v>
      </c>
      <c r="M22" s="10" t="str">
        <f>_xlfn.XLOOKUP($B22,'GP5'!$C$6:$C$101,'GP5'!$B$6:$B$101,"")</f>
        <v/>
      </c>
      <c r="N22" s="11">
        <f>_xlfn.XLOOKUP(M22,'GP5'!$B$6:$B$55,'GP5'!$A$6:$A$55,0)</f>
        <v>0</v>
      </c>
      <c r="O22" s="10" t="str">
        <f>_xlfn.XLOOKUP(B22,MPW!C$6:C$101,MPW!B$6:B$101,"")</f>
        <v/>
      </c>
      <c r="P22" s="16">
        <f>_xlfn.XLOOKUP(O22,MPW!$B$6:$B$55,MPW!$A$6:$A$55,0)</f>
        <v>0</v>
      </c>
    </row>
    <row r="23" spans="1:16" ht="14.85" customHeight="1" x14ac:dyDescent="0.2">
      <c r="A23" s="8">
        <f>ROW()-5</f>
        <v>18</v>
      </c>
      <c r="B23" s="12" t="s">
        <v>25</v>
      </c>
      <c r="C23" s="13"/>
      <c r="D23" s="146">
        <f>SUM(F23,H23,J23,L23,N23,P23)-MIN(F23,H23,J23,L23,N23)</f>
        <v>0</v>
      </c>
      <c r="E23" s="14" t="str">
        <f>_xlfn.XLOOKUP($B23,'GP1'!$C$6:$C$101,'GP1'!$B$6:$B$101,"")</f>
        <v/>
      </c>
      <c r="F23" s="15">
        <f>_xlfn.XLOOKUP(E23,'GP1'!$B$6:$B$55,'GP1'!$A$6:$A$55,0)</f>
        <v>0</v>
      </c>
      <c r="G23" s="10" t="str">
        <f>_xlfn.XLOOKUP($B23,'GP2'!$C$6:$C$101,'GP2'!$B$6:$B$101,"")</f>
        <v/>
      </c>
      <c r="H23" s="11">
        <f>_xlfn.XLOOKUP(G23,'GP2'!$B$6:$B$55,'GP2'!$A$6:$A$55,0)</f>
        <v>0</v>
      </c>
      <c r="I23" s="10" t="str">
        <f>_xlfn.XLOOKUP($B23,'GP3'!$C$6:$C$101,'GP3'!$B$6:$B$101,"")</f>
        <v/>
      </c>
      <c r="J23" s="11">
        <f>_xlfn.XLOOKUP(I23,'GP3'!$B$6:$B$55,'GP3'!$A$6:$A$55,0)</f>
        <v>0</v>
      </c>
      <c r="K23" s="10" t="str">
        <f>_xlfn.XLOOKUP($B23,'GP4'!$C$6:$C$101,'GP4'!$B$6:$B$101,"")</f>
        <v/>
      </c>
      <c r="L23" s="11">
        <f>_xlfn.XLOOKUP(K23,'GP4'!$B$6:$B$55,'GP4'!$A$6:$A$55,0)</f>
        <v>0</v>
      </c>
      <c r="M23" s="10" t="str">
        <f>_xlfn.XLOOKUP($B23,'GP5'!$C$6:$C$101,'GP5'!$B$6:$B$101,"")</f>
        <v/>
      </c>
      <c r="N23" s="11">
        <f>_xlfn.XLOOKUP(M23,'GP5'!$B$6:$B$55,'GP5'!$A$6:$A$55,0)</f>
        <v>0</v>
      </c>
      <c r="O23" s="10" t="str">
        <f>_xlfn.XLOOKUP(B23,MPW!C$6:C$101,MPW!B$6:B$101,"")</f>
        <v/>
      </c>
      <c r="P23" s="16">
        <f>_xlfn.XLOOKUP(O23,MPW!$B$6:$B$55,MPW!$A$6:$A$55,0)</f>
        <v>0</v>
      </c>
    </row>
    <row r="24" spans="1:16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16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16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16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1:16" ht="65.4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16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16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16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16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</sheetData>
  <sheetProtection selectLockedCells="1" selectUnlockedCells="1"/>
  <autoFilter ref="A5:P5" xr:uid="{3F920EC5-A26B-4FC3-9667-336334CFD186}">
    <sortState xmlns:xlrd2="http://schemas.microsoft.com/office/spreadsheetml/2017/richdata2" ref="A7:P23">
      <sortCondition descending="1" ref="D5"/>
    </sortState>
  </autoFilter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3">
    <cfRule type="cellIs" dxfId="26" priority="5" operator="equal">
      <formula>3</formula>
    </cfRule>
    <cfRule type="cellIs" dxfId="25" priority="6" operator="equal">
      <formula>2</formula>
    </cfRule>
    <cfRule type="cellIs" dxfId="24" priority="7" operator="equal">
      <formula>1</formula>
    </cfRule>
  </conditionalFormatting>
  <conditionalFormatting sqref="D6:P23">
    <cfRule type="cellIs" dxfId="23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035B-8E37-4DC6-8750-56EC0390279F}">
  <sheetPr>
    <tabColor rgb="FF92D050"/>
  </sheetPr>
  <dimension ref="A1:AL374"/>
  <sheetViews>
    <sheetView topLeftCell="D1" workbookViewId="0">
      <selection activeCell="O1" sqref="O1:V1048576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4" width="13.85546875" style="18" customWidth="1"/>
    <col min="15" max="15" width="13.85546875" style="145" customWidth="1"/>
    <col min="16" max="17" width="8.85546875" style="145" bestFit="1"/>
    <col min="18" max="18" width="7.42578125" style="157" bestFit="1" customWidth="1"/>
    <col min="19" max="19" width="8.85546875" style="158" bestFit="1"/>
    <col min="20" max="20" width="9.42578125" style="158" bestFit="1" customWidth="1"/>
    <col min="21" max="21" width="12.140625" style="159" customWidth="1"/>
    <col min="22" max="22" width="5.42578125" style="159" bestFit="1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26</v>
      </c>
      <c r="I1" s="20" t="s">
        <v>27</v>
      </c>
      <c r="J1" s="20" t="s">
        <v>28</v>
      </c>
      <c r="K1" s="21" t="s">
        <v>29</v>
      </c>
      <c r="L1" s="22"/>
      <c r="M1" s="22"/>
      <c r="O1" s="147" t="s">
        <v>30</v>
      </c>
      <c r="P1" s="148"/>
      <c r="Q1" s="148"/>
      <c r="R1" s="149"/>
      <c r="S1" s="147"/>
      <c r="T1" s="147" t="s">
        <v>31</v>
      </c>
      <c r="U1" s="150"/>
      <c r="V1" s="150"/>
    </row>
    <row r="2" spans="1:36" ht="14.25" customHeight="1" x14ac:dyDescent="0.25">
      <c r="A2" s="18"/>
      <c r="B2" s="24" t="s">
        <v>32</v>
      </c>
      <c r="C2" s="176" t="s">
        <v>33</v>
      </c>
      <c r="D2" s="176"/>
      <c r="E2" s="25"/>
      <c r="F2" s="25"/>
      <c r="G2" s="25"/>
      <c r="H2" s="26">
        <v>3</v>
      </c>
      <c r="I2" s="27">
        <v>50</v>
      </c>
      <c r="J2" s="27">
        <v>10</v>
      </c>
      <c r="K2" s="70">
        <f>3*H2^(1/3)</f>
        <v>4.3267487109222245</v>
      </c>
      <c r="L2" s="22"/>
      <c r="M2" s="22"/>
      <c r="O2" s="150">
        <v>4</v>
      </c>
      <c r="P2" s="148"/>
      <c r="Q2" s="148"/>
      <c r="R2" s="149"/>
      <c r="S2" s="150"/>
      <c r="T2" s="151">
        <f>3*O2^(1/3)</f>
        <v>4.7622031559045981</v>
      </c>
      <c r="U2" s="150"/>
      <c r="V2" s="150"/>
    </row>
    <row r="3" spans="1:36" ht="14.25" customHeight="1" x14ac:dyDescent="0.25">
      <c r="A3" s="18"/>
      <c r="B3" s="29" t="s">
        <v>34</v>
      </c>
      <c r="C3" s="177">
        <v>44940</v>
      </c>
      <c r="D3" s="177"/>
      <c r="E3" s="30"/>
      <c r="F3" s="30"/>
      <c r="G3" s="30"/>
      <c r="H3" s="22"/>
      <c r="I3" s="22"/>
      <c r="J3" s="31"/>
      <c r="K3" s="22"/>
      <c r="L3" s="22"/>
      <c r="M3" s="22"/>
      <c r="O3" s="150"/>
      <c r="P3" s="150"/>
      <c r="Q3" s="150"/>
      <c r="R3" s="150"/>
      <c r="S3" s="150"/>
      <c r="T3" s="150"/>
      <c r="U3" s="150"/>
      <c r="V3" s="150"/>
    </row>
    <row r="4" spans="1:36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  <c r="O4" s="178" t="s">
        <v>35</v>
      </c>
      <c r="P4" s="178"/>
      <c r="Q4" s="178"/>
      <c r="R4" s="178"/>
      <c r="S4" s="178"/>
      <c r="T4" s="178"/>
      <c r="U4" s="178"/>
      <c r="V4" s="178"/>
    </row>
    <row r="5" spans="1:36" ht="60" x14ac:dyDescent="0.25">
      <c r="A5" s="1" t="s">
        <v>36</v>
      </c>
      <c r="B5" s="33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32"/>
      <c r="H5" s="34" t="s">
        <v>42</v>
      </c>
      <c r="I5" s="35" t="s">
        <v>43</v>
      </c>
      <c r="J5" s="36" t="s">
        <v>44</v>
      </c>
      <c r="K5" s="35" t="s">
        <v>45</v>
      </c>
      <c r="L5" s="35" t="s">
        <v>46</v>
      </c>
      <c r="M5" s="34" t="s">
        <v>47</v>
      </c>
      <c r="O5" s="152" t="s">
        <v>42</v>
      </c>
      <c r="P5" s="152" t="s">
        <v>48</v>
      </c>
      <c r="Q5" s="152"/>
      <c r="R5" s="152" t="s">
        <v>43</v>
      </c>
      <c r="S5" s="152" t="s">
        <v>44</v>
      </c>
      <c r="T5" s="152" t="s">
        <v>45</v>
      </c>
      <c r="U5" s="152" t="s">
        <v>46</v>
      </c>
      <c r="V5" s="152" t="s">
        <v>47</v>
      </c>
    </row>
    <row r="6" spans="1:36" ht="14.45" customHeight="1" x14ac:dyDescent="0.25">
      <c r="A6" s="37">
        <f>M6</f>
        <v>82.980246132766666</v>
      </c>
      <c r="B6" s="38">
        <f>IF(H6&gt;$H$2,"",(ROW()-5))</f>
        <v>1</v>
      </c>
      <c r="C6" s="39" t="s">
        <v>16</v>
      </c>
      <c r="D6" s="39" t="s">
        <v>49</v>
      </c>
      <c r="E6" s="39"/>
      <c r="F6" s="39" t="s">
        <v>50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2</v>
      </c>
      <c r="K6" s="40">
        <f t="shared" ref="K6:K69" si="0">J6*$J$2</f>
        <v>20</v>
      </c>
      <c r="L6" s="42">
        <f>3*K2</f>
        <v>12.980246132766673</v>
      </c>
      <c r="M6" s="42">
        <f t="shared" ref="M6:M69" si="1">IF(I6&lt;&gt;"",K6+I6+L6,0)</f>
        <v>82.980246132766666</v>
      </c>
      <c r="O6" s="150">
        <v>1</v>
      </c>
      <c r="P6" s="147" t="s">
        <v>16</v>
      </c>
      <c r="Q6" s="150"/>
      <c r="R6" s="151">
        <f>IF(O2=1,50,IF(O6&lt;$O$2+1,($I$2-($I$2-1)*(LOG(O6)/LOG($O$2))),""))</f>
        <v>50</v>
      </c>
      <c r="S6" s="150">
        <f t="shared" ref="S6:S69" si="2">INT(LOG($O$2,2))-ROUNDUP(LOG(O6,2),0)+IF(OR($O$2=1,$O$2=2,$O$2=4,$O$2=8,$O$2=16,$O$2=32,$O$2=64,$O$2=128,$O$2=256),0,1)</f>
        <v>2</v>
      </c>
      <c r="T6" s="150">
        <f t="shared" ref="T6:T69" si="3">S6*$J$2</f>
        <v>20</v>
      </c>
      <c r="U6" s="151">
        <f>3*T2</f>
        <v>14.286609467713795</v>
      </c>
      <c r="V6" s="151">
        <f t="shared" ref="V6:V69" si="4">IF(R6&lt;&gt;"",T6+R6+U6,0)</f>
        <v>84.286609467713788</v>
      </c>
    </row>
    <row r="7" spans="1:36" ht="14.45" customHeight="1" x14ac:dyDescent="0.25">
      <c r="A7" s="43">
        <f t="shared" ref="A7:A37" si="5">M7</f>
        <v>37.73793949684304</v>
      </c>
      <c r="B7" s="44">
        <f>IF(H7&gt;$H$2,"",(ROW()-5))</f>
        <v>2</v>
      </c>
      <c r="C7" s="45" t="s">
        <v>19</v>
      </c>
      <c r="D7" s="45" t="s">
        <v>51</v>
      </c>
      <c r="E7" s="45"/>
      <c r="F7" s="45" t="s">
        <v>50</v>
      </c>
      <c r="G7" s="32"/>
      <c r="H7" s="46">
        <v>2</v>
      </c>
      <c r="I7" s="47">
        <f t="shared" ref="I7:I69" si="6">IF(H7&lt;$H$2+1,($I$2-($I$2-1)*(LOG(H7)/LOG($H$2))),"")</f>
        <v>19.084442074998588</v>
      </c>
      <c r="J7" s="46">
        <f t="shared" ref="J7:J70" si="7">INT(LOG($H$2,2))-ROUNDUP(LOG(H7,2),0)+IF(OR($H$2=1,$H$2=2,$H$2=4,$H$2=8,$H$2=16,$H$2=32,$H$2=64,$H$2=128,$H$2=256),0,1)</f>
        <v>1</v>
      </c>
      <c r="K7" s="46">
        <f t="shared" si="0"/>
        <v>10</v>
      </c>
      <c r="L7" s="48">
        <f>2*K2</f>
        <v>8.6534974218444489</v>
      </c>
      <c r="M7" s="48">
        <f t="shared" si="1"/>
        <v>37.73793949684304</v>
      </c>
      <c r="O7" s="150">
        <v>2</v>
      </c>
      <c r="P7" s="154" t="s">
        <v>52</v>
      </c>
      <c r="Q7" s="150"/>
      <c r="R7" s="151">
        <f t="shared" ref="R7:R70" si="8">IF(O7&lt;$O$2+1,($I$2-($I$2-1)*(LOG(O7)/LOG($O$2))),"")</f>
        <v>25.5</v>
      </c>
      <c r="S7" s="150">
        <f t="shared" si="2"/>
        <v>1</v>
      </c>
      <c r="T7" s="150">
        <f t="shared" si="3"/>
        <v>10</v>
      </c>
      <c r="U7" s="151">
        <f>2*T2</f>
        <v>9.5244063118091962</v>
      </c>
      <c r="V7" s="151">
        <f t="shared" si="4"/>
        <v>45.024406311809194</v>
      </c>
    </row>
    <row r="8" spans="1:36" ht="14.45" customHeight="1" x14ac:dyDescent="0.25">
      <c r="A8" s="37">
        <v>5.3267487109222245</v>
      </c>
      <c r="B8" s="38">
        <f>IF(H8&gt;$H$2,"",(ROW()-5))</f>
        <v>3</v>
      </c>
      <c r="C8" s="39" t="s">
        <v>20</v>
      </c>
      <c r="D8" s="39" t="s">
        <v>53</v>
      </c>
      <c r="E8" s="39"/>
      <c r="F8" s="39" t="s">
        <v>50</v>
      </c>
      <c r="G8" s="32"/>
      <c r="H8" s="40">
        <v>3</v>
      </c>
      <c r="I8" s="41">
        <f t="shared" si="6"/>
        <v>1</v>
      </c>
      <c r="J8" s="40">
        <f t="shared" si="7"/>
        <v>0</v>
      </c>
      <c r="K8" s="40">
        <f t="shared" si="0"/>
        <v>0</v>
      </c>
      <c r="L8" s="42">
        <f>K2</f>
        <v>4.3267487109222245</v>
      </c>
      <c r="M8" s="42">
        <f t="shared" si="1"/>
        <v>5.3267487109222245</v>
      </c>
      <c r="O8" s="150">
        <v>3</v>
      </c>
      <c r="P8" s="147" t="s">
        <v>19</v>
      </c>
      <c r="Q8" s="150"/>
      <c r="R8" s="151">
        <f t="shared" si="8"/>
        <v>11.168418732331673</v>
      </c>
      <c r="S8" s="153">
        <f t="shared" si="2"/>
        <v>0</v>
      </c>
      <c r="T8" s="153">
        <f t="shared" si="3"/>
        <v>0</v>
      </c>
      <c r="U8" s="151">
        <f>T2</f>
        <v>4.7622031559045981</v>
      </c>
      <c r="V8" s="151">
        <f t="shared" si="4"/>
        <v>15.930621888236271</v>
      </c>
    </row>
    <row r="9" spans="1:36" ht="14.45" customHeight="1" x14ac:dyDescent="0.25">
      <c r="A9" s="43">
        <f t="shared" si="5"/>
        <v>0</v>
      </c>
      <c r="B9" s="44"/>
      <c r="C9" s="45"/>
      <c r="D9" s="45"/>
      <c r="E9" s="45"/>
      <c r="F9" s="45"/>
      <c r="G9" s="32"/>
      <c r="H9" s="46">
        <v>4</v>
      </c>
      <c r="I9" s="47" t="str">
        <f t="shared" si="6"/>
        <v/>
      </c>
      <c r="J9" s="46">
        <f t="shared" si="7"/>
        <v>0</v>
      </c>
      <c r="K9" s="46">
        <f t="shared" si="0"/>
        <v>0</v>
      </c>
      <c r="L9" s="48"/>
      <c r="M9" s="48">
        <f t="shared" si="1"/>
        <v>0</v>
      </c>
      <c r="O9" s="150">
        <v>4</v>
      </c>
      <c r="P9" s="147" t="s">
        <v>20</v>
      </c>
      <c r="Q9" s="150"/>
      <c r="R9" s="151">
        <f t="shared" si="8"/>
        <v>1</v>
      </c>
      <c r="S9" s="153">
        <f t="shared" si="2"/>
        <v>0</v>
      </c>
      <c r="T9" s="153">
        <f t="shared" si="3"/>
        <v>0</v>
      </c>
      <c r="U9" s="151"/>
      <c r="V9" s="151">
        <f t="shared" si="4"/>
        <v>1</v>
      </c>
      <c r="Z9" s="50"/>
      <c r="AA9" s="50"/>
      <c r="AG9" s="51"/>
      <c r="AH9" s="23" t="s">
        <v>54</v>
      </c>
      <c r="AI9" s="23">
        <v>23</v>
      </c>
    </row>
    <row r="10" spans="1:36" ht="14.45" customHeight="1" x14ac:dyDescent="0.25">
      <c r="A10" s="37">
        <f t="shared" si="5"/>
        <v>0</v>
      </c>
      <c r="B10" s="38" t="str">
        <f t="shared" ref="B10:B37" si="9">IF(H10&gt;$H$2,"",(ROW()-5))</f>
        <v/>
      </c>
      <c r="C10" s="39"/>
      <c r="D10" s="39"/>
      <c r="E10" s="39"/>
      <c r="F10" s="39"/>
      <c r="G10" s="32"/>
      <c r="H10" s="40">
        <v>5</v>
      </c>
      <c r="I10" s="41" t="str">
        <f t="shared" si="6"/>
        <v/>
      </c>
      <c r="J10" s="40">
        <f t="shared" si="7"/>
        <v>-1</v>
      </c>
      <c r="K10" s="40">
        <f t="shared" si="0"/>
        <v>-10</v>
      </c>
      <c r="L10" s="40"/>
      <c r="M10" s="42">
        <f t="shared" si="1"/>
        <v>0</v>
      </c>
      <c r="O10" s="150">
        <v>5</v>
      </c>
      <c r="P10" s="154"/>
      <c r="Q10" s="150"/>
      <c r="R10" s="151" t="str">
        <f t="shared" si="8"/>
        <v/>
      </c>
      <c r="S10" s="153">
        <f t="shared" si="2"/>
        <v>-1</v>
      </c>
      <c r="T10" s="153">
        <f t="shared" si="3"/>
        <v>-10</v>
      </c>
      <c r="U10" s="151"/>
      <c r="V10" s="151">
        <f t="shared" si="4"/>
        <v>0</v>
      </c>
      <c r="Z10" s="50"/>
      <c r="AA10" s="50"/>
      <c r="AG10" s="51"/>
      <c r="AH10" s="23" t="s">
        <v>55</v>
      </c>
      <c r="AI10" s="23">
        <v>45</v>
      </c>
    </row>
    <row r="11" spans="1:36" ht="14.45" customHeight="1" x14ac:dyDescent="0.25">
      <c r="A11" s="43">
        <f t="shared" si="5"/>
        <v>0</v>
      </c>
      <c r="B11" s="44" t="str">
        <f t="shared" si="9"/>
        <v/>
      </c>
      <c r="C11" s="45"/>
      <c r="D11" s="45"/>
      <c r="E11" s="45"/>
      <c r="F11" s="45"/>
      <c r="G11" s="32"/>
      <c r="H11" s="46">
        <v>6</v>
      </c>
      <c r="I11" s="47" t="str">
        <f t="shared" si="6"/>
        <v/>
      </c>
      <c r="J11" s="46">
        <f t="shared" si="7"/>
        <v>-1</v>
      </c>
      <c r="K11" s="46">
        <f t="shared" si="0"/>
        <v>-10</v>
      </c>
      <c r="L11" s="46"/>
      <c r="M11" s="48">
        <f t="shared" si="1"/>
        <v>0</v>
      </c>
      <c r="O11" s="150">
        <v>6</v>
      </c>
      <c r="P11" s="150"/>
      <c r="Q11" s="150"/>
      <c r="R11" s="151" t="str">
        <f t="shared" si="8"/>
        <v/>
      </c>
      <c r="S11" s="153">
        <f t="shared" si="2"/>
        <v>-1</v>
      </c>
      <c r="T11" s="153">
        <f t="shared" si="3"/>
        <v>-10</v>
      </c>
      <c r="U11" s="151"/>
      <c r="V11" s="151">
        <f t="shared" si="4"/>
        <v>0</v>
      </c>
      <c r="Z11" s="50"/>
      <c r="AA11" s="50"/>
      <c r="AG11" s="51"/>
      <c r="AH11" s="23" t="s">
        <v>56</v>
      </c>
      <c r="AI11" s="23">
        <v>50</v>
      </c>
    </row>
    <row r="12" spans="1:36" ht="14.45" customHeight="1" x14ac:dyDescent="0.25">
      <c r="A12" s="37">
        <f t="shared" si="5"/>
        <v>0</v>
      </c>
      <c r="B12" s="38" t="str">
        <f t="shared" si="9"/>
        <v/>
      </c>
      <c r="C12" s="39"/>
      <c r="D12" s="39"/>
      <c r="E12" s="39"/>
      <c r="F12" s="39"/>
      <c r="G12" s="32"/>
      <c r="H12" s="40">
        <v>7</v>
      </c>
      <c r="I12" s="41" t="str">
        <f t="shared" si="6"/>
        <v/>
      </c>
      <c r="J12" s="40">
        <f t="shared" si="7"/>
        <v>-1</v>
      </c>
      <c r="K12" s="40">
        <f t="shared" si="0"/>
        <v>-10</v>
      </c>
      <c r="L12" s="40"/>
      <c r="M12" s="42">
        <f t="shared" si="1"/>
        <v>0</v>
      </c>
      <c r="O12" s="150">
        <v>7</v>
      </c>
      <c r="P12" s="150"/>
      <c r="Q12" s="150"/>
      <c r="R12" s="151" t="str">
        <f t="shared" si="8"/>
        <v/>
      </c>
      <c r="S12" s="153">
        <f t="shared" si="2"/>
        <v>-1</v>
      </c>
      <c r="T12" s="153">
        <f t="shared" si="3"/>
        <v>-10</v>
      </c>
      <c r="U12" s="151"/>
      <c r="V12" s="151">
        <f t="shared" si="4"/>
        <v>0</v>
      </c>
      <c r="Z12" s="50"/>
      <c r="AA12" s="50"/>
      <c r="AG12" s="51"/>
      <c r="AH12" s="23" t="s">
        <v>57</v>
      </c>
      <c r="AI12" s="23">
        <f>AI11-1</f>
        <v>49</v>
      </c>
    </row>
    <row r="13" spans="1:36" ht="14.45" customHeight="1" x14ac:dyDescent="0.25">
      <c r="A13" s="53">
        <f t="shared" si="5"/>
        <v>0</v>
      </c>
      <c r="B13" s="44" t="str">
        <f t="shared" si="9"/>
        <v/>
      </c>
      <c r="C13" s="45"/>
      <c r="D13" s="45"/>
      <c r="E13" s="45"/>
      <c r="F13" s="45"/>
      <c r="G13" s="32"/>
      <c r="H13" s="46">
        <v>8</v>
      </c>
      <c r="I13" s="47" t="str">
        <f t="shared" si="6"/>
        <v/>
      </c>
      <c r="J13" s="46">
        <f t="shared" si="7"/>
        <v>-1</v>
      </c>
      <c r="K13" s="46">
        <f t="shared" si="0"/>
        <v>-10</v>
      </c>
      <c r="L13" s="46"/>
      <c r="M13" s="48">
        <f t="shared" si="1"/>
        <v>0</v>
      </c>
      <c r="O13" s="150">
        <v>8</v>
      </c>
      <c r="P13" s="150"/>
      <c r="Q13" s="150"/>
      <c r="R13" s="151" t="str">
        <f t="shared" si="8"/>
        <v/>
      </c>
      <c r="S13" s="153">
        <f t="shared" si="2"/>
        <v>-1</v>
      </c>
      <c r="T13" s="153">
        <f t="shared" si="3"/>
        <v>-10</v>
      </c>
      <c r="U13" s="151"/>
      <c r="V13" s="151">
        <f t="shared" si="4"/>
        <v>0</v>
      </c>
      <c r="X13" s="49"/>
      <c r="AG13" s="51"/>
      <c r="AH13" s="23" t="s">
        <v>58</v>
      </c>
      <c r="AI13" s="23">
        <f>LOG(AI9)</f>
        <v>1.3617278360175928</v>
      </c>
    </row>
    <row r="14" spans="1:36" x14ac:dyDescent="0.25">
      <c r="A14" s="54">
        <f t="shared" si="5"/>
        <v>0</v>
      </c>
      <c r="B14" s="38" t="str">
        <f t="shared" si="9"/>
        <v/>
      </c>
      <c r="C14" s="39"/>
      <c r="D14" s="39"/>
      <c r="E14" s="39"/>
      <c r="F14" s="39"/>
      <c r="G14" s="32"/>
      <c r="H14" s="40">
        <v>9</v>
      </c>
      <c r="I14" s="41" t="str">
        <f t="shared" si="6"/>
        <v/>
      </c>
      <c r="J14" s="40">
        <f t="shared" si="7"/>
        <v>-2</v>
      </c>
      <c r="K14" s="40">
        <f t="shared" si="0"/>
        <v>-20</v>
      </c>
      <c r="L14" s="40"/>
      <c r="M14" s="42">
        <f t="shared" si="1"/>
        <v>0</v>
      </c>
      <c r="O14" s="150">
        <v>9</v>
      </c>
      <c r="P14" s="150"/>
      <c r="Q14" s="150"/>
      <c r="R14" s="151" t="str">
        <f t="shared" si="8"/>
        <v/>
      </c>
      <c r="S14" s="153">
        <f t="shared" si="2"/>
        <v>-2</v>
      </c>
      <c r="T14" s="153">
        <f t="shared" si="3"/>
        <v>-20</v>
      </c>
      <c r="U14" s="151"/>
      <c r="V14" s="151">
        <f t="shared" si="4"/>
        <v>0</v>
      </c>
      <c r="X14" s="55"/>
      <c r="Z14" s="50"/>
      <c r="AA14" s="50"/>
      <c r="AG14" s="51"/>
      <c r="AH14" s="23" t="s">
        <v>59</v>
      </c>
      <c r="AI14" s="23">
        <f>LOG(AI10)</f>
        <v>1.6532125137753437</v>
      </c>
    </row>
    <row r="15" spans="1:36" x14ac:dyDescent="0.25">
      <c r="A15" s="53">
        <f t="shared" si="5"/>
        <v>0</v>
      </c>
      <c r="B15" s="44" t="str">
        <f t="shared" si="9"/>
        <v/>
      </c>
      <c r="C15" s="45"/>
      <c r="D15" s="45"/>
      <c r="E15" s="45"/>
      <c r="F15" s="45"/>
      <c r="G15" s="32"/>
      <c r="H15" s="46">
        <v>10</v>
      </c>
      <c r="I15" s="47" t="str">
        <f t="shared" si="6"/>
        <v/>
      </c>
      <c r="J15" s="46">
        <f t="shared" si="7"/>
        <v>-2</v>
      </c>
      <c r="K15" s="46">
        <f t="shared" si="0"/>
        <v>-20</v>
      </c>
      <c r="L15" s="46"/>
      <c r="M15" s="48">
        <f t="shared" si="1"/>
        <v>0</v>
      </c>
      <c r="O15" s="150">
        <v>10</v>
      </c>
      <c r="P15" s="150"/>
      <c r="Q15" s="150"/>
      <c r="R15" s="151" t="str">
        <f t="shared" si="8"/>
        <v/>
      </c>
      <c r="S15" s="153">
        <f t="shared" si="2"/>
        <v>-2</v>
      </c>
      <c r="T15" s="153">
        <f t="shared" si="3"/>
        <v>-20</v>
      </c>
      <c r="U15" s="151"/>
      <c r="V15" s="151">
        <f t="shared" si="4"/>
        <v>0</v>
      </c>
      <c r="X15" s="49"/>
      <c r="Z15" s="50"/>
      <c r="AA15" s="50"/>
    </row>
    <row r="16" spans="1:36" x14ac:dyDescent="0.25">
      <c r="A16" s="54">
        <f t="shared" si="5"/>
        <v>0</v>
      </c>
      <c r="B16" s="38" t="str">
        <f t="shared" si="9"/>
        <v/>
      </c>
      <c r="C16" s="39"/>
      <c r="D16" s="39"/>
      <c r="E16" s="39"/>
      <c r="F16" s="39"/>
      <c r="G16" s="32"/>
      <c r="H16" s="40">
        <v>11</v>
      </c>
      <c r="I16" s="41" t="str">
        <f t="shared" si="6"/>
        <v/>
      </c>
      <c r="J16" s="40">
        <f t="shared" si="7"/>
        <v>-2</v>
      </c>
      <c r="K16" s="40">
        <f t="shared" si="0"/>
        <v>-20</v>
      </c>
      <c r="L16" s="40"/>
      <c r="M16" s="42">
        <f t="shared" si="1"/>
        <v>0</v>
      </c>
      <c r="O16" s="150">
        <v>11</v>
      </c>
      <c r="P16" s="150"/>
      <c r="Q16" s="150"/>
      <c r="R16" s="151" t="str">
        <f t="shared" si="8"/>
        <v/>
      </c>
      <c r="S16" s="153">
        <f t="shared" si="2"/>
        <v>-2</v>
      </c>
      <c r="T16" s="153">
        <f t="shared" si="3"/>
        <v>-20</v>
      </c>
      <c r="U16" s="151"/>
      <c r="V16" s="151">
        <f t="shared" si="4"/>
        <v>0</v>
      </c>
      <c r="Z16" s="50"/>
      <c r="AA16" s="50"/>
      <c r="AH16" s="57" t="s">
        <v>60</v>
      </c>
      <c r="AI16" s="23">
        <f>AI11-AI12*AI13/AI14</f>
        <v>9.6393909380186855</v>
      </c>
      <c r="AJ16" s="23" t="s">
        <v>61</v>
      </c>
    </row>
    <row r="17" spans="1:22" x14ac:dyDescent="0.25">
      <c r="A17" s="53">
        <f t="shared" si="5"/>
        <v>0</v>
      </c>
      <c r="B17" s="44" t="str">
        <f t="shared" si="9"/>
        <v/>
      </c>
      <c r="C17" s="45"/>
      <c r="D17" s="45"/>
      <c r="E17" s="45"/>
      <c r="F17" s="45"/>
      <c r="G17" s="32"/>
      <c r="H17" s="46">
        <v>12</v>
      </c>
      <c r="I17" s="47" t="str">
        <f t="shared" si="6"/>
        <v/>
      </c>
      <c r="J17" s="46">
        <f t="shared" si="7"/>
        <v>-2</v>
      </c>
      <c r="K17" s="46">
        <f t="shared" si="0"/>
        <v>-20</v>
      </c>
      <c r="L17" s="46"/>
      <c r="M17" s="48">
        <f t="shared" si="1"/>
        <v>0</v>
      </c>
      <c r="O17" s="150">
        <v>12</v>
      </c>
      <c r="P17" s="150"/>
      <c r="Q17" s="150"/>
      <c r="R17" s="151" t="str">
        <f t="shared" si="8"/>
        <v/>
      </c>
      <c r="S17" s="153">
        <f t="shared" si="2"/>
        <v>-2</v>
      </c>
      <c r="T17" s="153">
        <f t="shared" si="3"/>
        <v>-20</v>
      </c>
      <c r="U17" s="151"/>
      <c r="V17" s="151">
        <f t="shared" si="4"/>
        <v>0</v>
      </c>
    </row>
    <row r="18" spans="1:22" x14ac:dyDescent="0.25">
      <c r="A18" s="54">
        <f t="shared" si="5"/>
        <v>0</v>
      </c>
      <c r="B18" s="38" t="str">
        <f t="shared" si="9"/>
        <v/>
      </c>
      <c r="C18" s="39"/>
      <c r="D18" s="39"/>
      <c r="E18" s="39"/>
      <c r="F18" s="39"/>
      <c r="G18" s="32"/>
      <c r="H18" s="40">
        <v>13</v>
      </c>
      <c r="I18" s="41" t="str">
        <f t="shared" si="6"/>
        <v/>
      </c>
      <c r="J18" s="40">
        <f t="shared" si="7"/>
        <v>-2</v>
      </c>
      <c r="K18" s="40">
        <f t="shared" si="0"/>
        <v>-20</v>
      </c>
      <c r="L18" s="40"/>
      <c r="M18" s="42">
        <f t="shared" si="1"/>
        <v>0</v>
      </c>
      <c r="O18" s="150">
        <v>13</v>
      </c>
      <c r="P18" s="150"/>
      <c r="Q18" s="150"/>
      <c r="R18" s="151" t="str">
        <f t="shared" si="8"/>
        <v/>
      </c>
      <c r="S18" s="153">
        <f t="shared" si="2"/>
        <v>-2</v>
      </c>
      <c r="T18" s="153">
        <f t="shared" si="3"/>
        <v>-20</v>
      </c>
      <c r="U18" s="151"/>
      <c r="V18" s="151">
        <f t="shared" si="4"/>
        <v>0</v>
      </c>
    </row>
    <row r="19" spans="1:22" x14ac:dyDescent="0.25">
      <c r="A19" s="53">
        <f t="shared" si="5"/>
        <v>0</v>
      </c>
      <c r="B19" s="44" t="str">
        <f t="shared" si="9"/>
        <v/>
      </c>
      <c r="C19" s="45"/>
      <c r="D19" s="45"/>
      <c r="E19" s="45"/>
      <c r="F19" s="45"/>
      <c r="G19" s="32"/>
      <c r="H19" s="46">
        <v>14</v>
      </c>
      <c r="I19" s="47" t="str">
        <f t="shared" si="6"/>
        <v/>
      </c>
      <c r="J19" s="46">
        <f t="shared" si="7"/>
        <v>-2</v>
      </c>
      <c r="K19" s="46">
        <f t="shared" si="0"/>
        <v>-20</v>
      </c>
      <c r="L19" s="46"/>
      <c r="M19" s="48">
        <f t="shared" si="1"/>
        <v>0</v>
      </c>
      <c r="O19" s="150">
        <v>14</v>
      </c>
      <c r="P19" s="150"/>
      <c r="Q19" s="150"/>
      <c r="R19" s="151" t="str">
        <f t="shared" si="8"/>
        <v/>
      </c>
      <c r="S19" s="153">
        <f t="shared" si="2"/>
        <v>-2</v>
      </c>
      <c r="T19" s="153">
        <f t="shared" si="3"/>
        <v>-20</v>
      </c>
      <c r="U19" s="151"/>
      <c r="V19" s="151">
        <f t="shared" si="4"/>
        <v>0</v>
      </c>
    </row>
    <row r="20" spans="1:22" x14ac:dyDescent="0.25">
      <c r="A20" s="54">
        <f t="shared" si="5"/>
        <v>0</v>
      </c>
      <c r="B20" s="38" t="str">
        <f t="shared" si="9"/>
        <v/>
      </c>
      <c r="C20" s="39"/>
      <c r="D20" s="39"/>
      <c r="E20" s="39"/>
      <c r="F20" s="39"/>
      <c r="G20" s="32"/>
      <c r="H20" s="40">
        <v>15</v>
      </c>
      <c r="I20" s="41" t="str">
        <f t="shared" si="6"/>
        <v/>
      </c>
      <c r="J20" s="40">
        <f t="shared" si="7"/>
        <v>-2</v>
      </c>
      <c r="K20" s="40">
        <f t="shared" si="0"/>
        <v>-20</v>
      </c>
      <c r="L20" s="40"/>
      <c r="M20" s="42">
        <f t="shared" si="1"/>
        <v>0</v>
      </c>
      <c r="O20" s="150">
        <v>15</v>
      </c>
      <c r="P20" s="150"/>
      <c r="Q20" s="150"/>
      <c r="R20" s="151" t="str">
        <f t="shared" si="8"/>
        <v/>
      </c>
      <c r="S20" s="153">
        <f t="shared" si="2"/>
        <v>-2</v>
      </c>
      <c r="T20" s="153">
        <f t="shared" si="3"/>
        <v>-20</v>
      </c>
      <c r="U20" s="151"/>
      <c r="V20" s="151">
        <f t="shared" si="4"/>
        <v>0</v>
      </c>
    </row>
    <row r="21" spans="1:22" x14ac:dyDescent="0.25">
      <c r="A21" s="53">
        <f t="shared" si="5"/>
        <v>0</v>
      </c>
      <c r="B21" s="44" t="str">
        <f t="shared" si="9"/>
        <v/>
      </c>
      <c r="C21" s="45"/>
      <c r="D21" s="45"/>
      <c r="E21" s="45"/>
      <c r="F21" s="45"/>
      <c r="G21" s="32"/>
      <c r="H21" s="46">
        <v>16</v>
      </c>
      <c r="I21" s="47" t="str">
        <f t="shared" si="6"/>
        <v/>
      </c>
      <c r="J21" s="46">
        <f t="shared" si="7"/>
        <v>-2</v>
      </c>
      <c r="K21" s="46">
        <f t="shared" si="0"/>
        <v>-20</v>
      </c>
      <c r="L21" s="46"/>
      <c r="M21" s="48">
        <f t="shared" si="1"/>
        <v>0</v>
      </c>
      <c r="O21" s="150">
        <v>16</v>
      </c>
      <c r="P21" s="150"/>
      <c r="Q21" s="150"/>
      <c r="R21" s="151" t="str">
        <f t="shared" si="8"/>
        <v/>
      </c>
      <c r="S21" s="153">
        <f t="shared" si="2"/>
        <v>-2</v>
      </c>
      <c r="T21" s="153">
        <f t="shared" si="3"/>
        <v>-20</v>
      </c>
      <c r="U21" s="151"/>
      <c r="V21" s="151">
        <f t="shared" si="4"/>
        <v>0</v>
      </c>
    </row>
    <row r="22" spans="1:22" x14ac:dyDescent="0.25">
      <c r="A22" s="54">
        <f t="shared" si="5"/>
        <v>0</v>
      </c>
      <c r="B22" s="38" t="str">
        <f t="shared" si="9"/>
        <v/>
      </c>
      <c r="C22" s="39"/>
      <c r="D22" s="39"/>
      <c r="E22" s="39"/>
      <c r="F22" s="39"/>
      <c r="G22" s="32"/>
      <c r="H22" s="40">
        <v>17</v>
      </c>
      <c r="I22" s="41" t="str">
        <f t="shared" si="6"/>
        <v/>
      </c>
      <c r="J22" s="40">
        <f t="shared" si="7"/>
        <v>-3</v>
      </c>
      <c r="K22" s="40">
        <f t="shared" si="0"/>
        <v>-30</v>
      </c>
      <c r="L22" s="40"/>
      <c r="M22" s="42">
        <f t="shared" si="1"/>
        <v>0</v>
      </c>
      <c r="O22" s="150">
        <v>17</v>
      </c>
      <c r="P22" s="150"/>
      <c r="Q22" s="150"/>
      <c r="R22" s="151" t="str">
        <f t="shared" si="8"/>
        <v/>
      </c>
      <c r="S22" s="153">
        <f t="shared" si="2"/>
        <v>-3</v>
      </c>
      <c r="T22" s="153">
        <f t="shared" si="3"/>
        <v>-30</v>
      </c>
      <c r="U22" s="151"/>
      <c r="V22" s="151">
        <f t="shared" si="4"/>
        <v>0</v>
      </c>
    </row>
    <row r="23" spans="1:22" x14ac:dyDescent="0.25">
      <c r="A23" s="53">
        <f t="shared" si="5"/>
        <v>0</v>
      </c>
      <c r="B23" s="44" t="str">
        <f t="shared" si="9"/>
        <v/>
      </c>
      <c r="C23" s="45"/>
      <c r="D23" s="45"/>
      <c r="E23" s="45"/>
      <c r="F23" s="45"/>
      <c r="G23" s="32"/>
      <c r="H23" s="46">
        <v>18</v>
      </c>
      <c r="I23" s="47" t="str">
        <f t="shared" si="6"/>
        <v/>
      </c>
      <c r="J23" s="46">
        <f t="shared" si="7"/>
        <v>-3</v>
      </c>
      <c r="K23" s="46">
        <f t="shared" si="0"/>
        <v>-30</v>
      </c>
      <c r="L23" s="46"/>
      <c r="M23" s="48">
        <f t="shared" si="1"/>
        <v>0</v>
      </c>
      <c r="O23" s="150">
        <v>18</v>
      </c>
      <c r="P23" s="150"/>
      <c r="Q23" s="150"/>
      <c r="R23" s="151" t="str">
        <f t="shared" si="8"/>
        <v/>
      </c>
      <c r="S23" s="153">
        <f t="shared" si="2"/>
        <v>-3</v>
      </c>
      <c r="T23" s="153">
        <f t="shared" si="3"/>
        <v>-30</v>
      </c>
      <c r="U23" s="151"/>
      <c r="V23" s="151">
        <f t="shared" si="4"/>
        <v>0</v>
      </c>
    </row>
    <row r="24" spans="1:22" x14ac:dyDescent="0.25">
      <c r="A24" s="54">
        <f t="shared" si="5"/>
        <v>0</v>
      </c>
      <c r="B24" s="38" t="str">
        <f t="shared" si="9"/>
        <v/>
      </c>
      <c r="C24" s="39"/>
      <c r="D24" s="39"/>
      <c r="E24" s="39"/>
      <c r="F24" s="39"/>
      <c r="G24" s="32"/>
      <c r="H24" s="40">
        <v>19</v>
      </c>
      <c r="I24" s="41" t="str">
        <f t="shared" si="6"/>
        <v/>
      </c>
      <c r="J24" s="40">
        <f t="shared" si="7"/>
        <v>-3</v>
      </c>
      <c r="K24" s="40">
        <f t="shared" si="0"/>
        <v>-30</v>
      </c>
      <c r="L24" s="40"/>
      <c r="M24" s="42">
        <f t="shared" si="1"/>
        <v>0</v>
      </c>
      <c r="O24" s="150">
        <v>19</v>
      </c>
      <c r="P24" s="150"/>
      <c r="Q24" s="150"/>
      <c r="R24" s="151" t="str">
        <f t="shared" si="8"/>
        <v/>
      </c>
      <c r="S24" s="153">
        <f t="shared" si="2"/>
        <v>-3</v>
      </c>
      <c r="T24" s="153">
        <f t="shared" si="3"/>
        <v>-30</v>
      </c>
      <c r="U24" s="151"/>
      <c r="V24" s="151">
        <f t="shared" si="4"/>
        <v>0</v>
      </c>
    </row>
    <row r="25" spans="1:22" x14ac:dyDescent="0.25">
      <c r="A25" s="53">
        <f t="shared" si="5"/>
        <v>0</v>
      </c>
      <c r="B25" s="44" t="str">
        <f t="shared" si="9"/>
        <v/>
      </c>
      <c r="C25" s="45"/>
      <c r="D25" s="45"/>
      <c r="E25" s="45"/>
      <c r="F25" s="45"/>
      <c r="G25" s="32"/>
      <c r="H25" s="46">
        <v>20</v>
      </c>
      <c r="I25" s="47" t="str">
        <f t="shared" si="6"/>
        <v/>
      </c>
      <c r="J25" s="46">
        <f t="shared" si="7"/>
        <v>-3</v>
      </c>
      <c r="K25" s="46">
        <f t="shared" si="0"/>
        <v>-30</v>
      </c>
      <c r="L25" s="46"/>
      <c r="M25" s="48">
        <f t="shared" si="1"/>
        <v>0</v>
      </c>
      <c r="O25" s="150">
        <v>20</v>
      </c>
      <c r="P25" s="150"/>
      <c r="Q25" s="150"/>
      <c r="R25" s="151" t="str">
        <f t="shared" si="8"/>
        <v/>
      </c>
      <c r="S25" s="153">
        <f t="shared" si="2"/>
        <v>-3</v>
      </c>
      <c r="T25" s="153">
        <f t="shared" si="3"/>
        <v>-30</v>
      </c>
      <c r="U25" s="151"/>
      <c r="V25" s="151">
        <f t="shared" si="4"/>
        <v>0</v>
      </c>
    </row>
    <row r="26" spans="1:22" x14ac:dyDescent="0.25">
      <c r="A26" s="54">
        <f t="shared" si="5"/>
        <v>0</v>
      </c>
      <c r="B26" s="38" t="str">
        <f t="shared" si="9"/>
        <v/>
      </c>
      <c r="C26" s="39"/>
      <c r="D26" s="39"/>
      <c r="E26" s="39"/>
      <c r="F26" s="39"/>
      <c r="G26" s="32"/>
      <c r="H26" s="40">
        <v>21</v>
      </c>
      <c r="I26" s="41" t="str">
        <f t="shared" si="6"/>
        <v/>
      </c>
      <c r="J26" s="40">
        <f t="shared" si="7"/>
        <v>-3</v>
      </c>
      <c r="K26" s="40">
        <f t="shared" si="0"/>
        <v>-30</v>
      </c>
      <c r="L26" s="40"/>
      <c r="M26" s="42">
        <f t="shared" si="1"/>
        <v>0</v>
      </c>
      <c r="O26" s="150">
        <v>21</v>
      </c>
      <c r="P26" s="150"/>
      <c r="Q26" s="150"/>
      <c r="R26" s="151" t="str">
        <f t="shared" si="8"/>
        <v/>
      </c>
      <c r="S26" s="153">
        <f t="shared" si="2"/>
        <v>-3</v>
      </c>
      <c r="T26" s="153">
        <f t="shared" si="3"/>
        <v>-30</v>
      </c>
      <c r="U26" s="151"/>
      <c r="V26" s="151">
        <f t="shared" si="4"/>
        <v>0</v>
      </c>
    </row>
    <row r="27" spans="1:22" x14ac:dyDescent="0.25">
      <c r="A27" s="53">
        <f t="shared" si="5"/>
        <v>0</v>
      </c>
      <c r="B27" s="44" t="str">
        <f t="shared" si="9"/>
        <v/>
      </c>
      <c r="C27" s="45"/>
      <c r="D27" s="45"/>
      <c r="E27" s="45"/>
      <c r="F27" s="45"/>
      <c r="G27" s="32"/>
      <c r="H27" s="46">
        <v>22</v>
      </c>
      <c r="I27" s="47" t="str">
        <f t="shared" si="6"/>
        <v/>
      </c>
      <c r="J27" s="46">
        <f t="shared" si="7"/>
        <v>-3</v>
      </c>
      <c r="K27" s="46">
        <f t="shared" si="0"/>
        <v>-30</v>
      </c>
      <c r="L27" s="46"/>
      <c r="M27" s="48">
        <f t="shared" si="1"/>
        <v>0</v>
      </c>
      <c r="O27" s="150">
        <v>22</v>
      </c>
      <c r="P27" s="150"/>
      <c r="Q27" s="150"/>
      <c r="R27" s="151" t="str">
        <f t="shared" si="8"/>
        <v/>
      </c>
      <c r="S27" s="153">
        <f t="shared" si="2"/>
        <v>-3</v>
      </c>
      <c r="T27" s="153">
        <f t="shared" si="3"/>
        <v>-30</v>
      </c>
      <c r="U27" s="151"/>
      <c r="V27" s="151">
        <f t="shared" si="4"/>
        <v>0</v>
      </c>
    </row>
    <row r="28" spans="1:22" x14ac:dyDescent="0.25">
      <c r="A28" s="54">
        <f t="shared" si="5"/>
        <v>0</v>
      </c>
      <c r="B28" s="38" t="str">
        <f t="shared" si="9"/>
        <v/>
      </c>
      <c r="C28" s="39"/>
      <c r="D28" s="39"/>
      <c r="E28" s="39"/>
      <c r="F28" s="39"/>
      <c r="G28" s="32"/>
      <c r="H28" s="40">
        <v>23</v>
      </c>
      <c r="I28" s="41" t="str">
        <f t="shared" si="6"/>
        <v/>
      </c>
      <c r="J28" s="40">
        <f t="shared" si="7"/>
        <v>-3</v>
      </c>
      <c r="K28" s="40">
        <f t="shared" si="0"/>
        <v>-30</v>
      </c>
      <c r="L28" s="40"/>
      <c r="M28" s="42">
        <f t="shared" si="1"/>
        <v>0</v>
      </c>
      <c r="O28" s="150">
        <v>23</v>
      </c>
      <c r="P28" s="150"/>
      <c r="Q28" s="150"/>
      <c r="R28" s="151" t="str">
        <f t="shared" si="8"/>
        <v/>
      </c>
      <c r="S28" s="153">
        <f t="shared" si="2"/>
        <v>-3</v>
      </c>
      <c r="T28" s="153">
        <f t="shared" si="3"/>
        <v>-30</v>
      </c>
      <c r="U28" s="151"/>
      <c r="V28" s="151">
        <f t="shared" si="4"/>
        <v>0</v>
      </c>
    </row>
    <row r="29" spans="1:22" x14ac:dyDescent="0.25">
      <c r="A29" s="53">
        <f t="shared" si="5"/>
        <v>0</v>
      </c>
      <c r="B29" s="44" t="str">
        <f t="shared" si="9"/>
        <v/>
      </c>
      <c r="C29" s="45"/>
      <c r="D29" s="45"/>
      <c r="E29" s="45"/>
      <c r="F29" s="45"/>
      <c r="G29" s="18"/>
      <c r="H29" s="46">
        <v>24</v>
      </c>
      <c r="I29" s="47" t="str">
        <f t="shared" si="6"/>
        <v/>
      </c>
      <c r="J29" s="46">
        <f t="shared" si="7"/>
        <v>-3</v>
      </c>
      <c r="K29" s="46">
        <f t="shared" si="0"/>
        <v>-30</v>
      </c>
      <c r="L29" s="46"/>
      <c r="M29" s="48">
        <f t="shared" si="1"/>
        <v>0</v>
      </c>
      <c r="O29" s="150">
        <v>24</v>
      </c>
      <c r="P29" s="150"/>
      <c r="Q29" s="150"/>
      <c r="R29" s="151" t="str">
        <f t="shared" si="8"/>
        <v/>
      </c>
      <c r="S29" s="153">
        <f t="shared" si="2"/>
        <v>-3</v>
      </c>
      <c r="T29" s="153">
        <f t="shared" si="3"/>
        <v>-30</v>
      </c>
      <c r="U29" s="151"/>
      <c r="V29" s="151">
        <f t="shared" si="4"/>
        <v>0</v>
      </c>
    </row>
    <row r="30" spans="1:22" x14ac:dyDescent="0.25">
      <c r="A30" s="54">
        <f t="shared" si="5"/>
        <v>0</v>
      </c>
      <c r="B30" s="38" t="str">
        <f t="shared" si="9"/>
        <v/>
      </c>
      <c r="C30" s="39"/>
      <c r="D30" s="39"/>
      <c r="E30" s="39"/>
      <c r="F30" s="39"/>
      <c r="G30" s="18"/>
      <c r="H30" s="40">
        <v>25</v>
      </c>
      <c r="I30" s="41" t="str">
        <f t="shared" si="6"/>
        <v/>
      </c>
      <c r="J30" s="40">
        <f t="shared" si="7"/>
        <v>-3</v>
      </c>
      <c r="K30" s="40">
        <f t="shared" si="0"/>
        <v>-30</v>
      </c>
      <c r="L30" s="40"/>
      <c r="M30" s="42">
        <f t="shared" si="1"/>
        <v>0</v>
      </c>
      <c r="O30" s="150">
        <v>25</v>
      </c>
      <c r="P30" s="150"/>
      <c r="Q30" s="150"/>
      <c r="R30" s="151" t="str">
        <f t="shared" si="8"/>
        <v/>
      </c>
      <c r="S30" s="153">
        <f t="shared" si="2"/>
        <v>-3</v>
      </c>
      <c r="T30" s="153">
        <f t="shared" si="3"/>
        <v>-30</v>
      </c>
      <c r="U30" s="151"/>
      <c r="V30" s="151">
        <f t="shared" si="4"/>
        <v>0</v>
      </c>
    </row>
    <row r="31" spans="1:22" x14ac:dyDescent="0.25">
      <c r="A31" s="53">
        <f t="shared" si="5"/>
        <v>0</v>
      </c>
      <c r="B31" s="44" t="str">
        <f t="shared" si="9"/>
        <v/>
      </c>
      <c r="C31" s="45"/>
      <c r="D31" s="45"/>
      <c r="E31" s="45"/>
      <c r="F31" s="45"/>
      <c r="G31" s="18"/>
      <c r="H31" s="46">
        <v>26</v>
      </c>
      <c r="I31" s="47" t="str">
        <f t="shared" si="6"/>
        <v/>
      </c>
      <c r="J31" s="46">
        <f t="shared" si="7"/>
        <v>-3</v>
      </c>
      <c r="K31" s="46">
        <f t="shared" si="0"/>
        <v>-30</v>
      </c>
      <c r="L31" s="46"/>
      <c r="M31" s="48">
        <f t="shared" si="1"/>
        <v>0</v>
      </c>
      <c r="O31" s="150">
        <v>26</v>
      </c>
      <c r="P31" s="150"/>
      <c r="Q31" s="150"/>
      <c r="R31" s="151" t="str">
        <f t="shared" si="8"/>
        <v/>
      </c>
      <c r="S31" s="153">
        <f t="shared" si="2"/>
        <v>-3</v>
      </c>
      <c r="T31" s="153">
        <f t="shared" si="3"/>
        <v>-30</v>
      </c>
      <c r="U31" s="151"/>
      <c r="V31" s="151">
        <f t="shared" si="4"/>
        <v>0</v>
      </c>
    </row>
    <row r="32" spans="1:22" x14ac:dyDescent="0.25">
      <c r="A32" s="54">
        <f t="shared" si="5"/>
        <v>0</v>
      </c>
      <c r="B32" s="38" t="str">
        <f t="shared" si="9"/>
        <v/>
      </c>
      <c r="C32" s="39"/>
      <c r="D32" s="39"/>
      <c r="E32" s="39"/>
      <c r="F32" s="39"/>
      <c r="G32" s="18"/>
      <c r="H32" s="40">
        <v>27</v>
      </c>
      <c r="I32" s="41" t="str">
        <f t="shared" si="6"/>
        <v/>
      </c>
      <c r="J32" s="40">
        <f t="shared" si="7"/>
        <v>-3</v>
      </c>
      <c r="K32" s="40">
        <f t="shared" si="0"/>
        <v>-30</v>
      </c>
      <c r="L32" s="40"/>
      <c r="M32" s="42">
        <f t="shared" si="1"/>
        <v>0</v>
      </c>
      <c r="O32" s="150">
        <v>27</v>
      </c>
      <c r="P32" s="150"/>
      <c r="Q32" s="150"/>
      <c r="R32" s="151" t="str">
        <f t="shared" si="8"/>
        <v/>
      </c>
      <c r="S32" s="153">
        <f t="shared" si="2"/>
        <v>-3</v>
      </c>
      <c r="T32" s="153">
        <f t="shared" si="3"/>
        <v>-30</v>
      </c>
      <c r="U32" s="151"/>
      <c r="V32" s="151">
        <f t="shared" si="4"/>
        <v>0</v>
      </c>
    </row>
    <row r="33" spans="1:22" x14ac:dyDescent="0.25">
      <c r="A33" s="53">
        <f t="shared" si="5"/>
        <v>0</v>
      </c>
      <c r="B33" s="44" t="str">
        <f t="shared" si="9"/>
        <v/>
      </c>
      <c r="C33" s="45"/>
      <c r="D33" s="45"/>
      <c r="E33" s="45"/>
      <c r="F33" s="45"/>
      <c r="G33" s="18"/>
      <c r="H33" s="46">
        <v>28</v>
      </c>
      <c r="I33" s="47" t="str">
        <f t="shared" si="6"/>
        <v/>
      </c>
      <c r="J33" s="46">
        <f t="shared" si="7"/>
        <v>-3</v>
      </c>
      <c r="K33" s="46">
        <f t="shared" si="0"/>
        <v>-30</v>
      </c>
      <c r="L33" s="46"/>
      <c r="M33" s="48">
        <f t="shared" si="1"/>
        <v>0</v>
      </c>
      <c r="O33" s="150">
        <v>28</v>
      </c>
      <c r="P33" s="150"/>
      <c r="Q33" s="150"/>
      <c r="R33" s="151" t="str">
        <f t="shared" si="8"/>
        <v/>
      </c>
      <c r="S33" s="153">
        <f t="shared" si="2"/>
        <v>-3</v>
      </c>
      <c r="T33" s="153">
        <f t="shared" si="3"/>
        <v>-30</v>
      </c>
      <c r="U33" s="151"/>
      <c r="V33" s="151">
        <f t="shared" si="4"/>
        <v>0</v>
      </c>
    </row>
    <row r="34" spans="1:22" x14ac:dyDescent="0.25">
      <c r="A34" s="54">
        <f t="shared" si="5"/>
        <v>0</v>
      </c>
      <c r="B34" s="38" t="str">
        <f t="shared" si="9"/>
        <v/>
      </c>
      <c r="C34" s="39"/>
      <c r="D34" s="39"/>
      <c r="E34" s="39"/>
      <c r="F34" s="39"/>
      <c r="G34" s="18"/>
      <c r="H34" s="40">
        <v>29</v>
      </c>
      <c r="I34" s="41" t="str">
        <f t="shared" si="6"/>
        <v/>
      </c>
      <c r="J34" s="40">
        <f t="shared" si="7"/>
        <v>-3</v>
      </c>
      <c r="K34" s="40">
        <f t="shared" si="0"/>
        <v>-30</v>
      </c>
      <c r="L34" s="40"/>
      <c r="M34" s="42">
        <f t="shared" si="1"/>
        <v>0</v>
      </c>
      <c r="O34" s="150">
        <v>29</v>
      </c>
      <c r="P34" s="150"/>
      <c r="Q34" s="150"/>
      <c r="R34" s="151" t="str">
        <f t="shared" si="8"/>
        <v/>
      </c>
      <c r="S34" s="153">
        <f t="shared" si="2"/>
        <v>-3</v>
      </c>
      <c r="T34" s="153">
        <f t="shared" si="3"/>
        <v>-30</v>
      </c>
      <c r="U34" s="151"/>
      <c r="V34" s="151">
        <f t="shared" si="4"/>
        <v>0</v>
      </c>
    </row>
    <row r="35" spans="1:22" x14ac:dyDescent="0.25">
      <c r="A35" s="53">
        <f t="shared" si="5"/>
        <v>0</v>
      </c>
      <c r="B35" s="44" t="str">
        <f t="shared" si="9"/>
        <v/>
      </c>
      <c r="C35" s="45"/>
      <c r="D35" s="45"/>
      <c r="E35" s="45"/>
      <c r="F35" s="45"/>
      <c r="G35" s="18"/>
      <c r="H35" s="46">
        <v>30</v>
      </c>
      <c r="I35" s="47" t="str">
        <f t="shared" si="6"/>
        <v/>
      </c>
      <c r="J35" s="46">
        <f t="shared" si="7"/>
        <v>-3</v>
      </c>
      <c r="K35" s="46">
        <f t="shared" si="0"/>
        <v>-30</v>
      </c>
      <c r="L35" s="46"/>
      <c r="M35" s="48">
        <f t="shared" si="1"/>
        <v>0</v>
      </c>
      <c r="O35" s="150">
        <v>30</v>
      </c>
      <c r="P35" s="150"/>
      <c r="Q35" s="150"/>
      <c r="R35" s="151" t="str">
        <f t="shared" si="8"/>
        <v/>
      </c>
      <c r="S35" s="153">
        <f t="shared" si="2"/>
        <v>-3</v>
      </c>
      <c r="T35" s="153">
        <f t="shared" si="3"/>
        <v>-30</v>
      </c>
      <c r="U35" s="151"/>
      <c r="V35" s="151">
        <f t="shared" si="4"/>
        <v>0</v>
      </c>
    </row>
    <row r="36" spans="1:22" x14ac:dyDescent="0.25">
      <c r="A36" s="54">
        <f t="shared" si="5"/>
        <v>0</v>
      </c>
      <c r="B36" s="38" t="str">
        <f t="shared" si="9"/>
        <v/>
      </c>
      <c r="C36" s="39"/>
      <c r="D36" s="39"/>
      <c r="E36" s="39"/>
      <c r="F36" s="39"/>
      <c r="G36" s="18"/>
      <c r="H36" s="40">
        <v>31</v>
      </c>
      <c r="I36" s="41" t="str">
        <f t="shared" si="6"/>
        <v/>
      </c>
      <c r="J36" s="40">
        <f t="shared" si="7"/>
        <v>-3</v>
      </c>
      <c r="K36" s="40">
        <f t="shared" si="0"/>
        <v>-30</v>
      </c>
      <c r="L36" s="40"/>
      <c r="M36" s="42">
        <f t="shared" si="1"/>
        <v>0</v>
      </c>
      <c r="O36" s="150">
        <v>31</v>
      </c>
      <c r="P36" s="150"/>
      <c r="Q36" s="150"/>
      <c r="R36" s="151" t="str">
        <f t="shared" si="8"/>
        <v/>
      </c>
      <c r="S36" s="153">
        <f t="shared" si="2"/>
        <v>-3</v>
      </c>
      <c r="T36" s="153">
        <f t="shared" si="3"/>
        <v>-30</v>
      </c>
      <c r="U36" s="151"/>
      <c r="V36" s="151">
        <f t="shared" si="4"/>
        <v>0</v>
      </c>
    </row>
    <row r="37" spans="1:22" x14ac:dyDescent="0.25">
      <c r="A37" s="53">
        <f t="shared" si="5"/>
        <v>0</v>
      </c>
      <c r="B37" s="44" t="str">
        <f t="shared" si="9"/>
        <v/>
      </c>
      <c r="C37" s="45"/>
      <c r="D37" s="45"/>
      <c r="E37" s="45"/>
      <c r="F37" s="45"/>
      <c r="G37" s="18"/>
      <c r="H37" s="46">
        <v>32</v>
      </c>
      <c r="I37" s="47" t="str">
        <f t="shared" si="6"/>
        <v/>
      </c>
      <c r="J37" s="46">
        <f t="shared" si="7"/>
        <v>-3</v>
      </c>
      <c r="K37" s="46">
        <f t="shared" si="0"/>
        <v>-30</v>
      </c>
      <c r="L37" s="46"/>
      <c r="M37" s="48">
        <f t="shared" si="1"/>
        <v>0</v>
      </c>
      <c r="O37" s="150">
        <v>32</v>
      </c>
      <c r="P37" s="150"/>
      <c r="Q37" s="150"/>
      <c r="R37" s="151" t="str">
        <f t="shared" si="8"/>
        <v/>
      </c>
      <c r="S37" s="153">
        <f t="shared" si="2"/>
        <v>-3</v>
      </c>
      <c r="T37" s="153">
        <f t="shared" si="3"/>
        <v>-30</v>
      </c>
      <c r="U37" s="151"/>
      <c r="V37" s="151">
        <f t="shared" si="4"/>
        <v>0</v>
      </c>
    </row>
    <row r="38" spans="1:22" x14ac:dyDescent="0.25">
      <c r="A38" s="54"/>
      <c r="B38" s="38" t="str">
        <f t="shared" ref="B38:B65" si="10">IF(H38&gt;$H$2,"",(ROW()-5))</f>
        <v/>
      </c>
      <c r="C38" s="39"/>
      <c r="D38" s="39"/>
      <c r="E38" s="39"/>
      <c r="F38" s="39"/>
      <c r="G38" s="18"/>
      <c r="H38" s="40">
        <v>33</v>
      </c>
      <c r="I38" s="41" t="str">
        <f t="shared" si="6"/>
        <v/>
      </c>
      <c r="J38" s="40">
        <f t="shared" si="7"/>
        <v>-4</v>
      </c>
      <c r="K38" s="40">
        <f t="shared" si="0"/>
        <v>-40</v>
      </c>
      <c r="L38" s="40"/>
      <c r="M38" s="42">
        <f t="shared" si="1"/>
        <v>0</v>
      </c>
      <c r="O38" s="150">
        <v>33</v>
      </c>
      <c r="P38" s="150"/>
      <c r="Q38" s="150"/>
      <c r="R38" s="151" t="str">
        <f t="shared" si="8"/>
        <v/>
      </c>
      <c r="S38" s="153">
        <f t="shared" si="2"/>
        <v>-4</v>
      </c>
      <c r="T38" s="153">
        <f t="shared" si="3"/>
        <v>-40</v>
      </c>
      <c r="U38" s="151"/>
      <c r="V38" s="151">
        <f t="shared" si="4"/>
        <v>0</v>
      </c>
    </row>
    <row r="39" spans="1:22" x14ac:dyDescent="0.25">
      <c r="A39" s="53"/>
      <c r="B39" s="44" t="str">
        <f t="shared" si="10"/>
        <v/>
      </c>
      <c r="C39" s="45"/>
      <c r="D39" s="45"/>
      <c r="E39" s="45"/>
      <c r="F39" s="45"/>
      <c r="G39" s="18"/>
      <c r="H39" s="46">
        <v>34</v>
      </c>
      <c r="I39" s="47" t="str">
        <f t="shared" si="6"/>
        <v/>
      </c>
      <c r="J39" s="46">
        <f t="shared" si="7"/>
        <v>-4</v>
      </c>
      <c r="K39" s="46">
        <f t="shared" si="0"/>
        <v>-40</v>
      </c>
      <c r="L39" s="46"/>
      <c r="M39" s="48">
        <f t="shared" si="1"/>
        <v>0</v>
      </c>
      <c r="O39" s="150">
        <v>34</v>
      </c>
      <c r="P39" s="150"/>
      <c r="Q39" s="150"/>
      <c r="R39" s="151" t="str">
        <f t="shared" si="8"/>
        <v/>
      </c>
      <c r="S39" s="153">
        <f t="shared" si="2"/>
        <v>-4</v>
      </c>
      <c r="T39" s="153">
        <f t="shared" si="3"/>
        <v>-40</v>
      </c>
      <c r="U39" s="151"/>
      <c r="V39" s="151">
        <f t="shared" si="4"/>
        <v>0</v>
      </c>
    </row>
    <row r="40" spans="1:22" x14ac:dyDescent="0.25">
      <c r="A40" s="54"/>
      <c r="B40" s="38" t="str">
        <f t="shared" si="10"/>
        <v/>
      </c>
      <c r="C40" s="39"/>
      <c r="D40" s="39"/>
      <c r="E40" s="39"/>
      <c r="F40" s="39"/>
      <c r="G40" s="18"/>
      <c r="H40" s="40">
        <v>35</v>
      </c>
      <c r="I40" s="41" t="str">
        <f t="shared" si="6"/>
        <v/>
      </c>
      <c r="J40" s="40">
        <f t="shared" si="7"/>
        <v>-4</v>
      </c>
      <c r="K40" s="40">
        <f t="shared" si="0"/>
        <v>-40</v>
      </c>
      <c r="L40" s="40"/>
      <c r="M40" s="42">
        <f t="shared" si="1"/>
        <v>0</v>
      </c>
      <c r="O40" s="150">
        <v>35</v>
      </c>
      <c r="P40" s="150"/>
      <c r="Q40" s="150"/>
      <c r="R40" s="151" t="str">
        <f t="shared" si="8"/>
        <v/>
      </c>
      <c r="S40" s="153">
        <f t="shared" si="2"/>
        <v>-4</v>
      </c>
      <c r="T40" s="153">
        <f t="shared" si="3"/>
        <v>-40</v>
      </c>
      <c r="U40" s="151"/>
      <c r="V40" s="151">
        <f t="shared" si="4"/>
        <v>0</v>
      </c>
    </row>
    <row r="41" spans="1:22" x14ac:dyDescent="0.25">
      <c r="A41" s="53"/>
      <c r="B41" s="44" t="str">
        <f t="shared" si="10"/>
        <v/>
      </c>
      <c r="C41" s="45"/>
      <c r="D41" s="45"/>
      <c r="E41" s="45"/>
      <c r="F41" s="45"/>
      <c r="G41" s="18"/>
      <c r="H41" s="46">
        <v>36</v>
      </c>
      <c r="I41" s="47" t="str">
        <f t="shared" si="6"/>
        <v/>
      </c>
      <c r="J41" s="46">
        <f t="shared" si="7"/>
        <v>-4</v>
      </c>
      <c r="K41" s="46">
        <f t="shared" si="0"/>
        <v>-40</v>
      </c>
      <c r="L41" s="46"/>
      <c r="M41" s="48">
        <f t="shared" si="1"/>
        <v>0</v>
      </c>
      <c r="O41" s="150">
        <v>36</v>
      </c>
      <c r="P41" s="150"/>
      <c r="Q41" s="150"/>
      <c r="R41" s="151" t="str">
        <f t="shared" si="8"/>
        <v/>
      </c>
      <c r="S41" s="153">
        <f t="shared" si="2"/>
        <v>-4</v>
      </c>
      <c r="T41" s="153">
        <f t="shared" si="3"/>
        <v>-40</v>
      </c>
      <c r="U41" s="151"/>
      <c r="V41" s="151">
        <f t="shared" si="4"/>
        <v>0</v>
      </c>
    </row>
    <row r="42" spans="1:22" x14ac:dyDescent="0.25">
      <c r="A42" s="54"/>
      <c r="B42" s="38" t="str">
        <f t="shared" si="10"/>
        <v/>
      </c>
      <c r="C42" s="39"/>
      <c r="D42" s="39"/>
      <c r="E42" s="39"/>
      <c r="F42" s="39"/>
      <c r="G42" s="18"/>
      <c r="H42" s="40">
        <v>37</v>
      </c>
      <c r="I42" s="41" t="str">
        <f t="shared" si="6"/>
        <v/>
      </c>
      <c r="J42" s="40">
        <f t="shared" si="7"/>
        <v>-4</v>
      </c>
      <c r="K42" s="40">
        <f t="shared" si="0"/>
        <v>-40</v>
      </c>
      <c r="L42" s="40"/>
      <c r="M42" s="42">
        <f t="shared" si="1"/>
        <v>0</v>
      </c>
      <c r="O42" s="150">
        <v>37</v>
      </c>
      <c r="P42" s="150"/>
      <c r="Q42" s="150"/>
      <c r="R42" s="151" t="str">
        <f t="shared" si="8"/>
        <v/>
      </c>
      <c r="S42" s="153">
        <f t="shared" si="2"/>
        <v>-4</v>
      </c>
      <c r="T42" s="153">
        <f t="shared" si="3"/>
        <v>-40</v>
      </c>
      <c r="U42" s="151"/>
      <c r="V42" s="151">
        <f t="shared" si="4"/>
        <v>0</v>
      </c>
    </row>
    <row r="43" spans="1:22" x14ac:dyDescent="0.25">
      <c r="A43" s="53"/>
      <c r="B43" s="44" t="str">
        <f t="shared" si="10"/>
        <v/>
      </c>
      <c r="C43" s="45"/>
      <c r="D43" s="45"/>
      <c r="E43" s="45"/>
      <c r="F43" s="45"/>
      <c r="G43" s="18"/>
      <c r="H43" s="46">
        <v>38</v>
      </c>
      <c r="I43" s="47" t="str">
        <f t="shared" si="6"/>
        <v/>
      </c>
      <c r="J43" s="46">
        <f t="shared" si="7"/>
        <v>-4</v>
      </c>
      <c r="K43" s="46">
        <f t="shared" si="0"/>
        <v>-40</v>
      </c>
      <c r="L43" s="46"/>
      <c r="M43" s="48">
        <f t="shared" si="1"/>
        <v>0</v>
      </c>
      <c r="O43" s="150">
        <v>38</v>
      </c>
      <c r="P43" s="150"/>
      <c r="Q43" s="150"/>
      <c r="R43" s="151" t="str">
        <f t="shared" si="8"/>
        <v/>
      </c>
      <c r="S43" s="153">
        <f t="shared" si="2"/>
        <v>-4</v>
      </c>
      <c r="T43" s="153">
        <f t="shared" si="3"/>
        <v>-40</v>
      </c>
      <c r="U43" s="151"/>
      <c r="V43" s="151">
        <f t="shared" si="4"/>
        <v>0</v>
      </c>
    </row>
    <row r="44" spans="1:22" x14ac:dyDescent="0.25">
      <c r="A44" s="54"/>
      <c r="B44" s="38" t="str">
        <f t="shared" si="10"/>
        <v/>
      </c>
      <c r="C44" s="39"/>
      <c r="D44" s="39"/>
      <c r="E44" s="39"/>
      <c r="F44" s="39"/>
      <c r="G44" s="18"/>
      <c r="H44" s="40">
        <v>39</v>
      </c>
      <c r="I44" s="41" t="str">
        <f t="shared" si="6"/>
        <v/>
      </c>
      <c r="J44" s="40">
        <f t="shared" si="7"/>
        <v>-4</v>
      </c>
      <c r="K44" s="40">
        <f t="shared" si="0"/>
        <v>-40</v>
      </c>
      <c r="L44" s="40"/>
      <c r="M44" s="42">
        <f t="shared" si="1"/>
        <v>0</v>
      </c>
      <c r="O44" s="150">
        <v>39</v>
      </c>
      <c r="P44" s="150"/>
      <c r="Q44" s="150"/>
      <c r="R44" s="151" t="str">
        <f t="shared" si="8"/>
        <v/>
      </c>
      <c r="S44" s="153">
        <f t="shared" si="2"/>
        <v>-4</v>
      </c>
      <c r="T44" s="153">
        <f t="shared" si="3"/>
        <v>-40</v>
      </c>
      <c r="U44" s="151"/>
      <c r="V44" s="151">
        <f t="shared" si="4"/>
        <v>0</v>
      </c>
    </row>
    <row r="45" spans="1:22" x14ac:dyDescent="0.25">
      <c r="A45" s="53"/>
      <c r="B45" s="44" t="str">
        <f t="shared" si="10"/>
        <v/>
      </c>
      <c r="C45" s="45"/>
      <c r="D45" s="45"/>
      <c r="E45" s="45"/>
      <c r="F45" s="45"/>
      <c r="G45" s="18"/>
      <c r="H45" s="46">
        <v>40</v>
      </c>
      <c r="I45" s="47" t="str">
        <f t="shared" si="6"/>
        <v/>
      </c>
      <c r="J45" s="46">
        <f t="shared" si="7"/>
        <v>-4</v>
      </c>
      <c r="K45" s="46">
        <f t="shared" si="0"/>
        <v>-40</v>
      </c>
      <c r="L45" s="46"/>
      <c r="M45" s="48">
        <f t="shared" si="1"/>
        <v>0</v>
      </c>
      <c r="O45" s="150">
        <v>40</v>
      </c>
      <c r="P45" s="150"/>
      <c r="Q45" s="150"/>
      <c r="R45" s="151" t="str">
        <f t="shared" si="8"/>
        <v/>
      </c>
      <c r="S45" s="153">
        <f t="shared" si="2"/>
        <v>-4</v>
      </c>
      <c r="T45" s="153">
        <f t="shared" si="3"/>
        <v>-40</v>
      </c>
      <c r="U45" s="151"/>
      <c r="V45" s="151">
        <f t="shared" si="4"/>
        <v>0</v>
      </c>
    </row>
    <row r="46" spans="1:22" x14ac:dyDescent="0.25">
      <c r="A46" s="54"/>
      <c r="B46" s="38" t="str">
        <f t="shared" si="10"/>
        <v/>
      </c>
      <c r="C46" s="39"/>
      <c r="D46" s="39"/>
      <c r="E46" s="39"/>
      <c r="F46" s="39"/>
      <c r="G46" s="18"/>
      <c r="H46" s="40">
        <v>41</v>
      </c>
      <c r="I46" s="41" t="str">
        <f t="shared" si="6"/>
        <v/>
      </c>
      <c r="J46" s="40">
        <f t="shared" si="7"/>
        <v>-4</v>
      </c>
      <c r="K46" s="40">
        <f t="shared" si="0"/>
        <v>-40</v>
      </c>
      <c r="L46" s="40"/>
      <c r="M46" s="42">
        <f t="shared" si="1"/>
        <v>0</v>
      </c>
      <c r="O46" s="150">
        <v>41</v>
      </c>
      <c r="P46" s="150"/>
      <c r="Q46" s="150"/>
      <c r="R46" s="151" t="str">
        <f t="shared" si="8"/>
        <v/>
      </c>
      <c r="S46" s="153">
        <f t="shared" si="2"/>
        <v>-4</v>
      </c>
      <c r="T46" s="153">
        <f t="shared" si="3"/>
        <v>-40</v>
      </c>
      <c r="U46" s="151"/>
      <c r="V46" s="151">
        <f t="shared" si="4"/>
        <v>0</v>
      </c>
    </row>
    <row r="47" spans="1:22" x14ac:dyDescent="0.25">
      <c r="A47" s="53"/>
      <c r="B47" s="44" t="str">
        <f t="shared" si="10"/>
        <v/>
      </c>
      <c r="C47" s="45"/>
      <c r="D47" s="45"/>
      <c r="E47" s="45"/>
      <c r="F47" s="45"/>
      <c r="G47" s="18"/>
      <c r="H47" s="46">
        <v>42</v>
      </c>
      <c r="I47" s="47" t="str">
        <f t="shared" si="6"/>
        <v/>
      </c>
      <c r="J47" s="46">
        <f t="shared" si="7"/>
        <v>-4</v>
      </c>
      <c r="K47" s="46">
        <f t="shared" si="0"/>
        <v>-40</v>
      </c>
      <c r="L47" s="46"/>
      <c r="M47" s="48">
        <f t="shared" si="1"/>
        <v>0</v>
      </c>
      <c r="O47" s="150">
        <v>42</v>
      </c>
      <c r="P47" s="150"/>
      <c r="Q47" s="150"/>
      <c r="R47" s="151" t="str">
        <f t="shared" si="8"/>
        <v/>
      </c>
      <c r="S47" s="153">
        <f t="shared" si="2"/>
        <v>-4</v>
      </c>
      <c r="T47" s="153">
        <f t="shared" si="3"/>
        <v>-40</v>
      </c>
      <c r="U47" s="151"/>
      <c r="V47" s="151">
        <f t="shared" si="4"/>
        <v>0</v>
      </c>
    </row>
    <row r="48" spans="1:22" x14ac:dyDescent="0.25">
      <c r="A48" s="54"/>
      <c r="B48" s="38" t="str">
        <f t="shared" si="10"/>
        <v/>
      </c>
      <c r="C48" s="39"/>
      <c r="D48" s="39"/>
      <c r="E48" s="39"/>
      <c r="F48" s="39"/>
      <c r="G48" s="18"/>
      <c r="H48" s="40">
        <v>43</v>
      </c>
      <c r="I48" s="41" t="str">
        <f t="shared" si="6"/>
        <v/>
      </c>
      <c r="J48" s="40">
        <f t="shared" si="7"/>
        <v>-4</v>
      </c>
      <c r="K48" s="40">
        <f t="shared" si="0"/>
        <v>-40</v>
      </c>
      <c r="L48" s="40"/>
      <c r="M48" s="42">
        <f t="shared" si="1"/>
        <v>0</v>
      </c>
      <c r="O48" s="150">
        <v>43</v>
      </c>
      <c r="P48" s="150"/>
      <c r="Q48" s="150"/>
      <c r="R48" s="151" t="str">
        <f t="shared" si="8"/>
        <v/>
      </c>
      <c r="S48" s="153">
        <f t="shared" si="2"/>
        <v>-4</v>
      </c>
      <c r="T48" s="153">
        <f t="shared" si="3"/>
        <v>-40</v>
      </c>
      <c r="U48" s="151"/>
      <c r="V48" s="151">
        <f t="shared" si="4"/>
        <v>0</v>
      </c>
    </row>
    <row r="49" spans="1:22" x14ac:dyDescent="0.25">
      <c r="A49" s="53"/>
      <c r="B49" s="44" t="str">
        <f t="shared" si="10"/>
        <v/>
      </c>
      <c r="C49" s="45"/>
      <c r="D49" s="45"/>
      <c r="E49" s="45"/>
      <c r="F49" s="45"/>
      <c r="G49" s="18"/>
      <c r="H49" s="46">
        <v>44</v>
      </c>
      <c r="I49" s="47" t="str">
        <f t="shared" si="6"/>
        <v/>
      </c>
      <c r="J49" s="46">
        <f t="shared" si="7"/>
        <v>-4</v>
      </c>
      <c r="K49" s="46">
        <f t="shared" si="0"/>
        <v>-40</v>
      </c>
      <c r="L49" s="46"/>
      <c r="M49" s="48">
        <f t="shared" si="1"/>
        <v>0</v>
      </c>
      <c r="O49" s="150">
        <v>44</v>
      </c>
      <c r="P49" s="150"/>
      <c r="Q49" s="150"/>
      <c r="R49" s="151" t="str">
        <f t="shared" si="8"/>
        <v/>
      </c>
      <c r="S49" s="153">
        <f t="shared" si="2"/>
        <v>-4</v>
      </c>
      <c r="T49" s="153">
        <f t="shared" si="3"/>
        <v>-40</v>
      </c>
      <c r="U49" s="151"/>
      <c r="V49" s="151">
        <f t="shared" si="4"/>
        <v>0</v>
      </c>
    </row>
    <row r="50" spans="1:22" x14ac:dyDescent="0.25">
      <c r="A50" s="54"/>
      <c r="B50" s="38" t="str">
        <f t="shared" si="10"/>
        <v/>
      </c>
      <c r="C50" s="39"/>
      <c r="D50" s="39"/>
      <c r="E50" s="39"/>
      <c r="F50" s="39"/>
      <c r="G50" s="18"/>
      <c r="H50" s="40">
        <v>45</v>
      </c>
      <c r="I50" s="41" t="str">
        <f t="shared" si="6"/>
        <v/>
      </c>
      <c r="J50" s="40">
        <f t="shared" si="7"/>
        <v>-4</v>
      </c>
      <c r="K50" s="40">
        <f t="shared" si="0"/>
        <v>-40</v>
      </c>
      <c r="L50" s="40"/>
      <c r="M50" s="42">
        <f t="shared" si="1"/>
        <v>0</v>
      </c>
      <c r="O50" s="150">
        <v>45</v>
      </c>
      <c r="P50" s="150"/>
      <c r="Q50" s="150"/>
      <c r="R50" s="151" t="str">
        <f t="shared" si="8"/>
        <v/>
      </c>
      <c r="S50" s="153">
        <f t="shared" si="2"/>
        <v>-4</v>
      </c>
      <c r="T50" s="153">
        <f t="shared" si="3"/>
        <v>-40</v>
      </c>
      <c r="U50" s="151"/>
      <c r="V50" s="151">
        <f t="shared" si="4"/>
        <v>0</v>
      </c>
    </row>
    <row r="51" spans="1:22" x14ac:dyDescent="0.25">
      <c r="A51" s="53"/>
      <c r="B51" s="44" t="str">
        <f t="shared" si="10"/>
        <v/>
      </c>
      <c r="C51" s="45"/>
      <c r="D51" s="45"/>
      <c r="E51" s="45"/>
      <c r="F51" s="45"/>
      <c r="G51" s="18"/>
      <c r="H51" s="46">
        <v>46</v>
      </c>
      <c r="I51" s="47" t="str">
        <f t="shared" si="6"/>
        <v/>
      </c>
      <c r="J51" s="46">
        <f t="shared" si="7"/>
        <v>-4</v>
      </c>
      <c r="K51" s="46">
        <f t="shared" si="0"/>
        <v>-40</v>
      </c>
      <c r="L51" s="46"/>
      <c r="M51" s="48">
        <f t="shared" si="1"/>
        <v>0</v>
      </c>
      <c r="O51" s="150">
        <v>46</v>
      </c>
      <c r="P51" s="150"/>
      <c r="Q51" s="150"/>
      <c r="R51" s="151" t="str">
        <f t="shared" si="8"/>
        <v/>
      </c>
      <c r="S51" s="153">
        <f t="shared" si="2"/>
        <v>-4</v>
      </c>
      <c r="T51" s="153">
        <f t="shared" si="3"/>
        <v>-40</v>
      </c>
      <c r="U51" s="151"/>
      <c r="V51" s="151">
        <f t="shared" si="4"/>
        <v>0</v>
      </c>
    </row>
    <row r="52" spans="1:22" x14ac:dyDescent="0.25">
      <c r="A52" s="54"/>
      <c r="B52" s="38" t="str">
        <f t="shared" si="10"/>
        <v/>
      </c>
      <c r="C52" s="39"/>
      <c r="D52" s="39"/>
      <c r="E52" s="39"/>
      <c r="F52" s="39"/>
      <c r="G52" s="18"/>
      <c r="H52" s="40">
        <v>47</v>
      </c>
      <c r="I52" s="41" t="str">
        <f t="shared" si="6"/>
        <v/>
      </c>
      <c r="J52" s="40">
        <f t="shared" si="7"/>
        <v>-4</v>
      </c>
      <c r="K52" s="40">
        <f t="shared" si="0"/>
        <v>-40</v>
      </c>
      <c r="L52" s="40"/>
      <c r="M52" s="42">
        <f t="shared" si="1"/>
        <v>0</v>
      </c>
      <c r="O52" s="150">
        <v>47</v>
      </c>
      <c r="P52" s="150"/>
      <c r="Q52" s="150"/>
      <c r="R52" s="151" t="str">
        <f t="shared" si="8"/>
        <v/>
      </c>
      <c r="S52" s="153">
        <f t="shared" si="2"/>
        <v>-4</v>
      </c>
      <c r="T52" s="153">
        <f t="shared" si="3"/>
        <v>-40</v>
      </c>
      <c r="U52" s="151"/>
      <c r="V52" s="151">
        <f t="shared" si="4"/>
        <v>0</v>
      </c>
    </row>
    <row r="53" spans="1:22" x14ac:dyDescent="0.25">
      <c r="A53" s="53"/>
      <c r="B53" s="44" t="str">
        <f t="shared" si="10"/>
        <v/>
      </c>
      <c r="C53" s="45"/>
      <c r="D53" s="45"/>
      <c r="E53" s="45"/>
      <c r="F53" s="45"/>
      <c r="G53" s="18"/>
      <c r="H53" s="46">
        <v>48</v>
      </c>
      <c r="I53" s="47" t="str">
        <f t="shared" si="6"/>
        <v/>
      </c>
      <c r="J53" s="46">
        <f t="shared" si="7"/>
        <v>-4</v>
      </c>
      <c r="K53" s="46">
        <f t="shared" si="0"/>
        <v>-40</v>
      </c>
      <c r="L53" s="46"/>
      <c r="M53" s="48">
        <f t="shared" si="1"/>
        <v>0</v>
      </c>
      <c r="O53" s="150">
        <v>48</v>
      </c>
      <c r="P53" s="150"/>
      <c r="Q53" s="150"/>
      <c r="R53" s="151" t="str">
        <f t="shared" si="8"/>
        <v/>
      </c>
      <c r="S53" s="153">
        <f t="shared" si="2"/>
        <v>-4</v>
      </c>
      <c r="T53" s="153">
        <f t="shared" si="3"/>
        <v>-40</v>
      </c>
      <c r="U53" s="151"/>
      <c r="V53" s="151">
        <f t="shared" si="4"/>
        <v>0</v>
      </c>
    </row>
    <row r="54" spans="1:22" x14ac:dyDescent="0.25">
      <c r="A54" s="54"/>
      <c r="B54" s="38" t="str">
        <f t="shared" si="10"/>
        <v/>
      </c>
      <c r="C54" s="39"/>
      <c r="D54" s="39"/>
      <c r="E54" s="39"/>
      <c r="F54" s="39"/>
      <c r="G54" s="18"/>
      <c r="H54" s="40">
        <v>49</v>
      </c>
      <c r="I54" s="41" t="str">
        <f t="shared" si="6"/>
        <v/>
      </c>
      <c r="J54" s="40">
        <f t="shared" si="7"/>
        <v>-4</v>
      </c>
      <c r="K54" s="40">
        <f t="shared" si="0"/>
        <v>-40</v>
      </c>
      <c r="L54" s="40"/>
      <c r="M54" s="42">
        <f t="shared" si="1"/>
        <v>0</v>
      </c>
      <c r="O54" s="150">
        <v>49</v>
      </c>
      <c r="P54" s="150"/>
      <c r="Q54" s="150"/>
      <c r="R54" s="151" t="str">
        <f t="shared" si="8"/>
        <v/>
      </c>
      <c r="S54" s="153">
        <f t="shared" si="2"/>
        <v>-4</v>
      </c>
      <c r="T54" s="153">
        <f t="shared" si="3"/>
        <v>-40</v>
      </c>
      <c r="U54" s="151"/>
      <c r="V54" s="151">
        <f t="shared" si="4"/>
        <v>0</v>
      </c>
    </row>
    <row r="55" spans="1:22" x14ac:dyDescent="0.25">
      <c r="A55" s="53"/>
      <c r="B55" s="44" t="str">
        <f t="shared" si="10"/>
        <v/>
      </c>
      <c r="C55" s="45"/>
      <c r="D55" s="45"/>
      <c r="E55" s="45"/>
      <c r="F55" s="45"/>
      <c r="G55" s="18"/>
      <c r="H55" s="46">
        <v>50</v>
      </c>
      <c r="I55" s="47" t="str">
        <f t="shared" si="6"/>
        <v/>
      </c>
      <c r="J55" s="46">
        <f t="shared" si="7"/>
        <v>-4</v>
      </c>
      <c r="K55" s="46">
        <f t="shared" si="0"/>
        <v>-40</v>
      </c>
      <c r="L55" s="46"/>
      <c r="M55" s="48">
        <f t="shared" si="1"/>
        <v>0</v>
      </c>
      <c r="O55" s="150">
        <v>50</v>
      </c>
      <c r="P55" s="150"/>
      <c r="Q55" s="150"/>
      <c r="R55" s="151" t="str">
        <f t="shared" si="8"/>
        <v/>
      </c>
      <c r="S55" s="153">
        <f t="shared" si="2"/>
        <v>-4</v>
      </c>
      <c r="T55" s="153">
        <f t="shared" si="3"/>
        <v>-40</v>
      </c>
      <c r="U55" s="151"/>
      <c r="V55" s="151">
        <f t="shared" si="4"/>
        <v>0</v>
      </c>
    </row>
    <row r="56" spans="1:22" x14ac:dyDescent="0.25">
      <c r="A56" s="54"/>
      <c r="B56" s="38" t="str">
        <f t="shared" si="10"/>
        <v/>
      </c>
      <c r="C56" s="39"/>
      <c r="D56" s="39"/>
      <c r="E56" s="39"/>
      <c r="F56" s="39"/>
      <c r="G56" s="18"/>
      <c r="H56" s="40">
        <v>51</v>
      </c>
      <c r="I56" s="41" t="str">
        <f t="shared" si="6"/>
        <v/>
      </c>
      <c r="J56" s="40">
        <f t="shared" si="7"/>
        <v>-4</v>
      </c>
      <c r="K56" s="40">
        <f t="shared" si="0"/>
        <v>-40</v>
      </c>
      <c r="L56" s="40"/>
      <c r="M56" s="42">
        <f t="shared" si="1"/>
        <v>0</v>
      </c>
      <c r="O56" s="150">
        <v>51</v>
      </c>
      <c r="P56" s="150"/>
      <c r="Q56" s="150"/>
      <c r="R56" s="151" t="str">
        <f t="shared" si="8"/>
        <v/>
      </c>
      <c r="S56" s="153">
        <f t="shared" si="2"/>
        <v>-4</v>
      </c>
      <c r="T56" s="153">
        <f t="shared" si="3"/>
        <v>-40</v>
      </c>
      <c r="U56" s="151"/>
      <c r="V56" s="151">
        <f t="shared" si="4"/>
        <v>0</v>
      </c>
    </row>
    <row r="57" spans="1:22" x14ac:dyDescent="0.25">
      <c r="A57" s="53"/>
      <c r="B57" s="44" t="str">
        <f t="shared" si="10"/>
        <v/>
      </c>
      <c r="C57" s="45"/>
      <c r="D57" s="45"/>
      <c r="E57" s="45"/>
      <c r="F57" s="45"/>
      <c r="G57" s="18"/>
      <c r="H57" s="46">
        <v>52</v>
      </c>
      <c r="I57" s="47" t="str">
        <f t="shared" si="6"/>
        <v/>
      </c>
      <c r="J57" s="46">
        <f t="shared" si="7"/>
        <v>-4</v>
      </c>
      <c r="K57" s="46">
        <f t="shared" si="0"/>
        <v>-40</v>
      </c>
      <c r="L57" s="46"/>
      <c r="M57" s="48">
        <f t="shared" si="1"/>
        <v>0</v>
      </c>
      <c r="O57" s="150">
        <v>52</v>
      </c>
      <c r="P57" s="150"/>
      <c r="Q57" s="150"/>
      <c r="R57" s="151" t="str">
        <f t="shared" si="8"/>
        <v/>
      </c>
      <c r="S57" s="153">
        <f t="shared" si="2"/>
        <v>-4</v>
      </c>
      <c r="T57" s="153">
        <f t="shared" si="3"/>
        <v>-40</v>
      </c>
      <c r="U57" s="151"/>
      <c r="V57" s="151">
        <f t="shared" si="4"/>
        <v>0</v>
      </c>
    </row>
    <row r="58" spans="1:22" x14ac:dyDescent="0.25">
      <c r="A58" s="54"/>
      <c r="B58" s="38" t="str">
        <f t="shared" si="10"/>
        <v/>
      </c>
      <c r="C58" s="39"/>
      <c r="D58" s="39"/>
      <c r="E58" s="39"/>
      <c r="F58" s="39"/>
      <c r="G58" s="18"/>
      <c r="H58" s="40">
        <v>53</v>
      </c>
      <c r="I58" s="41" t="str">
        <f t="shared" si="6"/>
        <v/>
      </c>
      <c r="J58" s="40">
        <f t="shared" si="7"/>
        <v>-4</v>
      </c>
      <c r="K58" s="40">
        <f t="shared" si="0"/>
        <v>-40</v>
      </c>
      <c r="L58" s="40"/>
      <c r="M58" s="42">
        <f t="shared" si="1"/>
        <v>0</v>
      </c>
      <c r="O58" s="150">
        <v>53</v>
      </c>
      <c r="P58" s="150"/>
      <c r="Q58" s="150"/>
      <c r="R58" s="151" t="str">
        <f t="shared" si="8"/>
        <v/>
      </c>
      <c r="S58" s="153">
        <f t="shared" si="2"/>
        <v>-4</v>
      </c>
      <c r="T58" s="153">
        <f t="shared" si="3"/>
        <v>-40</v>
      </c>
      <c r="U58" s="151"/>
      <c r="V58" s="151">
        <f t="shared" si="4"/>
        <v>0</v>
      </c>
    </row>
    <row r="59" spans="1:22" x14ac:dyDescent="0.25">
      <c r="A59" s="53"/>
      <c r="B59" s="44" t="str">
        <f t="shared" si="10"/>
        <v/>
      </c>
      <c r="C59" s="45"/>
      <c r="D59" s="45"/>
      <c r="E59" s="45"/>
      <c r="F59" s="45"/>
      <c r="G59" s="18"/>
      <c r="H59" s="46">
        <v>54</v>
      </c>
      <c r="I59" s="47" t="str">
        <f t="shared" si="6"/>
        <v/>
      </c>
      <c r="J59" s="46">
        <f t="shared" si="7"/>
        <v>-4</v>
      </c>
      <c r="K59" s="46">
        <f t="shared" si="0"/>
        <v>-40</v>
      </c>
      <c r="L59" s="46"/>
      <c r="M59" s="48">
        <f t="shared" si="1"/>
        <v>0</v>
      </c>
      <c r="O59" s="150">
        <v>54</v>
      </c>
      <c r="P59" s="150"/>
      <c r="Q59" s="150"/>
      <c r="R59" s="151" t="str">
        <f t="shared" si="8"/>
        <v/>
      </c>
      <c r="S59" s="153">
        <f t="shared" si="2"/>
        <v>-4</v>
      </c>
      <c r="T59" s="153">
        <f t="shared" si="3"/>
        <v>-40</v>
      </c>
      <c r="U59" s="151"/>
      <c r="V59" s="151">
        <f t="shared" si="4"/>
        <v>0</v>
      </c>
    </row>
    <row r="60" spans="1:22" x14ac:dyDescent="0.25">
      <c r="A60" s="54"/>
      <c r="B60" s="38" t="str">
        <f t="shared" si="10"/>
        <v/>
      </c>
      <c r="C60" s="39"/>
      <c r="D60" s="39"/>
      <c r="E60" s="39"/>
      <c r="F60" s="39"/>
      <c r="G60" s="18"/>
      <c r="H60" s="40">
        <v>55</v>
      </c>
      <c r="I60" s="41" t="str">
        <f t="shared" si="6"/>
        <v/>
      </c>
      <c r="J60" s="40">
        <f t="shared" si="7"/>
        <v>-4</v>
      </c>
      <c r="K60" s="40">
        <f t="shared" si="0"/>
        <v>-40</v>
      </c>
      <c r="L60" s="40"/>
      <c r="M60" s="42">
        <f t="shared" si="1"/>
        <v>0</v>
      </c>
      <c r="O60" s="150">
        <v>55</v>
      </c>
      <c r="P60" s="150"/>
      <c r="Q60" s="150"/>
      <c r="R60" s="151" t="str">
        <f t="shared" si="8"/>
        <v/>
      </c>
      <c r="S60" s="153">
        <f t="shared" si="2"/>
        <v>-4</v>
      </c>
      <c r="T60" s="153">
        <f t="shared" si="3"/>
        <v>-40</v>
      </c>
      <c r="U60" s="151"/>
      <c r="V60" s="151">
        <f t="shared" si="4"/>
        <v>0</v>
      </c>
    </row>
    <row r="61" spans="1:22" x14ac:dyDescent="0.25">
      <c r="A61" s="53"/>
      <c r="B61" s="44" t="str">
        <f t="shared" si="10"/>
        <v/>
      </c>
      <c r="C61" s="45"/>
      <c r="D61" s="45"/>
      <c r="E61" s="45"/>
      <c r="F61" s="45"/>
      <c r="G61" s="18"/>
      <c r="H61" s="46">
        <v>56</v>
      </c>
      <c r="I61" s="47" t="str">
        <f t="shared" si="6"/>
        <v/>
      </c>
      <c r="J61" s="46">
        <f t="shared" si="7"/>
        <v>-4</v>
      </c>
      <c r="K61" s="46">
        <f t="shared" si="0"/>
        <v>-40</v>
      </c>
      <c r="L61" s="46"/>
      <c r="M61" s="48">
        <f t="shared" si="1"/>
        <v>0</v>
      </c>
      <c r="O61" s="150">
        <v>56</v>
      </c>
      <c r="P61" s="150"/>
      <c r="Q61" s="150"/>
      <c r="R61" s="151" t="str">
        <f t="shared" si="8"/>
        <v/>
      </c>
      <c r="S61" s="153">
        <f t="shared" si="2"/>
        <v>-4</v>
      </c>
      <c r="T61" s="153">
        <f t="shared" si="3"/>
        <v>-40</v>
      </c>
      <c r="U61" s="151"/>
      <c r="V61" s="151">
        <f t="shared" si="4"/>
        <v>0</v>
      </c>
    </row>
    <row r="62" spans="1:22" x14ac:dyDescent="0.25">
      <c r="A62" s="54"/>
      <c r="B62" s="38" t="str">
        <f t="shared" si="10"/>
        <v/>
      </c>
      <c r="C62" s="39"/>
      <c r="D62" s="39"/>
      <c r="E62" s="39"/>
      <c r="F62" s="39"/>
      <c r="G62" s="18"/>
      <c r="H62" s="40">
        <v>57</v>
      </c>
      <c r="I62" s="41" t="str">
        <f t="shared" si="6"/>
        <v/>
      </c>
      <c r="J62" s="40">
        <f t="shared" si="7"/>
        <v>-4</v>
      </c>
      <c r="K62" s="40">
        <f t="shared" si="0"/>
        <v>-40</v>
      </c>
      <c r="L62" s="40"/>
      <c r="M62" s="42">
        <f t="shared" si="1"/>
        <v>0</v>
      </c>
      <c r="O62" s="150">
        <v>57</v>
      </c>
      <c r="P62" s="150"/>
      <c r="Q62" s="150"/>
      <c r="R62" s="151" t="str">
        <f t="shared" si="8"/>
        <v/>
      </c>
      <c r="S62" s="153">
        <f t="shared" si="2"/>
        <v>-4</v>
      </c>
      <c r="T62" s="153">
        <f t="shared" si="3"/>
        <v>-40</v>
      </c>
      <c r="U62" s="151"/>
      <c r="V62" s="151">
        <f t="shared" si="4"/>
        <v>0</v>
      </c>
    </row>
    <row r="63" spans="1:22" x14ac:dyDescent="0.25">
      <c r="A63" s="53"/>
      <c r="B63" s="44" t="str">
        <f t="shared" si="10"/>
        <v/>
      </c>
      <c r="C63" s="45"/>
      <c r="D63" s="45"/>
      <c r="E63" s="45"/>
      <c r="F63" s="45"/>
      <c r="G63" s="18"/>
      <c r="H63" s="46">
        <v>58</v>
      </c>
      <c r="I63" s="47" t="str">
        <f t="shared" si="6"/>
        <v/>
      </c>
      <c r="J63" s="46">
        <f t="shared" si="7"/>
        <v>-4</v>
      </c>
      <c r="K63" s="46">
        <f t="shared" si="0"/>
        <v>-40</v>
      </c>
      <c r="L63" s="46"/>
      <c r="M63" s="48">
        <f t="shared" si="1"/>
        <v>0</v>
      </c>
      <c r="O63" s="150">
        <v>58</v>
      </c>
      <c r="P63" s="150"/>
      <c r="Q63" s="150"/>
      <c r="R63" s="151" t="str">
        <f t="shared" si="8"/>
        <v/>
      </c>
      <c r="S63" s="153">
        <f t="shared" si="2"/>
        <v>-4</v>
      </c>
      <c r="T63" s="153">
        <f t="shared" si="3"/>
        <v>-40</v>
      </c>
      <c r="U63" s="151"/>
      <c r="V63" s="151">
        <f t="shared" si="4"/>
        <v>0</v>
      </c>
    </row>
    <row r="64" spans="1:22" x14ac:dyDescent="0.25">
      <c r="A64" s="54"/>
      <c r="B64" s="38" t="str">
        <f t="shared" si="10"/>
        <v/>
      </c>
      <c r="C64" s="39"/>
      <c r="D64" s="39"/>
      <c r="E64" s="39"/>
      <c r="F64" s="39"/>
      <c r="G64" s="18"/>
      <c r="H64" s="40">
        <v>59</v>
      </c>
      <c r="I64" s="41" t="str">
        <f t="shared" si="6"/>
        <v/>
      </c>
      <c r="J64" s="40">
        <f t="shared" si="7"/>
        <v>-4</v>
      </c>
      <c r="K64" s="40">
        <f t="shared" si="0"/>
        <v>-40</v>
      </c>
      <c r="L64" s="40"/>
      <c r="M64" s="42">
        <f t="shared" si="1"/>
        <v>0</v>
      </c>
      <c r="O64" s="150">
        <v>59</v>
      </c>
      <c r="P64" s="150"/>
      <c r="Q64" s="150"/>
      <c r="R64" s="151" t="str">
        <f t="shared" si="8"/>
        <v/>
      </c>
      <c r="S64" s="153">
        <f t="shared" si="2"/>
        <v>-4</v>
      </c>
      <c r="T64" s="153">
        <f t="shared" si="3"/>
        <v>-40</v>
      </c>
      <c r="U64" s="151"/>
      <c r="V64" s="151">
        <f t="shared" si="4"/>
        <v>0</v>
      </c>
    </row>
    <row r="65" spans="1:22" x14ac:dyDescent="0.25">
      <c r="A65" s="53"/>
      <c r="B65" s="44" t="str">
        <f t="shared" si="10"/>
        <v/>
      </c>
      <c r="C65" s="45"/>
      <c r="D65" s="45"/>
      <c r="E65" s="45"/>
      <c r="F65" s="45"/>
      <c r="G65" s="18"/>
      <c r="H65" s="46">
        <v>60</v>
      </c>
      <c r="I65" s="47" t="str">
        <f t="shared" si="6"/>
        <v/>
      </c>
      <c r="J65" s="46">
        <f t="shared" si="7"/>
        <v>-4</v>
      </c>
      <c r="K65" s="46">
        <f t="shared" si="0"/>
        <v>-40</v>
      </c>
      <c r="L65" s="46"/>
      <c r="M65" s="48">
        <f t="shared" si="1"/>
        <v>0</v>
      </c>
      <c r="O65" s="150">
        <v>60</v>
      </c>
      <c r="P65" s="150"/>
      <c r="Q65" s="150"/>
      <c r="R65" s="151" t="str">
        <f t="shared" si="8"/>
        <v/>
      </c>
      <c r="S65" s="153">
        <f t="shared" si="2"/>
        <v>-4</v>
      </c>
      <c r="T65" s="153">
        <f t="shared" si="3"/>
        <v>-40</v>
      </c>
      <c r="U65" s="151"/>
      <c r="V65" s="151">
        <f t="shared" si="4"/>
        <v>0</v>
      </c>
    </row>
    <row r="66" spans="1:22" x14ac:dyDescent="0.25">
      <c r="A66" s="61"/>
      <c r="B66" s="38"/>
      <c r="G66" s="18"/>
      <c r="H66" s="40">
        <v>61</v>
      </c>
      <c r="I66" s="41" t="str">
        <f t="shared" si="6"/>
        <v/>
      </c>
      <c r="J66" s="40">
        <f t="shared" si="7"/>
        <v>-4</v>
      </c>
      <c r="K66" s="40">
        <f t="shared" si="0"/>
        <v>-40</v>
      </c>
      <c r="L66" s="40"/>
      <c r="M66" s="42">
        <f t="shared" si="1"/>
        <v>0</v>
      </c>
      <c r="O66" s="150">
        <v>61</v>
      </c>
      <c r="P66" s="150"/>
      <c r="Q66" s="150"/>
      <c r="R66" s="151" t="str">
        <f t="shared" si="8"/>
        <v/>
      </c>
      <c r="S66" s="153">
        <f t="shared" si="2"/>
        <v>-4</v>
      </c>
      <c r="T66" s="153">
        <f t="shared" si="3"/>
        <v>-40</v>
      </c>
      <c r="U66" s="151"/>
      <c r="V66" s="151">
        <f t="shared" si="4"/>
        <v>0</v>
      </c>
    </row>
    <row r="67" spans="1:22" x14ac:dyDescent="0.25">
      <c r="A67" s="61"/>
      <c r="B67" s="44"/>
      <c r="G67" s="18"/>
      <c r="H67" s="40">
        <v>62</v>
      </c>
      <c r="I67" s="41" t="str">
        <f t="shared" si="6"/>
        <v/>
      </c>
      <c r="J67" s="40">
        <f t="shared" si="7"/>
        <v>-4</v>
      </c>
      <c r="K67" s="40">
        <f t="shared" si="0"/>
        <v>-40</v>
      </c>
      <c r="L67" s="40"/>
      <c r="M67" s="42">
        <f t="shared" si="1"/>
        <v>0</v>
      </c>
      <c r="O67" s="150">
        <v>62</v>
      </c>
      <c r="P67" s="150"/>
      <c r="Q67" s="150"/>
      <c r="R67" s="151" t="str">
        <f t="shared" si="8"/>
        <v/>
      </c>
      <c r="S67" s="153">
        <f t="shared" si="2"/>
        <v>-4</v>
      </c>
      <c r="T67" s="153">
        <f t="shared" si="3"/>
        <v>-40</v>
      </c>
      <c r="U67" s="151"/>
      <c r="V67" s="151">
        <f t="shared" si="4"/>
        <v>0</v>
      </c>
    </row>
    <row r="68" spans="1:22" x14ac:dyDescent="0.25">
      <c r="A68" s="61"/>
      <c r="B68" s="38"/>
      <c r="G68" s="18"/>
      <c r="H68" s="40">
        <v>63</v>
      </c>
      <c r="I68" s="41" t="str">
        <f t="shared" si="6"/>
        <v/>
      </c>
      <c r="J68" s="40">
        <f t="shared" si="7"/>
        <v>-4</v>
      </c>
      <c r="K68" s="40">
        <f t="shared" si="0"/>
        <v>-40</v>
      </c>
      <c r="L68" s="40"/>
      <c r="M68" s="42">
        <f t="shared" si="1"/>
        <v>0</v>
      </c>
      <c r="O68" s="150">
        <v>63</v>
      </c>
      <c r="P68" s="150"/>
      <c r="Q68" s="150"/>
      <c r="R68" s="151" t="str">
        <f t="shared" si="8"/>
        <v/>
      </c>
      <c r="S68" s="153">
        <f t="shared" si="2"/>
        <v>-4</v>
      </c>
      <c r="T68" s="153">
        <f t="shared" si="3"/>
        <v>-40</v>
      </c>
      <c r="U68" s="151"/>
      <c r="V68" s="151">
        <f t="shared" si="4"/>
        <v>0</v>
      </c>
    </row>
    <row r="69" spans="1:22" x14ac:dyDescent="0.25">
      <c r="A69" s="61"/>
      <c r="B69" s="44"/>
      <c r="G69" s="18"/>
      <c r="H69" s="40">
        <v>64</v>
      </c>
      <c r="I69" s="41" t="str">
        <f t="shared" si="6"/>
        <v/>
      </c>
      <c r="J69" s="40">
        <f t="shared" si="7"/>
        <v>-4</v>
      </c>
      <c r="K69" s="40">
        <f t="shared" si="0"/>
        <v>-40</v>
      </c>
      <c r="L69" s="40"/>
      <c r="M69" s="42">
        <f t="shared" si="1"/>
        <v>0</v>
      </c>
      <c r="O69" s="150">
        <v>64</v>
      </c>
      <c r="P69" s="150"/>
      <c r="Q69" s="150"/>
      <c r="R69" s="151" t="str">
        <f t="shared" si="8"/>
        <v/>
      </c>
      <c r="S69" s="153">
        <f t="shared" si="2"/>
        <v>-4</v>
      </c>
      <c r="T69" s="153">
        <f t="shared" si="3"/>
        <v>-40</v>
      </c>
      <c r="U69" s="151"/>
      <c r="V69" s="151">
        <f t="shared" si="4"/>
        <v>0</v>
      </c>
    </row>
    <row r="70" spans="1:22" x14ac:dyDescent="0.25">
      <c r="A70" s="61"/>
      <c r="G70" s="18"/>
      <c r="H70" s="40">
        <v>65</v>
      </c>
      <c r="I70" s="41" t="str">
        <f t="shared" ref="I70:I133" si="11">IF(H70&lt;$H$2+1,($I$2-($I$2-1)*(LOG(H70)/LOG($H$2))),"")</f>
        <v/>
      </c>
      <c r="J70" s="40">
        <f t="shared" si="7"/>
        <v>-5</v>
      </c>
      <c r="K70" s="40">
        <f t="shared" ref="K70:K133" si="12">J70*$J$2</f>
        <v>-50</v>
      </c>
      <c r="L70" s="40"/>
      <c r="M70" s="42">
        <f t="shared" ref="M70:M133" si="13">IF(I70&lt;&gt;"",K70+I70+L70,0)</f>
        <v>0</v>
      </c>
      <c r="O70" s="150">
        <v>65</v>
      </c>
      <c r="P70" s="150"/>
      <c r="Q70" s="150"/>
      <c r="R70" s="151" t="str">
        <f t="shared" si="8"/>
        <v/>
      </c>
      <c r="S70" s="153">
        <f t="shared" ref="S70:S133" si="14">INT(LOG($O$2,2))-ROUNDUP(LOG(O70,2),0)+IF(OR($O$2=1,$O$2=2,$O$2=4,$O$2=8,$O$2=16,$O$2=32,$O$2=64,$O$2=128,$O$2=256),0,1)</f>
        <v>-5</v>
      </c>
      <c r="T70" s="153">
        <f t="shared" ref="T70:T133" si="15">S70*$J$2</f>
        <v>-50</v>
      </c>
      <c r="U70" s="151"/>
      <c r="V70" s="151">
        <f t="shared" ref="V70:V133" si="16">IF(R70&lt;&gt;"",T70+R70+U70,0)</f>
        <v>0</v>
      </c>
    </row>
    <row r="71" spans="1:22" x14ac:dyDescent="0.25">
      <c r="A71" s="61"/>
      <c r="G71" s="18"/>
      <c r="H71" s="40">
        <v>66</v>
      </c>
      <c r="I71" s="41" t="str">
        <f t="shared" si="11"/>
        <v/>
      </c>
      <c r="J71" s="40">
        <f t="shared" ref="J71:J134" si="17">INT(LOG($H$2,2))-ROUNDUP(LOG(H71,2),0)+IF(OR($H$2=1,$H$2=2,$H$2=4,$H$2=8,$H$2=16,$H$2=32,$H$2=64,$H$2=128,$H$2=256),0,1)</f>
        <v>-5</v>
      </c>
      <c r="K71" s="40">
        <f t="shared" si="12"/>
        <v>-50</v>
      </c>
      <c r="L71" s="40"/>
      <c r="M71" s="42">
        <f t="shared" si="13"/>
        <v>0</v>
      </c>
      <c r="O71" s="150">
        <v>66</v>
      </c>
      <c r="P71" s="150"/>
      <c r="Q71" s="150"/>
      <c r="R71" s="151" t="str">
        <f t="shared" ref="R71:R134" si="18">IF(O71&lt;$O$2+1,($I$2-($I$2-1)*(LOG(O71)/LOG($O$2))),"")</f>
        <v/>
      </c>
      <c r="S71" s="153">
        <f t="shared" si="14"/>
        <v>-5</v>
      </c>
      <c r="T71" s="153">
        <f t="shared" si="15"/>
        <v>-50</v>
      </c>
      <c r="U71" s="151"/>
      <c r="V71" s="151">
        <f t="shared" si="16"/>
        <v>0</v>
      </c>
    </row>
    <row r="72" spans="1:22" x14ac:dyDescent="0.25">
      <c r="A72" s="61"/>
      <c r="G72" s="18"/>
      <c r="H72" s="40">
        <v>67</v>
      </c>
      <c r="I72" s="41" t="str">
        <f t="shared" si="11"/>
        <v/>
      </c>
      <c r="J72" s="40">
        <f t="shared" si="17"/>
        <v>-5</v>
      </c>
      <c r="K72" s="40">
        <f t="shared" si="12"/>
        <v>-50</v>
      </c>
      <c r="L72" s="40"/>
      <c r="M72" s="42">
        <f t="shared" si="13"/>
        <v>0</v>
      </c>
      <c r="O72" s="150">
        <v>67</v>
      </c>
      <c r="P72" s="150"/>
      <c r="Q72" s="150"/>
      <c r="R72" s="151" t="str">
        <f t="shared" si="18"/>
        <v/>
      </c>
      <c r="S72" s="153">
        <f t="shared" si="14"/>
        <v>-5</v>
      </c>
      <c r="T72" s="153">
        <f t="shared" si="15"/>
        <v>-50</v>
      </c>
      <c r="U72" s="151"/>
      <c r="V72" s="151">
        <f t="shared" si="16"/>
        <v>0</v>
      </c>
    </row>
    <row r="73" spans="1:22" x14ac:dyDescent="0.25">
      <c r="A73" s="61"/>
      <c r="G73" s="18"/>
      <c r="H73" s="40">
        <v>68</v>
      </c>
      <c r="I73" s="41" t="str">
        <f t="shared" si="11"/>
        <v/>
      </c>
      <c r="J73" s="40">
        <f t="shared" si="17"/>
        <v>-5</v>
      </c>
      <c r="K73" s="40">
        <f t="shared" si="12"/>
        <v>-50</v>
      </c>
      <c r="L73" s="40"/>
      <c r="M73" s="42">
        <f t="shared" si="13"/>
        <v>0</v>
      </c>
      <c r="O73" s="150">
        <v>68</v>
      </c>
      <c r="P73" s="150"/>
      <c r="Q73" s="150"/>
      <c r="R73" s="151" t="str">
        <f t="shared" si="18"/>
        <v/>
      </c>
      <c r="S73" s="153">
        <f t="shared" si="14"/>
        <v>-5</v>
      </c>
      <c r="T73" s="153">
        <f t="shared" si="15"/>
        <v>-50</v>
      </c>
      <c r="U73" s="151"/>
      <c r="V73" s="151">
        <f t="shared" si="16"/>
        <v>0</v>
      </c>
    </row>
    <row r="74" spans="1:22" x14ac:dyDescent="0.25">
      <c r="A74" s="61"/>
      <c r="G74" s="18"/>
      <c r="H74" s="40">
        <v>69</v>
      </c>
      <c r="I74" s="41" t="str">
        <f t="shared" si="11"/>
        <v/>
      </c>
      <c r="J74" s="40">
        <f t="shared" si="17"/>
        <v>-5</v>
      </c>
      <c r="K74" s="40">
        <f t="shared" si="12"/>
        <v>-50</v>
      </c>
      <c r="L74" s="40"/>
      <c r="M74" s="42">
        <f t="shared" si="13"/>
        <v>0</v>
      </c>
      <c r="O74" s="150">
        <v>69</v>
      </c>
      <c r="P74" s="150"/>
      <c r="Q74" s="150"/>
      <c r="R74" s="151" t="str">
        <f t="shared" si="18"/>
        <v/>
      </c>
      <c r="S74" s="153">
        <f t="shared" si="14"/>
        <v>-5</v>
      </c>
      <c r="T74" s="153">
        <f t="shared" si="15"/>
        <v>-50</v>
      </c>
      <c r="U74" s="151"/>
      <c r="V74" s="151">
        <f t="shared" si="16"/>
        <v>0</v>
      </c>
    </row>
    <row r="75" spans="1:22" x14ac:dyDescent="0.25">
      <c r="A75" s="61"/>
      <c r="G75" s="18"/>
      <c r="H75" s="40">
        <v>70</v>
      </c>
      <c r="I75" s="41" t="str">
        <f t="shared" si="11"/>
        <v/>
      </c>
      <c r="J75" s="40">
        <f t="shared" si="17"/>
        <v>-5</v>
      </c>
      <c r="K75" s="40">
        <f t="shared" si="12"/>
        <v>-50</v>
      </c>
      <c r="L75" s="40"/>
      <c r="M75" s="42">
        <f t="shared" si="13"/>
        <v>0</v>
      </c>
      <c r="O75" s="150">
        <v>70</v>
      </c>
      <c r="P75" s="150"/>
      <c r="Q75" s="150"/>
      <c r="R75" s="151" t="str">
        <f t="shared" si="18"/>
        <v/>
      </c>
      <c r="S75" s="153">
        <f t="shared" si="14"/>
        <v>-5</v>
      </c>
      <c r="T75" s="153">
        <f t="shared" si="15"/>
        <v>-50</v>
      </c>
      <c r="U75" s="151"/>
      <c r="V75" s="151">
        <f t="shared" si="16"/>
        <v>0</v>
      </c>
    </row>
    <row r="76" spans="1:22" x14ac:dyDescent="0.25">
      <c r="A76" s="61"/>
      <c r="G76" s="18"/>
      <c r="H76" s="40">
        <v>71</v>
      </c>
      <c r="I76" s="41" t="str">
        <f t="shared" si="11"/>
        <v/>
      </c>
      <c r="J76" s="40">
        <f t="shared" si="17"/>
        <v>-5</v>
      </c>
      <c r="K76" s="40">
        <f t="shared" si="12"/>
        <v>-50</v>
      </c>
      <c r="L76" s="40"/>
      <c r="M76" s="42">
        <f t="shared" si="13"/>
        <v>0</v>
      </c>
      <c r="O76" s="150">
        <v>71</v>
      </c>
      <c r="P76" s="150"/>
      <c r="Q76" s="150"/>
      <c r="R76" s="151" t="str">
        <f t="shared" si="18"/>
        <v/>
      </c>
      <c r="S76" s="153">
        <f t="shared" si="14"/>
        <v>-5</v>
      </c>
      <c r="T76" s="153">
        <f t="shared" si="15"/>
        <v>-50</v>
      </c>
      <c r="U76" s="151"/>
      <c r="V76" s="151">
        <f t="shared" si="16"/>
        <v>0</v>
      </c>
    </row>
    <row r="77" spans="1:22" x14ac:dyDescent="0.25">
      <c r="A77" s="61"/>
      <c r="G77" s="18"/>
      <c r="H77" s="40">
        <v>72</v>
      </c>
      <c r="I77" s="41" t="str">
        <f t="shared" si="11"/>
        <v/>
      </c>
      <c r="J77" s="40">
        <f t="shared" si="17"/>
        <v>-5</v>
      </c>
      <c r="K77" s="40">
        <f t="shared" si="12"/>
        <v>-50</v>
      </c>
      <c r="L77" s="40"/>
      <c r="M77" s="42">
        <f t="shared" si="13"/>
        <v>0</v>
      </c>
      <c r="O77" s="150">
        <v>72</v>
      </c>
      <c r="P77" s="150"/>
      <c r="Q77" s="150"/>
      <c r="R77" s="151" t="str">
        <f t="shared" si="18"/>
        <v/>
      </c>
      <c r="S77" s="153">
        <f t="shared" si="14"/>
        <v>-5</v>
      </c>
      <c r="T77" s="153">
        <f t="shared" si="15"/>
        <v>-50</v>
      </c>
      <c r="U77" s="151"/>
      <c r="V77" s="151">
        <f t="shared" si="16"/>
        <v>0</v>
      </c>
    </row>
    <row r="78" spans="1:22" x14ac:dyDescent="0.25">
      <c r="A78" s="61"/>
      <c r="G78" s="18"/>
      <c r="H78" s="40">
        <v>73</v>
      </c>
      <c r="I78" s="41" t="str">
        <f t="shared" si="11"/>
        <v/>
      </c>
      <c r="J78" s="40">
        <f t="shared" si="17"/>
        <v>-5</v>
      </c>
      <c r="K78" s="40">
        <f t="shared" si="12"/>
        <v>-50</v>
      </c>
      <c r="L78" s="40"/>
      <c r="M78" s="42">
        <f t="shared" si="13"/>
        <v>0</v>
      </c>
      <c r="O78" s="150">
        <v>73</v>
      </c>
      <c r="P78" s="150"/>
      <c r="Q78" s="150"/>
      <c r="R78" s="151" t="str">
        <f t="shared" si="18"/>
        <v/>
      </c>
      <c r="S78" s="153">
        <f t="shared" si="14"/>
        <v>-5</v>
      </c>
      <c r="T78" s="153">
        <f t="shared" si="15"/>
        <v>-50</v>
      </c>
      <c r="U78" s="151"/>
      <c r="V78" s="151">
        <f t="shared" si="16"/>
        <v>0</v>
      </c>
    </row>
    <row r="79" spans="1:22" x14ac:dyDescent="0.25">
      <c r="A79" s="61"/>
      <c r="G79" s="18"/>
      <c r="H79" s="40">
        <v>74</v>
      </c>
      <c r="I79" s="41" t="str">
        <f t="shared" si="11"/>
        <v/>
      </c>
      <c r="J79" s="40">
        <f t="shared" si="17"/>
        <v>-5</v>
      </c>
      <c r="K79" s="40">
        <f t="shared" si="12"/>
        <v>-50</v>
      </c>
      <c r="L79" s="40"/>
      <c r="M79" s="42">
        <f t="shared" si="13"/>
        <v>0</v>
      </c>
      <c r="O79" s="150">
        <v>74</v>
      </c>
      <c r="P79" s="150"/>
      <c r="Q79" s="150"/>
      <c r="R79" s="151" t="str">
        <f t="shared" si="18"/>
        <v/>
      </c>
      <c r="S79" s="153">
        <f t="shared" si="14"/>
        <v>-5</v>
      </c>
      <c r="T79" s="153">
        <f t="shared" si="15"/>
        <v>-50</v>
      </c>
      <c r="U79" s="151"/>
      <c r="V79" s="151">
        <f t="shared" si="16"/>
        <v>0</v>
      </c>
    </row>
    <row r="80" spans="1:22" x14ac:dyDescent="0.25">
      <c r="A80" s="61"/>
      <c r="G80" s="18"/>
      <c r="H80" s="40">
        <v>75</v>
      </c>
      <c r="I80" s="41" t="str">
        <f t="shared" si="11"/>
        <v/>
      </c>
      <c r="J80" s="40">
        <f t="shared" si="17"/>
        <v>-5</v>
      </c>
      <c r="K80" s="40">
        <f t="shared" si="12"/>
        <v>-50</v>
      </c>
      <c r="L80" s="40"/>
      <c r="M80" s="42">
        <f t="shared" si="13"/>
        <v>0</v>
      </c>
      <c r="O80" s="150">
        <v>75</v>
      </c>
      <c r="P80" s="150"/>
      <c r="Q80" s="150"/>
      <c r="R80" s="151" t="str">
        <f t="shared" si="18"/>
        <v/>
      </c>
      <c r="S80" s="153">
        <f t="shared" si="14"/>
        <v>-5</v>
      </c>
      <c r="T80" s="153">
        <f t="shared" si="15"/>
        <v>-50</v>
      </c>
      <c r="U80" s="151"/>
      <c r="V80" s="151">
        <f t="shared" si="16"/>
        <v>0</v>
      </c>
    </row>
    <row r="81" spans="1:22" x14ac:dyDescent="0.25">
      <c r="A81" s="61"/>
      <c r="G81" s="18"/>
      <c r="H81" s="40">
        <v>76</v>
      </c>
      <c r="I81" s="41" t="str">
        <f t="shared" si="11"/>
        <v/>
      </c>
      <c r="J81" s="40">
        <f t="shared" si="17"/>
        <v>-5</v>
      </c>
      <c r="K81" s="40">
        <f t="shared" si="12"/>
        <v>-50</v>
      </c>
      <c r="L81" s="40"/>
      <c r="M81" s="42">
        <f t="shared" si="13"/>
        <v>0</v>
      </c>
      <c r="O81" s="150">
        <v>76</v>
      </c>
      <c r="P81" s="150"/>
      <c r="Q81" s="150"/>
      <c r="R81" s="151" t="str">
        <f t="shared" si="18"/>
        <v/>
      </c>
      <c r="S81" s="153">
        <f t="shared" si="14"/>
        <v>-5</v>
      </c>
      <c r="T81" s="153">
        <f t="shared" si="15"/>
        <v>-50</v>
      </c>
      <c r="U81" s="151"/>
      <c r="V81" s="151">
        <f t="shared" si="16"/>
        <v>0</v>
      </c>
    </row>
    <row r="82" spans="1:22" x14ac:dyDescent="0.25">
      <c r="A82" s="61"/>
      <c r="G82" s="18"/>
      <c r="H82" s="40">
        <v>77</v>
      </c>
      <c r="I82" s="41" t="str">
        <f t="shared" si="11"/>
        <v/>
      </c>
      <c r="J82" s="40">
        <f t="shared" si="17"/>
        <v>-5</v>
      </c>
      <c r="K82" s="40">
        <f t="shared" si="12"/>
        <v>-50</v>
      </c>
      <c r="L82" s="40"/>
      <c r="M82" s="42">
        <f t="shared" si="13"/>
        <v>0</v>
      </c>
      <c r="O82" s="150">
        <v>77</v>
      </c>
      <c r="P82" s="150"/>
      <c r="Q82" s="150"/>
      <c r="R82" s="151" t="str">
        <f t="shared" si="18"/>
        <v/>
      </c>
      <c r="S82" s="153">
        <f t="shared" si="14"/>
        <v>-5</v>
      </c>
      <c r="T82" s="153">
        <f t="shared" si="15"/>
        <v>-50</v>
      </c>
      <c r="U82" s="151"/>
      <c r="V82" s="151">
        <f t="shared" si="16"/>
        <v>0</v>
      </c>
    </row>
    <row r="83" spans="1:22" x14ac:dyDescent="0.25">
      <c r="A83" s="61"/>
      <c r="G83" s="18"/>
      <c r="H83" s="40">
        <v>78</v>
      </c>
      <c r="I83" s="41" t="str">
        <f t="shared" si="11"/>
        <v/>
      </c>
      <c r="J83" s="40">
        <f t="shared" si="17"/>
        <v>-5</v>
      </c>
      <c r="K83" s="40">
        <f t="shared" si="12"/>
        <v>-50</v>
      </c>
      <c r="L83" s="40"/>
      <c r="M83" s="42">
        <f t="shared" si="13"/>
        <v>0</v>
      </c>
      <c r="O83" s="150">
        <v>78</v>
      </c>
      <c r="P83" s="150"/>
      <c r="Q83" s="150"/>
      <c r="R83" s="151" t="str">
        <f t="shared" si="18"/>
        <v/>
      </c>
      <c r="S83" s="153">
        <f t="shared" si="14"/>
        <v>-5</v>
      </c>
      <c r="T83" s="153">
        <f t="shared" si="15"/>
        <v>-50</v>
      </c>
      <c r="U83" s="151"/>
      <c r="V83" s="151">
        <f t="shared" si="16"/>
        <v>0</v>
      </c>
    </row>
    <row r="84" spans="1:22" x14ac:dyDescent="0.25">
      <c r="A84" s="61"/>
      <c r="G84" s="18"/>
      <c r="H84" s="40">
        <v>79</v>
      </c>
      <c r="I84" s="41" t="str">
        <f t="shared" si="11"/>
        <v/>
      </c>
      <c r="J84" s="40">
        <f t="shared" si="17"/>
        <v>-5</v>
      </c>
      <c r="K84" s="40">
        <f t="shared" si="12"/>
        <v>-50</v>
      </c>
      <c r="L84" s="40"/>
      <c r="M84" s="42">
        <f t="shared" si="13"/>
        <v>0</v>
      </c>
      <c r="O84" s="150">
        <v>79</v>
      </c>
      <c r="P84" s="150"/>
      <c r="Q84" s="150"/>
      <c r="R84" s="151" t="str">
        <f t="shared" si="18"/>
        <v/>
      </c>
      <c r="S84" s="153">
        <f t="shared" si="14"/>
        <v>-5</v>
      </c>
      <c r="T84" s="153">
        <f t="shared" si="15"/>
        <v>-50</v>
      </c>
      <c r="U84" s="151"/>
      <c r="V84" s="151">
        <f t="shared" si="16"/>
        <v>0</v>
      </c>
    </row>
    <row r="85" spans="1:22" x14ac:dyDescent="0.25">
      <c r="A85" s="61"/>
      <c r="G85" s="18"/>
      <c r="H85" s="40">
        <v>80</v>
      </c>
      <c r="I85" s="41" t="str">
        <f t="shared" si="11"/>
        <v/>
      </c>
      <c r="J85" s="40">
        <f t="shared" si="17"/>
        <v>-5</v>
      </c>
      <c r="K85" s="40">
        <f t="shared" si="12"/>
        <v>-50</v>
      </c>
      <c r="L85" s="40"/>
      <c r="M85" s="42">
        <f t="shared" si="13"/>
        <v>0</v>
      </c>
      <c r="O85" s="150">
        <v>80</v>
      </c>
      <c r="P85" s="150"/>
      <c r="Q85" s="150"/>
      <c r="R85" s="151" t="str">
        <f t="shared" si="18"/>
        <v/>
      </c>
      <c r="S85" s="153">
        <f t="shared" si="14"/>
        <v>-5</v>
      </c>
      <c r="T85" s="153">
        <f t="shared" si="15"/>
        <v>-50</v>
      </c>
      <c r="U85" s="151"/>
      <c r="V85" s="151">
        <f t="shared" si="16"/>
        <v>0</v>
      </c>
    </row>
    <row r="86" spans="1:22" x14ac:dyDescent="0.25">
      <c r="A86" s="61"/>
      <c r="G86" s="18"/>
      <c r="H86" s="40">
        <v>81</v>
      </c>
      <c r="I86" s="41" t="str">
        <f t="shared" si="11"/>
        <v/>
      </c>
      <c r="J86" s="40">
        <f t="shared" si="17"/>
        <v>-5</v>
      </c>
      <c r="K86" s="40">
        <f t="shared" si="12"/>
        <v>-50</v>
      </c>
      <c r="L86" s="40"/>
      <c r="M86" s="42">
        <f t="shared" si="13"/>
        <v>0</v>
      </c>
      <c r="O86" s="150">
        <v>81</v>
      </c>
      <c r="P86" s="150"/>
      <c r="Q86" s="150"/>
      <c r="R86" s="151" t="str">
        <f t="shared" si="18"/>
        <v/>
      </c>
      <c r="S86" s="153">
        <f t="shared" si="14"/>
        <v>-5</v>
      </c>
      <c r="T86" s="153">
        <f t="shared" si="15"/>
        <v>-50</v>
      </c>
      <c r="U86" s="151"/>
      <c r="V86" s="151">
        <f t="shared" si="16"/>
        <v>0</v>
      </c>
    </row>
    <row r="87" spans="1:22" x14ac:dyDescent="0.25">
      <c r="A87" s="61"/>
      <c r="G87" s="18"/>
      <c r="H87" s="40">
        <v>82</v>
      </c>
      <c r="I87" s="41" t="str">
        <f t="shared" si="11"/>
        <v/>
      </c>
      <c r="J87" s="40">
        <f t="shared" si="17"/>
        <v>-5</v>
      </c>
      <c r="K87" s="40">
        <f t="shared" si="12"/>
        <v>-50</v>
      </c>
      <c r="L87" s="40"/>
      <c r="M87" s="42">
        <f t="shared" si="13"/>
        <v>0</v>
      </c>
      <c r="O87" s="150">
        <v>82</v>
      </c>
      <c r="P87" s="150"/>
      <c r="Q87" s="150"/>
      <c r="R87" s="151" t="str">
        <f t="shared" si="18"/>
        <v/>
      </c>
      <c r="S87" s="153">
        <f t="shared" si="14"/>
        <v>-5</v>
      </c>
      <c r="T87" s="153">
        <f t="shared" si="15"/>
        <v>-50</v>
      </c>
      <c r="U87" s="151"/>
      <c r="V87" s="151">
        <f t="shared" si="16"/>
        <v>0</v>
      </c>
    </row>
    <row r="88" spans="1:22" x14ac:dyDescent="0.25">
      <c r="A88" s="61"/>
      <c r="G88" s="18"/>
      <c r="H88" s="40">
        <v>83</v>
      </c>
      <c r="I88" s="41" t="str">
        <f t="shared" si="11"/>
        <v/>
      </c>
      <c r="J88" s="40">
        <f t="shared" si="17"/>
        <v>-5</v>
      </c>
      <c r="K88" s="40">
        <f t="shared" si="12"/>
        <v>-50</v>
      </c>
      <c r="L88" s="40"/>
      <c r="M88" s="42">
        <f t="shared" si="13"/>
        <v>0</v>
      </c>
      <c r="O88" s="150">
        <v>83</v>
      </c>
      <c r="P88" s="150"/>
      <c r="Q88" s="150"/>
      <c r="R88" s="151" t="str">
        <f t="shared" si="18"/>
        <v/>
      </c>
      <c r="S88" s="153">
        <f t="shared" si="14"/>
        <v>-5</v>
      </c>
      <c r="T88" s="153">
        <f t="shared" si="15"/>
        <v>-50</v>
      </c>
      <c r="U88" s="151"/>
      <c r="V88" s="151">
        <f t="shared" si="16"/>
        <v>0</v>
      </c>
    </row>
    <row r="89" spans="1:22" x14ac:dyDescent="0.25">
      <c r="A89" s="61"/>
      <c r="G89" s="18"/>
      <c r="H89" s="40">
        <v>84</v>
      </c>
      <c r="I89" s="41" t="str">
        <f t="shared" si="11"/>
        <v/>
      </c>
      <c r="J89" s="40">
        <f t="shared" si="17"/>
        <v>-5</v>
      </c>
      <c r="K89" s="40">
        <f t="shared" si="12"/>
        <v>-50</v>
      </c>
      <c r="L89" s="40"/>
      <c r="M89" s="42">
        <f t="shared" si="13"/>
        <v>0</v>
      </c>
      <c r="O89" s="150">
        <v>84</v>
      </c>
      <c r="P89" s="150"/>
      <c r="Q89" s="150"/>
      <c r="R89" s="151" t="str">
        <f t="shared" si="18"/>
        <v/>
      </c>
      <c r="S89" s="153">
        <f t="shared" si="14"/>
        <v>-5</v>
      </c>
      <c r="T89" s="153">
        <f t="shared" si="15"/>
        <v>-50</v>
      </c>
      <c r="U89" s="151"/>
      <c r="V89" s="151">
        <f t="shared" si="16"/>
        <v>0</v>
      </c>
    </row>
    <row r="90" spans="1:22" x14ac:dyDescent="0.25">
      <c r="A90" s="61"/>
      <c r="G90" s="18"/>
      <c r="H90" s="40">
        <v>85</v>
      </c>
      <c r="I90" s="41" t="str">
        <f t="shared" si="11"/>
        <v/>
      </c>
      <c r="J90" s="40">
        <f t="shared" si="17"/>
        <v>-5</v>
      </c>
      <c r="K90" s="40">
        <f t="shared" si="12"/>
        <v>-50</v>
      </c>
      <c r="L90" s="40"/>
      <c r="M90" s="42">
        <f t="shared" si="13"/>
        <v>0</v>
      </c>
      <c r="O90" s="150">
        <v>85</v>
      </c>
      <c r="P90" s="150"/>
      <c r="Q90" s="150"/>
      <c r="R90" s="151" t="str">
        <f t="shared" si="18"/>
        <v/>
      </c>
      <c r="S90" s="153">
        <f t="shared" si="14"/>
        <v>-5</v>
      </c>
      <c r="T90" s="153">
        <f t="shared" si="15"/>
        <v>-50</v>
      </c>
      <c r="U90" s="151"/>
      <c r="V90" s="151">
        <f t="shared" si="16"/>
        <v>0</v>
      </c>
    </row>
    <row r="91" spans="1:22" x14ac:dyDescent="0.25">
      <c r="A91" s="61"/>
      <c r="G91" s="18"/>
      <c r="H91" s="40">
        <v>86</v>
      </c>
      <c r="I91" s="41" t="str">
        <f t="shared" si="11"/>
        <v/>
      </c>
      <c r="J91" s="40">
        <f t="shared" si="17"/>
        <v>-5</v>
      </c>
      <c r="K91" s="40">
        <f t="shared" si="12"/>
        <v>-50</v>
      </c>
      <c r="L91" s="40"/>
      <c r="M91" s="42">
        <f t="shared" si="13"/>
        <v>0</v>
      </c>
      <c r="O91" s="150">
        <v>86</v>
      </c>
      <c r="P91" s="150"/>
      <c r="Q91" s="150"/>
      <c r="R91" s="151" t="str">
        <f t="shared" si="18"/>
        <v/>
      </c>
      <c r="S91" s="153">
        <f t="shared" si="14"/>
        <v>-5</v>
      </c>
      <c r="T91" s="153">
        <f t="shared" si="15"/>
        <v>-50</v>
      </c>
      <c r="U91" s="151"/>
      <c r="V91" s="151">
        <f t="shared" si="16"/>
        <v>0</v>
      </c>
    </row>
    <row r="92" spans="1:22" x14ac:dyDescent="0.25">
      <c r="A92" s="61"/>
      <c r="G92" s="18"/>
      <c r="H92" s="40">
        <v>87</v>
      </c>
      <c r="I92" s="41" t="str">
        <f t="shared" si="11"/>
        <v/>
      </c>
      <c r="J92" s="40">
        <f t="shared" si="17"/>
        <v>-5</v>
      </c>
      <c r="K92" s="40">
        <f t="shared" si="12"/>
        <v>-50</v>
      </c>
      <c r="L92" s="40"/>
      <c r="M92" s="42">
        <f t="shared" si="13"/>
        <v>0</v>
      </c>
      <c r="O92" s="150">
        <v>87</v>
      </c>
      <c r="P92" s="150"/>
      <c r="Q92" s="150"/>
      <c r="R92" s="151" t="str">
        <f t="shared" si="18"/>
        <v/>
      </c>
      <c r="S92" s="153">
        <f t="shared" si="14"/>
        <v>-5</v>
      </c>
      <c r="T92" s="153">
        <f t="shared" si="15"/>
        <v>-50</v>
      </c>
      <c r="U92" s="151"/>
      <c r="V92" s="151">
        <f t="shared" si="16"/>
        <v>0</v>
      </c>
    </row>
    <row r="93" spans="1:22" x14ac:dyDescent="0.25">
      <c r="A93" s="61"/>
      <c r="G93" s="18"/>
      <c r="H93" s="40">
        <v>88</v>
      </c>
      <c r="I93" s="41" t="str">
        <f t="shared" si="11"/>
        <v/>
      </c>
      <c r="J93" s="40">
        <f t="shared" si="17"/>
        <v>-5</v>
      </c>
      <c r="K93" s="40">
        <f t="shared" si="12"/>
        <v>-50</v>
      </c>
      <c r="L93" s="40"/>
      <c r="M93" s="42">
        <f t="shared" si="13"/>
        <v>0</v>
      </c>
      <c r="O93" s="150">
        <v>88</v>
      </c>
      <c r="P93" s="150"/>
      <c r="Q93" s="150"/>
      <c r="R93" s="151" t="str">
        <f t="shared" si="18"/>
        <v/>
      </c>
      <c r="S93" s="153">
        <f t="shared" si="14"/>
        <v>-5</v>
      </c>
      <c r="T93" s="153">
        <f t="shared" si="15"/>
        <v>-50</v>
      </c>
      <c r="U93" s="151"/>
      <c r="V93" s="151">
        <f t="shared" si="16"/>
        <v>0</v>
      </c>
    </row>
    <row r="94" spans="1:22" x14ac:dyDescent="0.25">
      <c r="A94" s="61"/>
      <c r="G94" s="18"/>
      <c r="H94" s="40">
        <v>89</v>
      </c>
      <c r="I94" s="41" t="str">
        <f t="shared" si="11"/>
        <v/>
      </c>
      <c r="J94" s="40">
        <f t="shared" si="17"/>
        <v>-5</v>
      </c>
      <c r="K94" s="40">
        <f t="shared" si="12"/>
        <v>-50</v>
      </c>
      <c r="L94" s="40"/>
      <c r="M94" s="42">
        <f t="shared" si="13"/>
        <v>0</v>
      </c>
      <c r="O94" s="150">
        <v>89</v>
      </c>
      <c r="P94" s="150"/>
      <c r="Q94" s="150"/>
      <c r="R94" s="151" t="str">
        <f t="shared" si="18"/>
        <v/>
      </c>
      <c r="S94" s="153">
        <f t="shared" si="14"/>
        <v>-5</v>
      </c>
      <c r="T94" s="153">
        <f t="shared" si="15"/>
        <v>-50</v>
      </c>
      <c r="U94" s="151"/>
      <c r="V94" s="151">
        <f t="shared" si="16"/>
        <v>0</v>
      </c>
    </row>
    <row r="95" spans="1:22" x14ac:dyDescent="0.25">
      <c r="A95" s="61"/>
      <c r="G95" s="18"/>
      <c r="H95" s="40">
        <v>90</v>
      </c>
      <c r="I95" s="41" t="str">
        <f t="shared" si="11"/>
        <v/>
      </c>
      <c r="J95" s="40">
        <f t="shared" si="17"/>
        <v>-5</v>
      </c>
      <c r="K95" s="40">
        <f t="shared" si="12"/>
        <v>-50</v>
      </c>
      <c r="L95" s="40"/>
      <c r="M95" s="42">
        <f t="shared" si="13"/>
        <v>0</v>
      </c>
      <c r="O95" s="150">
        <v>90</v>
      </c>
      <c r="P95" s="150"/>
      <c r="Q95" s="150"/>
      <c r="R95" s="151" t="str">
        <f t="shared" si="18"/>
        <v/>
      </c>
      <c r="S95" s="153">
        <f t="shared" si="14"/>
        <v>-5</v>
      </c>
      <c r="T95" s="153">
        <f t="shared" si="15"/>
        <v>-50</v>
      </c>
      <c r="U95" s="151"/>
      <c r="V95" s="151">
        <f t="shared" si="16"/>
        <v>0</v>
      </c>
    </row>
    <row r="96" spans="1:22" x14ac:dyDescent="0.25">
      <c r="A96" s="61"/>
      <c r="G96" s="18"/>
      <c r="H96" s="40">
        <v>91</v>
      </c>
      <c r="I96" s="41" t="str">
        <f t="shared" si="11"/>
        <v/>
      </c>
      <c r="J96" s="40">
        <f t="shared" si="17"/>
        <v>-5</v>
      </c>
      <c r="K96" s="40">
        <f t="shared" si="12"/>
        <v>-50</v>
      </c>
      <c r="L96" s="40"/>
      <c r="M96" s="42">
        <f t="shared" si="13"/>
        <v>0</v>
      </c>
      <c r="O96" s="150">
        <v>91</v>
      </c>
      <c r="P96" s="150"/>
      <c r="Q96" s="150"/>
      <c r="R96" s="151" t="str">
        <f t="shared" si="18"/>
        <v/>
      </c>
      <c r="S96" s="153">
        <f t="shared" si="14"/>
        <v>-5</v>
      </c>
      <c r="T96" s="153">
        <f t="shared" si="15"/>
        <v>-50</v>
      </c>
      <c r="U96" s="151"/>
      <c r="V96" s="151">
        <f t="shared" si="16"/>
        <v>0</v>
      </c>
    </row>
    <row r="97" spans="1:22" x14ac:dyDescent="0.25">
      <c r="A97" s="61"/>
      <c r="G97" s="18"/>
      <c r="H97" s="40">
        <v>92</v>
      </c>
      <c r="I97" s="41" t="str">
        <f t="shared" si="11"/>
        <v/>
      </c>
      <c r="J97" s="40">
        <f t="shared" si="17"/>
        <v>-5</v>
      </c>
      <c r="K97" s="40">
        <f t="shared" si="12"/>
        <v>-50</v>
      </c>
      <c r="L97" s="40"/>
      <c r="M97" s="42">
        <f t="shared" si="13"/>
        <v>0</v>
      </c>
      <c r="O97" s="150">
        <v>92</v>
      </c>
      <c r="P97" s="150"/>
      <c r="Q97" s="150"/>
      <c r="R97" s="151" t="str">
        <f t="shared" si="18"/>
        <v/>
      </c>
      <c r="S97" s="153">
        <f t="shared" si="14"/>
        <v>-5</v>
      </c>
      <c r="T97" s="153">
        <f t="shared" si="15"/>
        <v>-50</v>
      </c>
      <c r="U97" s="151"/>
      <c r="V97" s="151">
        <f t="shared" si="16"/>
        <v>0</v>
      </c>
    </row>
    <row r="98" spans="1:22" x14ac:dyDescent="0.25">
      <c r="A98" s="61"/>
      <c r="G98" s="18"/>
      <c r="H98" s="40">
        <v>93</v>
      </c>
      <c r="I98" s="41" t="str">
        <f t="shared" si="11"/>
        <v/>
      </c>
      <c r="J98" s="40">
        <f t="shared" si="17"/>
        <v>-5</v>
      </c>
      <c r="K98" s="40">
        <f t="shared" si="12"/>
        <v>-50</v>
      </c>
      <c r="L98" s="40"/>
      <c r="M98" s="42">
        <f t="shared" si="13"/>
        <v>0</v>
      </c>
      <c r="O98" s="150">
        <v>93</v>
      </c>
      <c r="P98" s="150"/>
      <c r="Q98" s="150"/>
      <c r="R98" s="151" t="str">
        <f t="shared" si="18"/>
        <v/>
      </c>
      <c r="S98" s="153">
        <f t="shared" si="14"/>
        <v>-5</v>
      </c>
      <c r="T98" s="153">
        <f t="shared" si="15"/>
        <v>-50</v>
      </c>
      <c r="U98" s="151"/>
      <c r="V98" s="151">
        <f t="shared" si="16"/>
        <v>0</v>
      </c>
    </row>
    <row r="99" spans="1:22" x14ac:dyDescent="0.25">
      <c r="A99" s="61"/>
      <c r="G99" s="18"/>
      <c r="H99" s="40">
        <v>94</v>
      </c>
      <c r="I99" s="41" t="str">
        <f t="shared" si="11"/>
        <v/>
      </c>
      <c r="J99" s="40">
        <f t="shared" si="17"/>
        <v>-5</v>
      </c>
      <c r="K99" s="40">
        <f t="shared" si="12"/>
        <v>-50</v>
      </c>
      <c r="L99" s="40"/>
      <c r="M99" s="42">
        <f t="shared" si="13"/>
        <v>0</v>
      </c>
      <c r="O99" s="150">
        <v>94</v>
      </c>
      <c r="P99" s="150"/>
      <c r="Q99" s="150"/>
      <c r="R99" s="151" t="str">
        <f t="shared" si="18"/>
        <v/>
      </c>
      <c r="S99" s="153">
        <f t="shared" si="14"/>
        <v>-5</v>
      </c>
      <c r="T99" s="153">
        <f t="shared" si="15"/>
        <v>-50</v>
      </c>
      <c r="U99" s="151"/>
      <c r="V99" s="151">
        <f t="shared" si="16"/>
        <v>0</v>
      </c>
    </row>
    <row r="100" spans="1:22" x14ac:dyDescent="0.25">
      <c r="A100" s="61"/>
      <c r="G100" s="18"/>
      <c r="H100" s="40">
        <v>95</v>
      </c>
      <c r="I100" s="41" t="str">
        <f t="shared" si="11"/>
        <v/>
      </c>
      <c r="J100" s="40">
        <f t="shared" si="17"/>
        <v>-5</v>
      </c>
      <c r="K100" s="40">
        <f t="shared" si="12"/>
        <v>-50</v>
      </c>
      <c r="L100" s="40"/>
      <c r="M100" s="42">
        <f t="shared" si="13"/>
        <v>0</v>
      </c>
      <c r="O100" s="150">
        <v>95</v>
      </c>
      <c r="P100" s="150"/>
      <c r="Q100" s="150"/>
      <c r="R100" s="151" t="str">
        <f t="shared" si="18"/>
        <v/>
      </c>
      <c r="S100" s="153">
        <f t="shared" si="14"/>
        <v>-5</v>
      </c>
      <c r="T100" s="153">
        <f t="shared" si="15"/>
        <v>-50</v>
      </c>
      <c r="U100" s="151"/>
      <c r="V100" s="151">
        <f t="shared" si="16"/>
        <v>0</v>
      </c>
    </row>
    <row r="101" spans="1:22" x14ac:dyDescent="0.25">
      <c r="A101" s="61"/>
      <c r="G101" s="18"/>
      <c r="H101" s="40">
        <v>96</v>
      </c>
      <c r="I101" s="41" t="str">
        <f t="shared" si="11"/>
        <v/>
      </c>
      <c r="J101" s="40">
        <f t="shared" si="17"/>
        <v>-5</v>
      </c>
      <c r="K101" s="40">
        <f t="shared" si="12"/>
        <v>-50</v>
      </c>
      <c r="L101" s="40"/>
      <c r="M101" s="42">
        <f t="shared" si="13"/>
        <v>0</v>
      </c>
      <c r="O101" s="150">
        <v>96</v>
      </c>
      <c r="P101" s="150"/>
      <c r="Q101" s="150"/>
      <c r="R101" s="151" t="str">
        <f t="shared" si="18"/>
        <v/>
      </c>
      <c r="S101" s="153">
        <f t="shared" si="14"/>
        <v>-5</v>
      </c>
      <c r="T101" s="153">
        <f t="shared" si="15"/>
        <v>-50</v>
      </c>
      <c r="U101" s="151"/>
      <c r="V101" s="151">
        <f t="shared" si="16"/>
        <v>0</v>
      </c>
    </row>
    <row r="102" spans="1:22" x14ac:dyDescent="0.25">
      <c r="A102" s="61"/>
      <c r="G102" s="18"/>
      <c r="H102" s="40">
        <v>97</v>
      </c>
      <c r="I102" s="41" t="str">
        <f t="shared" si="11"/>
        <v/>
      </c>
      <c r="J102" s="40">
        <f t="shared" si="17"/>
        <v>-5</v>
      </c>
      <c r="K102" s="40">
        <f t="shared" si="12"/>
        <v>-50</v>
      </c>
      <c r="L102" s="40"/>
      <c r="M102" s="42">
        <f t="shared" si="13"/>
        <v>0</v>
      </c>
      <c r="O102" s="150">
        <v>97</v>
      </c>
      <c r="P102" s="150"/>
      <c r="Q102" s="150"/>
      <c r="R102" s="151" t="str">
        <f t="shared" si="18"/>
        <v/>
      </c>
      <c r="S102" s="153">
        <f t="shared" si="14"/>
        <v>-5</v>
      </c>
      <c r="T102" s="153">
        <f t="shared" si="15"/>
        <v>-50</v>
      </c>
      <c r="U102" s="151"/>
      <c r="V102" s="151">
        <f t="shared" si="16"/>
        <v>0</v>
      </c>
    </row>
    <row r="103" spans="1:22" x14ac:dyDescent="0.25">
      <c r="A103" s="61"/>
      <c r="G103" s="18"/>
      <c r="H103" s="40">
        <v>98</v>
      </c>
      <c r="I103" s="41" t="str">
        <f t="shared" si="11"/>
        <v/>
      </c>
      <c r="J103" s="40">
        <f t="shared" si="17"/>
        <v>-5</v>
      </c>
      <c r="K103" s="40">
        <f t="shared" si="12"/>
        <v>-50</v>
      </c>
      <c r="L103" s="40"/>
      <c r="M103" s="42">
        <f t="shared" si="13"/>
        <v>0</v>
      </c>
      <c r="O103" s="150">
        <v>98</v>
      </c>
      <c r="P103" s="150"/>
      <c r="Q103" s="150"/>
      <c r="R103" s="151" t="str">
        <f t="shared" si="18"/>
        <v/>
      </c>
      <c r="S103" s="153">
        <f t="shared" si="14"/>
        <v>-5</v>
      </c>
      <c r="T103" s="153">
        <f t="shared" si="15"/>
        <v>-50</v>
      </c>
      <c r="U103" s="151"/>
      <c r="V103" s="151">
        <f t="shared" si="16"/>
        <v>0</v>
      </c>
    </row>
    <row r="104" spans="1:22" x14ac:dyDescent="0.25">
      <c r="A104" s="61"/>
      <c r="G104" s="18"/>
      <c r="H104" s="40">
        <v>99</v>
      </c>
      <c r="I104" s="41" t="str">
        <f t="shared" si="11"/>
        <v/>
      </c>
      <c r="J104" s="40">
        <f t="shared" si="17"/>
        <v>-5</v>
      </c>
      <c r="K104" s="40">
        <f t="shared" si="12"/>
        <v>-50</v>
      </c>
      <c r="L104" s="40"/>
      <c r="M104" s="42">
        <f t="shared" si="13"/>
        <v>0</v>
      </c>
      <c r="O104" s="150">
        <v>99</v>
      </c>
      <c r="P104" s="150"/>
      <c r="Q104" s="150"/>
      <c r="R104" s="151" t="str">
        <f t="shared" si="18"/>
        <v/>
      </c>
      <c r="S104" s="153">
        <f t="shared" si="14"/>
        <v>-5</v>
      </c>
      <c r="T104" s="153">
        <f t="shared" si="15"/>
        <v>-50</v>
      </c>
      <c r="U104" s="151"/>
      <c r="V104" s="151">
        <f t="shared" si="16"/>
        <v>0</v>
      </c>
    </row>
    <row r="105" spans="1:22" x14ac:dyDescent="0.25">
      <c r="A105" s="61"/>
      <c r="G105" s="18"/>
      <c r="H105" s="40">
        <v>100</v>
      </c>
      <c r="I105" s="41" t="str">
        <f t="shared" si="11"/>
        <v/>
      </c>
      <c r="J105" s="40">
        <f t="shared" si="17"/>
        <v>-5</v>
      </c>
      <c r="K105" s="40">
        <f t="shared" si="12"/>
        <v>-50</v>
      </c>
      <c r="L105" s="40"/>
      <c r="M105" s="42">
        <f t="shared" si="13"/>
        <v>0</v>
      </c>
      <c r="O105" s="150">
        <v>100</v>
      </c>
      <c r="P105" s="150"/>
      <c r="Q105" s="150"/>
      <c r="R105" s="151" t="str">
        <f t="shared" si="18"/>
        <v/>
      </c>
      <c r="S105" s="153">
        <f t="shared" si="14"/>
        <v>-5</v>
      </c>
      <c r="T105" s="153">
        <f t="shared" si="15"/>
        <v>-50</v>
      </c>
      <c r="U105" s="151"/>
      <c r="V105" s="151">
        <f t="shared" si="16"/>
        <v>0</v>
      </c>
    </row>
    <row r="106" spans="1:22" x14ac:dyDescent="0.25">
      <c r="A106" s="61"/>
      <c r="G106" s="18"/>
      <c r="H106" s="40">
        <v>101</v>
      </c>
      <c r="I106" s="41" t="str">
        <f t="shared" si="11"/>
        <v/>
      </c>
      <c r="J106" s="40">
        <f t="shared" si="17"/>
        <v>-5</v>
      </c>
      <c r="K106" s="40">
        <f t="shared" si="12"/>
        <v>-50</v>
      </c>
      <c r="L106" s="40"/>
      <c r="M106" s="42">
        <f t="shared" si="13"/>
        <v>0</v>
      </c>
      <c r="O106" s="150">
        <v>101</v>
      </c>
      <c r="P106" s="150"/>
      <c r="Q106" s="150"/>
      <c r="R106" s="151" t="str">
        <f t="shared" si="18"/>
        <v/>
      </c>
      <c r="S106" s="153">
        <f t="shared" si="14"/>
        <v>-5</v>
      </c>
      <c r="T106" s="153">
        <f t="shared" si="15"/>
        <v>-50</v>
      </c>
      <c r="U106" s="151"/>
      <c r="V106" s="151">
        <f t="shared" si="16"/>
        <v>0</v>
      </c>
    </row>
    <row r="107" spans="1:22" x14ac:dyDescent="0.25">
      <c r="A107" s="61"/>
      <c r="G107" s="18"/>
      <c r="H107" s="40">
        <v>102</v>
      </c>
      <c r="I107" s="41" t="str">
        <f t="shared" si="11"/>
        <v/>
      </c>
      <c r="J107" s="40">
        <f t="shared" si="17"/>
        <v>-5</v>
      </c>
      <c r="K107" s="40">
        <f t="shared" si="12"/>
        <v>-50</v>
      </c>
      <c r="L107" s="40"/>
      <c r="M107" s="42">
        <f t="shared" si="13"/>
        <v>0</v>
      </c>
      <c r="O107" s="150">
        <v>102</v>
      </c>
      <c r="P107" s="150"/>
      <c r="Q107" s="150"/>
      <c r="R107" s="151" t="str">
        <f t="shared" si="18"/>
        <v/>
      </c>
      <c r="S107" s="153">
        <f t="shared" si="14"/>
        <v>-5</v>
      </c>
      <c r="T107" s="153">
        <f t="shared" si="15"/>
        <v>-50</v>
      </c>
      <c r="U107" s="151"/>
      <c r="V107" s="151">
        <f t="shared" si="16"/>
        <v>0</v>
      </c>
    </row>
    <row r="108" spans="1:22" x14ac:dyDescent="0.25">
      <c r="A108" s="61"/>
      <c r="G108" s="18"/>
      <c r="H108" s="40">
        <v>103</v>
      </c>
      <c r="I108" s="41" t="str">
        <f t="shared" si="11"/>
        <v/>
      </c>
      <c r="J108" s="40">
        <f t="shared" si="17"/>
        <v>-5</v>
      </c>
      <c r="K108" s="40">
        <f t="shared" si="12"/>
        <v>-50</v>
      </c>
      <c r="L108" s="40"/>
      <c r="M108" s="42">
        <f t="shared" si="13"/>
        <v>0</v>
      </c>
      <c r="O108" s="150">
        <v>103</v>
      </c>
      <c r="P108" s="150"/>
      <c r="Q108" s="150"/>
      <c r="R108" s="151" t="str">
        <f t="shared" si="18"/>
        <v/>
      </c>
      <c r="S108" s="153">
        <f t="shared" si="14"/>
        <v>-5</v>
      </c>
      <c r="T108" s="153">
        <f t="shared" si="15"/>
        <v>-50</v>
      </c>
      <c r="U108" s="151"/>
      <c r="V108" s="151">
        <f t="shared" si="16"/>
        <v>0</v>
      </c>
    </row>
    <row r="109" spans="1:22" x14ac:dyDescent="0.25">
      <c r="A109" s="61"/>
      <c r="G109" s="18"/>
      <c r="H109" s="40">
        <v>104</v>
      </c>
      <c r="I109" s="41" t="str">
        <f t="shared" si="11"/>
        <v/>
      </c>
      <c r="J109" s="40">
        <f t="shared" si="17"/>
        <v>-5</v>
      </c>
      <c r="K109" s="40">
        <f t="shared" si="12"/>
        <v>-50</v>
      </c>
      <c r="L109" s="40"/>
      <c r="M109" s="42">
        <f t="shared" si="13"/>
        <v>0</v>
      </c>
      <c r="O109" s="150">
        <v>104</v>
      </c>
      <c r="P109" s="150"/>
      <c r="Q109" s="150"/>
      <c r="R109" s="151" t="str">
        <f t="shared" si="18"/>
        <v/>
      </c>
      <c r="S109" s="153">
        <f t="shared" si="14"/>
        <v>-5</v>
      </c>
      <c r="T109" s="153">
        <f t="shared" si="15"/>
        <v>-50</v>
      </c>
      <c r="U109" s="151"/>
      <c r="V109" s="151">
        <f t="shared" si="16"/>
        <v>0</v>
      </c>
    </row>
    <row r="110" spans="1:22" x14ac:dyDescent="0.25">
      <c r="A110" s="61"/>
      <c r="G110" s="18"/>
      <c r="H110" s="40">
        <v>105</v>
      </c>
      <c r="I110" s="41" t="str">
        <f t="shared" si="11"/>
        <v/>
      </c>
      <c r="J110" s="40">
        <f t="shared" si="17"/>
        <v>-5</v>
      </c>
      <c r="K110" s="40">
        <f t="shared" si="12"/>
        <v>-50</v>
      </c>
      <c r="L110" s="40"/>
      <c r="M110" s="42">
        <f t="shared" si="13"/>
        <v>0</v>
      </c>
      <c r="O110" s="150">
        <v>105</v>
      </c>
      <c r="P110" s="150"/>
      <c r="Q110" s="150"/>
      <c r="R110" s="151" t="str">
        <f t="shared" si="18"/>
        <v/>
      </c>
      <c r="S110" s="153">
        <f t="shared" si="14"/>
        <v>-5</v>
      </c>
      <c r="T110" s="153">
        <f t="shared" si="15"/>
        <v>-50</v>
      </c>
      <c r="U110" s="151"/>
      <c r="V110" s="151">
        <f t="shared" si="16"/>
        <v>0</v>
      </c>
    </row>
    <row r="111" spans="1:22" x14ac:dyDescent="0.25">
      <c r="A111" s="61"/>
      <c r="G111" s="18"/>
      <c r="H111" s="40">
        <v>106</v>
      </c>
      <c r="I111" s="41" t="str">
        <f t="shared" si="11"/>
        <v/>
      </c>
      <c r="J111" s="40">
        <f t="shared" si="17"/>
        <v>-5</v>
      </c>
      <c r="K111" s="40">
        <f t="shared" si="12"/>
        <v>-50</v>
      </c>
      <c r="L111" s="40"/>
      <c r="M111" s="42">
        <f t="shared" si="13"/>
        <v>0</v>
      </c>
      <c r="O111" s="150">
        <v>106</v>
      </c>
      <c r="P111" s="150"/>
      <c r="Q111" s="150"/>
      <c r="R111" s="151" t="str">
        <f t="shared" si="18"/>
        <v/>
      </c>
      <c r="S111" s="153">
        <f t="shared" si="14"/>
        <v>-5</v>
      </c>
      <c r="T111" s="153">
        <f t="shared" si="15"/>
        <v>-50</v>
      </c>
      <c r="U111" s="151"/>
      <c r="V111" s="151">
        <f t="shared" si="16"/>
        <v>0</v>
      </c>
    </row>
    <row r="112" spans="1:22" x14ac:dyDescent="0.25">
      <c r="A112" s="61"/>
      <c r="G112" s="18"/>
      <c r="H112" s="40">
        <v>107</v>
      </c>
      <c r="I112" s="41" t="str">
        <f t="shared" si="11"/>
        <v/>
      </c>
      <c r="J112" s="40">
        <f t="shared" si="17"/>
        <v>-5</v>
      </c>
      <c r="K112" s="40">
        <f t="shared" si="12"/>
        <v>-50</v>
      </c>
      <c r="L112" s="40"/>
      <c r="M112" s="42">
        <f t="shared" si="13"/>
        <v>0</v>
      </c>
      <c r="O112" s="150">
        <v>107</v>
      </c>
      <c r="P112" s="150"/>
      <c r="Q112" s="150"/>
      <c r="R112" s="151" t="str">
        <f t="shared" si="18"/>
        <v/>
      </c>
      <c r="S112" s="153">
        <f t="shared" si="14"/>
        <v>-5</v>
      </c>
      <c r="T112" s="153">
        <f t="shared" si="15"/>
        <v>-50</v>
      </c>
      <c r="U112" s="151"/>
      <c r="V112" s="151">
        <f t="shared" si="16"/>
        <v>0</v>
      </c>
    </row>
    <row r="113" spans="1:22" x14ac:dyDescent="0.25">
      <c r="A113" s="61"/>
      <c r="G113" s="18"/>
      <c r="H113" s="40">
        <v>108</v>
      </c>
      <c r="I113" s="41" t="str">
        <f t="shared" si="11"/>
        <v/>
      </c>
      <c r="J113" s="40">
        <f t="shared" si="17"/>
        <v>-5</v>
      </c>
      <c r="K113" s="40">
        <f t="shared" si="12"/>
        <v>-50</v>
      </c>
      <c r="L113" s="40"/>
      <c r="M113" s="42">
        <f t="shared" si="13"/>
        <v>0</v>
      </c>
      <c r="O113" s="150">
        <v>108</v>
      </c>
      <c r="P113" s="150"/>
      <c r="Q113" s="150"/>
      <c r="R113" s="151" t="str">
        <f t="shared" si="18"/>
        <v/>
      </c>
      <c r="S113" s="153">
        <f t="shared" si="14"/>
        <v>-5</v>
      </c>
      <c r="T113" s="153">
        <f t="shared" si="15"/>
        <v>-50</v>
      </c>
      <c r="U113" s="151"/>
      <c r="V113" s="151">
        <f t="shared" si="16"/>
        <v>0</v>
      </c>
    </row>
    <row r="114" spans="1:22" x14ac:dyDescent="0.25">
      <c r="A114" s="61"/>
      <c r="G114" s="18"/>
      <c r="H114" s="40">
        <v>109</v>
      </c>
      <c r="I114" s="41" t="str">
        <f t="shared" si="11"/>
        <v/>
      </c>
      <c r="J114" s="40">
        <f t="shared" si="17"/>
        <v>-5</v>
      </c>
      <c r="K114" s="40">
        <f t="shared" si="12"/>
        <v>-50</v>
      </c>
      <c r="L114" s="40"/>
      <c r="M114" s="42">
        <f t="shared" si="13"/>
        <v>0</v>
      </c>
      <c r="O114" s="150">
        <v>109</v>
      </c>
      <c r="P114" s="150"/>
      <c r="Q114" s="150"/>
      <c r="R114" s="151" t="str">
        <f t="shared" si="18"/>
        <v/>
      </c>
      <c r="S114" s="153">
        <f t="shared" si="14"/>
        <v>-5</v>
      </c>
      <c r="T114" s="153">
        <f t="shared" si="15"/>
        <v>-50</v>
      </c>
      <c r="U114" s="151"/>
      <c r="V114" s="151">
        <f t="shared" si="16"/>
        <v>0</v>
      </c>
    </row>
    <row r="115" spans="1:22" x14ac:dyDescent="0.25">
      <c r="A115" s="61"/>
      <c r="G115" s="18"/>
      <c r="H115" s="40">
        <v>110</v>
      </c>
      <c r="I115" s="41" t="str">
        <f t="shared" si="11"/>
        <v/>
      </c>
      <c r="J115" s="40">
        <f t="shared" si="17"/>
        <v>-5</v>
      </c>
      <c r="K115" s="40">
        <f t="shared" si="12"/>
        <v>-50</v>
      </c>
      <c r="L115" s="40"/>
      <c r="M115" s="42">
        <f t="shared" si="13"/>
        <v>0</v>
      </c>
      <c r="O115" s="150">
        <v>110</v>
      </c>
      <c r="P115" s="150"/>
      <c r="Q115" s="150"/>
      <c r="R115" s="151" t="str">
        <f t="shared" si="18"/>
        <v/>
      </c>
      <c r="S115" s="153">
        <f t="shared" si="14"/>
        <v>-5</v>
      </c>
      <c r="T115" s="153">
        <f t="shared" si="15"/>
        <v>-50</v>
      </c>
      <c r="U115" s="151"/>
      <c r="V115" s="151">
        <f t="shared" si="16"/>
        <v>0</v>
      </c>
    </row>
    <row r="116" spans="1:22" x14ac:dyDescent="0.25">
      <c r="A116" s="61"/>
      <c r="G116" s="18"/>
      <c r="H116" s="40">
        <v>111</v>
      </c>
      <c r="I116" s="41" t="str">
        <f t="shared" si="11"/>
        <v/>
      </c>
      <c r="J116" s="40">
        <f t="shared" si="17"/>
        <v>-5</v>
      </c>
      <c r="K116" s="40">
        <f t="shared" si="12"/>
        <v>-50</v>
      </c>
      <c r="L116" s="40"/>
      <c r="M116" s="42">
        <f t="shared" si="13"/>
        <v>0</v>
      </c>
      <c r="O116" s="150">
        <v>111</v>
      </c>
      <c r="P116" s="150"/>
      <c r="Q116" s="150"/>
      <c r="R116" s="151" t="str">
        <f t="shared" si="18"/>
        <v/>
      </c>
      <c r="S116" s="153">
        <f t="shared" si="14"/>
        <v>-5</v>
      </c>
      <c r="T116" s="153">
        <f t="shared" si="15"/>
        <v>-50</v>
      </c>
      <c r="U116" s="151"/>
      <c r="V116" s="151">
        <f t="shared" si="16"/>
        <v>0</v>
      </c>
    </row>
    <row r="117" spans="1:22" x14ac:dyDescent="0.25">
      <c r="A117" s="61"/>
      <c r="G117" s="18"/>
      <c r="H117" s="40">
        <v>112</v>
      </c>
      <c r="I117" s="41" t="str">
        <f t="shared" si="11"/>
        <v/>
      </c>
      <c r="J117" s="40">
        <f t="shared" si="17"/>
        <v>-5</v>
      </c>
      <c r="K117" s="40">
        <f t="shared" si="12"/>
        <v>-50</v>
      </c>
      <c r="L117" s="40"/>
      <c r="M117" s="42">
        <f t="shared" si="13"/>
        <v>0</v>
      </c>
      <c r="O117" s="150">
        <v>112</v>
      </c>
      <c r="P117" s="150"/>
      <c r="Q117" s="150"/>
      <c r="R117" s="151" t="str">
        <f t="shared" si="18"/>
        <v/>
      </c>
      <c r="S117" s="153">
        <f t="shared" si="14"/>
        <v>-5</v>
      </c>
      <c r="T117" s="153">
        <f t="shared" si="15"/>
        <v>-50</v>
      </c>
      <c r="U117" s="151"/>
      <c r="V117" s="151">
        <f t="shared" si="16"/>
        <v>0</v>
      </c>
    </row>
    <row r="118" spans="1:22" x14ac:dyDescent="0.25">
      <c r="A118" s="61"/>
      <c r="G118" s="18"/>
      <c r="H118" s="40">
        <v>113</v>
      </c>
      <c r="I118" s="41" t="str">
        <f t="shared" si="11"/>
        <v/>
      </c>
      <c r="J118" s="40">
        <f t="shared" si="17"/>
        <v>-5</v>
      </c>
      <c r="K118" s="40">
        <f t="shared" si="12"/>
        <v>-50</v>
      </c>
      <c r="L118" s="40"/>
      <c r="M118" s="42">
        <f t="shared" si="13"/>
        <v>0</v>
      </c>
      <c r="O118" s="150">
        <v>113</v>
      </c>
      <c r="P118" s="150"/>
      <c r="Q118" s="150"/>
      <c r="R118" s="151" t="str">
        <f t="shared" si="18"/>
        <v/>
      </c>
      <c r="S118" s="153">
        <f t="shared" si="14"/>
        <v>-5</v>
      </c>
      <c r="T118" s="153">
        <f t="shared" si="15"/>
        <v>-50</v>
      </c>
      <c r="U118" s="151"/>
      <c r="V118" s="151">
        <f t="shared" si="16"/>
        <v>0</v>
      </c>
    </row>
    <row r="119" spans="1:22" x14ac:dyDescent="0.25">
      <c r="A119" s="61"/>
      <c r="G119" s="18"/>
      <c r="H119" s="40">
        <v>114</v>
      </c>
      <c r="I119" s="41" t="str">
        <f t="shared" si="11"/>
        <v/>
      </c>
      <c r="J119" s="40">
        <f t="shared" si="17"/>
        <v>-5</v>
      </c>
      <c r="K119" s="40">
        <f t="shared" si="12"/>
        <v>-50</v>
      </c>
      <c r="L119" s="40"/>
      <c r="M119" s="42">
        <f t="shared" si="13"/>
        <v>0</v>
      </c>
      <c r="O119" s="150">
        <v>114</v>
      </c>
      <c r="P119" s="150"/>
      <c r="Q119" s="150"/>
      <c r="R119" s="151" t="str">
        <f t="shared" si="18"/>
        <v/>
      </c>
      <c r="S119" s="153">
        <f t="shared" si="14"/>
        <v>-5</v>
      </c>
      <c r="T119" s="153">
        <f t="shared" si="15"/>
        <v>-50</v>
      </c>
      <c r="U119" s="151"/>
      <c r="V119" s="151">
        <f t="shared" si="16"/>
        <v>0</v>
      </c>
    </row>
    <row r="120" spans="1:22" x14ac:dyDescent="0.25">
      <c r="A120" s="61"/>
      <c r="G120" s="18"/>
      <c r="H120" s="40">
        <v>115</v>
      </c>
      <c r="I120" s="41" t="str">
        <f t="shared" si="11"/>
        <v/>
      </c>
      <c r="J120" s="40">
        <f t="shared" si="17"/>
        <v>-5</v>
      </c>
      <c r="K120" s="40">
        <f t="shared" si="12"/>
        <v>-50</v>
      </c>
      <c r="L120" s="40"/>
      <c r="M120" s="42">
        <f t="shared" si="13"/>
        <v>0</v>
      </c>
      <c r="O120" s="150">
        <v>115</v>
      </c>
      <c r="P120" s="150"/>
      <c r="Q120" s="150"/>
      <c r="R120" s="151" t="str">
        <f t="shared" si="18"/>
        <v/>
      </c>
      <c r="S120" s="153">
        <f t="shared" si="14"/>
        <v>-5</v>
      </c>
      <c r="T120" s="153">
        <f t="shared" si="15"/>
        <v>-50</v>
      </c>
      <c r="U120" s="151"/>
      <c r="V120" s="151">
        <f t="shared" si="16"/>
        <v>0</v>
      </c>
    </row>
    <row r="121" spans="1:22" x14ac:dyDescent="0.25">
      <c r="A121" s="61"/>
      <c r="G121" s="18"/>
      <c r="H121" s="40">
        <v>116</v>
      </c>
      <c r="I121" s="41" t="str">
        <f t="shared" si="11"/>
        <v/>
      </c>
      <c r="J121" s="40">
        <f t="shared" si="17"/>
        <v>-5</v>
      </c>
      <c r="K121" s="40">
        <f t="shared" si="12"/>
        <v>-50</v>
      </c>
      <c r="L121" s="40"/>
      <c r="M121" s="42">
        <f t="shared" si="13"/>
        <v>0</v>
      </c>
      <c r="O121" s="150">
        <v>116</v>
      </c>
      <c r="P121" s="150"/>
      <c r="Q121" s="150"/>
      <c r="R121" s="151" t="str">
        <f t="shared" si="18"/>
        <v/>
      </c>
      <c r="S121" s="153">
        <f t="shared" si="14"/>
        <v>-5</v>
      </c>
      <c r="T121" s="153">
        <f t="shared" si="15"/>
        <v>-50</v>
      </c>
      <c r="U121" s="151"/>
      <c r="V121" s="151">
        <f t="shared" si="16"/>
        <v>0</v>
      </c>
    </row>
    <row r="122" spans="1:22" x14ac:dyDescent="0.25">
      <c r="A122" s="61"/>
      <c r="G122" s="18"/>
      <c r="H122" s="40">
        <v>117</v>
      </c>
      <c r="I122" s="41" t="str">
        <f t="shared" si="11"/>
        <v/>
      </c>
      <c r="J122" s="40">
        <f t="shared" si="17"/>
        <v>-5</v>
      </c>
      <c r="K122" s="40">
        <f t="shared" si="12"/>
        <v>-50</v>
      </c>
      <c r="L122" s="40"/>
      <c r="M122" s="42">
        <f t="shared" si="13"/>
        <v>0</v>
      </c>
      <c r="O122" s="150">
        <v>117</v>
      </c>
      <c r="P122" s="150"/>
      <c r="Q122" s="150"/>
      <c r="R122" s="151" t="str">
        <f t="shared" si="18"/>
        <v/>
      </c>
      <c r="S122" s="153">
        <f t="shared" si="14"/>
        <v>-5</v>
      </c>
      <c r="T122" s="153">
        <f t="shared" si="15"/>
        <v>-50</v>
      </c>
      <c r="U122" s="151"/>
      <c r="V122" s="151">
        <f t="shared" si="16"/>
        <v>0</v>
      </c>
    </row>
    <row r="123" spans="1:22" x14ac:dyDescent="0.25">
      <c r="A123" s="61"/>
      <c r="G123" s="18"/>
      <c r="H123" s="40">
        <v>118</v>
      </c>
      <c r="I123" s="41" t="str">
        <f t="shared" si="11"/>
        <v/>
      </c>
      <c r="J123" s="40">
        <f t="shared" si="17"/>
        <v>-5</v>
      </c>
      <c r="K123" s="40">
        <f t="shared" si="12"/>
        <v>-50</v>
      </c>
      <c r="L123" s="40"/>
      <c r="M123" s="42">
        <f t="shared" si="13"/>
        <v>0</v>
      </c>
      <c r="O123" s="150">
        <v>118</v>
      </c>
      <c r="P123" s="150"/>
      <c r="Q123" s="150"/>
      <c r="R123" s="151" t="str">
        <f t="shared" si="18"/>
        <v/>
      </c>
      <c r="S123" s="153">
        <f t="shared" si="14"/>
        <v>-5</v>
      </c>
      <c r="T123" s="153">
        <f t="shared" si="15"/>
        <v>-50</v>
      </c>
      <c r="U123" s="151"/>
      <c r="V123" s="151">
        <f t="shared" si="16"/>
        <v>0</v>
      </c>
    </row>
    <row r="124" spans="1:22" x14ac:dyDescent="0.25">
      <c r="A124" s="61"/>
      <c r="G124" s="18"/>
      <c r="H124" s="40">
        <v>119</v>
      </c>
      <c r="I124" s="41" t="str">
        <f t="shared" si="11"/>
        <v/>
      </c>
      <c r="J124" s="40">
        <f t="shared" si="17"/>
        <v>-5</v>
      </c>
      <c r="K124" s="40">
        <f t="shared" si="12"/>
        <v>-50</v>
      </c>
      <c r="L124" s="40"/>
      <c r="M124" s="42">
        <f t="shared" si="13"/>
        <v>0</v>
      </c>
      <c r="O124" s="150">
        <v>119</v>
      </c>
      <c r="P124" s="150"/>
      <c r="Q124" s="150"/>
      <c r="R124" s="151" t="str">
        <f t="shared" si="18"/>
        <v/>
      </c>
      <c r="S124" s="153">
        <f t="shared" si="14"/>
        <v>-5</v>
      </c>
      <c r="T124" s="153">
        <f t="shared" si="15"/>
        <v>-50</v>
      </c>
      <c r="U124" s="151"/>
      <c r="V124" s="151">
        <f t="shared" si="16"/>
        <v>0</v>
      </c>
    </row>
    <row r="125" spans="1:22" x14ac:dyDescent="0.25">
      <c r="A125" s="61"/>
      <c r="G125" s="18"/>
      <c r="H125" s="40">
        <v>120</v>
      </c>
      <c r="I125" s="41" t="str">
        <f t="shared" si="11"/>
        <v/>
      </c>
      <c r="J125" s="40">
        <f t="shared" si="17"/>
        <v>-5</v>
      </c>
      <c r="K125" s="40">
        <f t="shared" si="12"/>
        <v>-50</v>
      </c>
      <c r="L125" s="40"/>
      <c r="M125" s="42">
        <f t="shared" si="13"/>
        <v>0</v>
      </c>
      <c r="O125" s="150">
        <v>120</v>
      </c>
      <c r="P125" s="150"/>
      <c r="Q125" s="150"/>
      <c r="R125" s="151" t="str">
        <f t="shared" si="18"/>
        <v/>
      </c>
      <c r="S125" s="153">
        <f t="shared" si="14"/>
        <v>-5</v>
      </c>
      <c r="T125" s="153">
        <f t="shared" si="15"/>
        <v>-50</v>
      </c>
      <c r="U125" s="151"/>
      <c r="V125" s="151">
        <f t="shared" si="16"/>
        <v>0</v>
      </c>
    </row>
    <row r="126" spans="1:22" x14ac:dyDescent="0.25">
      <c r="A126" s="61"/>
      <c r="G126" s="18"/>
      <c r="H126" s="40">
        <v>121</v>
      </c>
      <c r="I126" s="41" t="str">
        <f t="shared" si="11"/>
        <v/>
      </c>
      <c r="J126" s="40">
        <f t="shared" si="17"/>
        <v>-5</v>
      </c>
      <c r="K126" s="40">
        <f t="shared" si="12"/>
        <v>-50</v>
      </c>
      <c r="L126" s="40"/>
      <c r="M126" s="42">
        <f t="shared" si="13"/>
        <v>0</v>
      </c>
      <c r="O126" s="150">
        <v>121</v>
      </c>
      <c r="P126" s="150"/>
      <c r="Q126" s="150"/>
      <c r="R126" s="151" t="str">
        <f t="shared" si="18"/>
        <v/>
      </c>
      <c r="S126" s="153">
        <f t="shared" si="14"/>
        <v>-5</v>
      </c>
      <c r="T126" s="153">
        <f t="shared" si="15"/>
        <v>-50</v>
      </c>
      <c r="U126" s="151"/>
      <c r="V126" s="151">
        <f t="shared" si="16"/>
        <v>0</v>
      </c>
    </row>
    <row r="127" spans="1:22" x14ac:dyDescent="0.25">
      <c r="A127" s="61"/>
      <c r="G127" s="18"/>
      <c r="H127" s="40">
        <v>122</v>
      </c>
      <c r="I127" s="41" t="str">
        <f t="shared" si="11"/>
        <v/>
      </c>
      <c r="J127" s="40">
        <f t="shared" si="17"/>
        <v>-5</v>
      </c>
      <c r="K127" s="40">
        <f t="shared" si="12"/>
        <v>-50</v>
      </c>
      <c r="L127" s="40"/>
      <c r="M127" s="42">
        <f t="shared" si="13"/>
        <v>0</v>
      </c>
      <c r="O127" s="150">
        <v>122</v>
      </c>
      <c r="P127" s="150"/>
      <c r="Q127" s="150"/>
      <c r="R127" s="151" t="str">
        <f t="shared" si="18"/>
        <v/>
      </c>
      <c r="S127" s="153">
        <f t="shared" si="14"/>
        <v>-5</v>
      </c>
      <c r="T127" s="153">
        <f t="shared" si="15"/>
        <v>-50</v>
      </c>
      <c r="U127" s="151"/>
      <c r="V127" s="151">
        <f t="shared" si="16"/>
        <v>0</v>
      </c>
    </row>
    <row r="128" spans="1:22" x14ac:dyDescent="0.25">
      <c r="A128" s="61"/>
      <c r="G128" s="18"/>
      <c r="H128" s="40">
        <v>123</v>
      </c>
      <c r="I128" s="41" t="str">
        <f t="shared" si="11"/>
        <v/>
      </c>
      <c r="J128" s="40">
        <f t="shared" si="17"/>
        <v>-5</v>
      </c>
      <c r="K128" s="40">
        <f t="shared" si="12"/>
        <v>-50</v>
      </c>
      <c r="L128" s="40"/>
      <c r="M128" s="42">
        <f t="shared" si="13"/>
        <v>0</v>
      </c>
      <c r="O128" s="150">
        <v>123</v>
      </c>
      <c r="P128" s="150"/>
      <c r="Q128" s="150"/>
      <c r="R128" s="151" t="str">
        <f t="shared" si="18"/>
        <v/>
      </c>
      <c r="S128" s="153">
        <f t="shared" si="14"/>
        <v>-5</v>
      </c>
      <c r="T128" s="153">
        <f t="shared" si="15"/>
        <v>-50</v>
      </c>
      <c r="U128" s="151"/>
      <c r="V128" s="151">
        <f t="shared" si="16"/>
        <v>0</v>
      </c>
    </row>
    <row r="129" spans="1:22" x14ac:dyDescent="0.25">
      <c r="A129" s="61"/>
      <c r="G129" s="18"/>
      <c r="H129" s="40">
        <v>124</v>
      </c>
      <c r="I129" s="41" t="str">
        <f t="shared" si="11"/>
        <v/>
      </c>
      <c r="J129" s="40">
        <f t="shared" si="17"/>
        <v>-5</v>
      </c>
      <c r="K129" s="40">
        <f t="shared" si="12"/>
        <v>-50</v>
      </c>
      <c r="L129" s="40"/>
      <c r="M129" s="42">
        <f t="shared" si="13"/>
        <v>0</v>
      </c>
      <c r="O129" s="150">
        <v>124</v>
      </c>
      <c r="P129" s="150"/>
      <c r="Q129" s="150"/>
      <c r="R129" s="151" t="str">
        <f t="shared" si="18"/>
        <v/>
      </c>
      <c r="S129" s="153">
        <f t="shared" si="14"/>
        <v>-5</v>
      </c>
      <c r="T129" s="153">
        <f t="shared" si="15"/>
        <v>-50</v>
      </c>
      <c r="U129" s="151"/>
      <c r="V129" s="151">
        <f t="shared" si="16"/>
        <v>0</v>
      </c>
    </row>
    <row r="130" spans="1:22" x14ac:dyDescent="0.25">
      <c r="A130" s="61"/>
      <c r="G130" s="18"/>
      <c r="H130" s="40">
        <v>125</v>
      </c>
      <c r="I130" s="41" t="str">
        <f t="shared" si="11"/>
        <v/>
      </c>
      <c r="J130" s="40">
        <f t="shared" si="17"/>
        <v>-5</v>
      </c>
      <c r="K130" s="40">
        <f t="shared" si="12"/>
        <v>-50</v>
      </c>
      <c r="L130" s="40"/>
      <c r="M130" s="42">
        <f t="shared" si="13"/>
        <v>0</v>
      </c>
      <c r="O130" s="150">
        <v>125</v>
      </c>
      <c r="P130" s="150"/>
      <c r="Q130" s="150"/>
      <c r="R130" s="151" t="str">
        <f t="shared" si="18"/>
        <v/>
      </c>
      <c r="S130" s="153">
        <f t="shared" si="14"/>
        <v>-5</v>
      </c>
      <c r="T130" s="153">
        <f t="shared" si="15"/>
        <v>-50</v>
      </c>
      <c r="U130" s="151"/>
      <c r="V130" s="151">
        <f t="shared" si="16"/>
        <v>0</v>
      </c>
    </row>
    <row r="131" spans="1:22" x14ac:dyDescent="0.25">
      <c r="A131" s="61"/>
      <c r="G131" s="18"/>
      <c r="H131" s="40">
        <v>126</v>
      </c>
      <c r="I131" s="41" t="str">
        <f t="shared" si="11"/>
        <v/>
      </c>
      <c r="J131" s="40">
        <f t="shared" si="17"/>
        <v>-5</v>
      </c>
      <c r="K131" s="40">
        <f t="shared" si="12"/>
        <v>-50</v>
      </c>
      <c r="L131" s="40"/>
      <c r="M131" s="42">
        <f t="shared" si="13"/>
        <v>0</v>
      </c>
      <c r="O131" s="150">
        <v>126</v>
      </c>
      <c r="P131" s="150"/>
      <c r="Q131" s="150"/>
      <c r="R131" s="151" t="str">
        <f t="shared" si="18"/>
        <v/>
      </c>
      <c r="S131" s="153">
        <f t="shared" si="14"/>
        <v>-5</v>
      </c>
      <c r="T131" s="153">
        <f t="shared" si="15"/>
        <v>-50</v>
      </c>
      <c r="U131" s="151"/>
      <c r="V131" s="151">
        <f t="shared" si="16"/>
        <v>0</v>
      </c>
    </row>
    <row r="132" spans="1:22" x14ac:dyDescent="0.25">
      <c r="A132" s="61"/>
      <c r="G132" s="18"/>
      <c r="H132" s="40">
        <v>127</v>
      </c>
      <c r="I132" s="41" t="str">
        <f t="shared" si="11"/>
        <v/>
      </c>
      <c r="J132" s="40">
        <f t="shared" si="17"/>
        <v>-5</v>
      </c>
      <c r="K132" s="40">
        <f t="shared" si="12"/>
        <v>-50</v>
      </c>
      <c r="L132" s="40"/>
      <c r="M132" s="42">
        <f t="shared" si="13"/>
        <v>0</v>
      </c>
      <c r="O132" s="150">
        <v>127</v>
      </c>
      <c r="P132" s="150"/>
      <c r="Q132" s="150"/>
      <c r="R132" s="151" t="str">
        <f t="shared" si="18"/>
        <v/>
      </c>
      <c r="S132" s="153">
        <f t="shared" si="14"/>
        <v>-5</v>
      </c>
      <c r="T132" s="153">
        <f t="shared" si="15"/>
        <v>-50</v>
      </c>
      <c r="U132" s="151"/>
      <c r="V132" s="151">
        <f t="shared" si="16"/>
        <v>0</v>
      </c>
    </row>
    <row r="133" spans="1:22" x14ac:dyDescent="0.25">
      <c r="A133" s="61"/>
      <c r="G133" s="18"/>
      <c r="H133" s="40">
        <v>128</v>
      </c>
      <c r="I133" s="41" t="str">
        <f t="shared" si="11"/>
        <v/>
      </c>
      <c r="J133" s="40">
        <f t="shared" si="17"/>
        <v>-5</v>
      </c>
      <c r="K133" s="40">
        <f t="shared" si="12"/>
        <v>-50</v>
      </c>
      <c r="L133" s="40"/>
      <c r="M133" s="42">
        <f t="shared" si="13"/>
        <v>0</v>
      </c>
      <c r="O133" s="150">
        <v>128</v>
      </c>
      <c r="P133" s="150"/>
      <c r="Q133" s="150"/>
      <c r="R133" s="151" t="str">
        <f t="shared" si="18"/>
        <v/>
      </c>
      <c r="S133" s="153">
        <f t="shared" si="14"/>
        <v>-5</v>
      </c>
      <c r="T133" s="153">
        <f t="shared" si="15"/>
        <v>-50</v>
      </c>
      <c r="U133" s="151"/>
      <c r="V133" s="151">
        <f t="shared" si="16"/>
        <v>0</v>
      </c>
    </row>
    <row r="134" spans="1:22" x14ac:dyDescent="0.25">
      <c r="A134" s="61"/>
      <c r="G134" s="18"/>
      <c r="H134" s="40">
        <v>129</v>
      </c>
      <c r="I134" s="41" t="str">
        <f t="shared" ref="I134:I197" si="19">IF(H134&lt;$H$2+1,($I$2-($I$2-1)*(LOG(H134)/LOG($H$2))),"")</f>
        <v/>
      </c>
      <c r="J134" s="40">
        <f t="shared" si="17"/>
        <v>-6</v>
      </c>
      <c r="K134" s="40">
        <f t="shared" ref="K134:K197" si="20">J134*$J$2</f>
        <v>-60</v>
      </c>
      <c r="L134" s="40"/>
      <c r="M134" s="42">
        <f t="shared" ref="M134:M197" si="21">IF(I134&lt;&gt;"",K134+I134+L134,0)</f>
        <v>0</v>
      </c>
      <c r="O134" s="150">
        <v>129</v>
      </c>
      <c r="P134" s="150"/>
      <c r="Q134" s="150"/>
      <c r="R134" s="151" t="str">
        <f t="shared" si="18"/>
        <v/>
      </c>
      <c r="S134" s="153">
        <f t="shared" ref="S134:S197" si="22">INT(LOG($O$2,2))-ROUNDUP(LOG(O134,2),0)+IF(OR($O$2=1,$O$2=2,$O$2=4,$O$2=8,$O$2=16,$O$2=32,$O$2=64,$O$2=128,$O$2=256),0,1)</f>
        <v>-6</v>
      </c>
      <c r="T134" s="153">
        <f t="shared" ref="T134:T197" si="23">S134*$J$2</f>
        <v>-60</v>
      </c>
      <c r="U134" s="151"/>
      <c r="V134" s="151">
        <f t="shared" ref="V134:V197" si="24">IF(R134&lt;&gt;"",T134+R134+U134,0)</f>
        <v>0</v>
      </c>
    </row>
    <row r="135" spans="1:22" x14ac:dyDescent="0.25">
      <c r="A135" s="61"/>
      <c r="G135" s="18"/>
      <c r="H135" s="40">
        <v>130</v>
      </c>
      <c r="I135" s="41" t="str">
        <f t="shared" si="19"/>
        <v/>
      </c>
      <c r="J135" s="40">
        <f t="shared" ref="J135:J198" si="25">INT(LOG($H$2,2))-ROUNDUP(LOG(H135,2),0)+IF(OR($H$2=1,$H$2=2,$H$2=4,$H$2=8,$H$2=16,$H$2=32,$H$2=64,$H$2=128,$H$2=256),0,1)</f>
        <v>-6</v>
      </c>
      <c r="K135" s="40">
        <f t="shared" si="20"/>
        <v>-60</v>
      </c>
      <c r="L135" s="40"/>
      <c r="M135" s="42">
        <f t="shared" si="21"/>
        <v>0</v>
      </c>
      <c r="O135" s="150">
        <v>130</v>
      </c>
      <c r="P135" s="150"/>
      <c r="Q135" s="150"/>
      <c r="R135" s="151" t="str">
        <f t="shared" ref="R135:R198" si="26">IF(O135&lt;$O$2+1,($I$2-($I$2-1)*(LOG(O135)/LOG($O$2))),"")</f>
        <v/>
      </c>
      <c r="S135" s="153">
        <f t="shared" si="22"/>
        <v>-6</v>
      </c>
      <c r="T135" s="153">
        <f t="shared" si="23"/>
        <v>-60</v>
      </c>
      <c r="U135" s="151"/>
      <c r="V135" s="151">
        <f t="shared" si="24"/>
        <v>0</v>
      </c>
    </row>
    <row r="136" spans="1:22" x14ac:dyDescent="0.25">
      <c r="A136" s="61"/>
      <c r="G136" s="18"/>
      <c r="H136" s="40">
        <v>131</v>
      </c>
      <c r="I136" s="41" t="str">
        <f t="shared" si="19"/>
        <v/>
      </c>
      <c r="J136" s="40">
        <f t="shared" si="25"/>
        <v>-6</v>
      </c>
      <c r="K136" s="40">
        <f t="shared" si="20"/>
        <v>-60</v>
      </c>
      <c r="L136" s="40"/>
      <c r="M136" s="42">
        <f t="shared" si="21"/>
        <v>0</v>
      </c>
      <c r="O136" s="150">
        <v>131</v>
      </c>
      <c r="P136" s="150"/>
      <c r="Q136" s="150"/>
      <c r="R136" s="151" t="str">
        <f t="shared" si="26"/>
        <v/>
      </c>
      <c r="S136" s="153">
        <f t="shared" si="22"/>
        <v>-6</v>
      </c>
      <c r="T136" s="153">
        <f t="shared" si="23"/>
        <v>-60</v>
      </c>
      <c r="U136" s="151"/>
      <c r="V136" s="151">
        <f t="shared" si="24"/>
        <v>0</v>
      </c>
    </row>
    <row r="137" spans="1:22" x14ac:dyDescent="0.25">
      <c r="A137" s="61"/>
      <c r="G137" s="18"/>
      <c r="H137" s="40">
        <v>132</v>
      </c>
      <c r="I137" s="41" t="str">
        <f t="shared" si="19"/>
        <v/>
      </c>
      <c r="J137" s="40">
        <f t="shared" si="25"/>
        <v>-6</v>
      </c>
      <c r="K137" s="40">
        <f t="shared" si="20"/>
        <v>-60</v>
      </c>
      <c r="L137" s="40"/>
      <c r="M137" s="42">
        <f t="shared" si="21"/>
        <v>0</v>
      </c>
      <c r="O137" s="150">
        <v>132</v>
      </c>
      <c r="P137" s="150"/>
      <c r="Q137" s="150"/>
      <c r="R137" s="151" t="str">
        <f t="shared" si="26"/>
        <v/>
      </c>
      <c r="S137" s="153">
        <f t="shared" si="22"/>
        <v>-6</v>
      </c>
      <c r="T137" s="153">
        <f t="shared" si="23"/>
        <v>-60</v>
      </c>
      <c r="U137" s="151"/>
      <c r="V137" s="151">
        <f t="shared" si="24"/>
        <v>0</v>
      </c>
    </row>
    <row r="138" spans="1:22" x14ac:dyDescent="0.25">
      <c r="A138" s="61"/>
      <c r="G138" s="18"/>
      <c r="H138" s="40">
        <v>133</v>
      </c>
      <c r="I138" s="41" t="str">
        <f t="shared" si="19"/>
        <v/>
      </c>
      <c r="J138" s="40">
        <f t="shared" si="25"/>
        <v>-6</v>
      </c>
      <c r="K138" s="40">
        <f t="shared" si="20"/>
        <v>-60</v>
      </c>
      <c r="L138" s="40"/>
      <c r="M138" s="42">
        <f t="shared" si="21"/>
        <v>0</v>
      </c>
      <c r="O138" s="150">
        <v>133</v>
      </c>
      <c r="P138" s="150"/>
      <c r="Q138" s="150"/>
      <c r="R138" s="151" t="str">
        <f t="shared" si="26"/>
        <v/>
      </c>
      <c r="S138" s="153">
        <f t="shared" si="22"/>
        <v>-6</v>
      </c>
      <c r="T138" s="153">
        <f t="shared" si="23"/>
        <v>-60</v>
      </c>
      <c r="U138" s="151"/>
      <c r="V138" s="151">
        <f t="shared" si="24"/>
        <v>0</v>
      </c>
    </row>
    <row r="139" spans="1:22" x14ac:dyDescent="0.25">
      <c r="A139" s="61"/>
      <c r="G139" s="18"/>
      <c r="H139" s="40">
        <v>134</v>
      </c>
      <c r="I139" s="41" t="str">
        <f t="shared" si="19"/>
        <v/>
      </c>
      <c r="J139" s="40">
        <f t="shared" si="25"/>
        <v>-6</v>
      </c>
      <c r="K139" s="40">
        <f t="shared" si="20"/>
        <v>-60</v>
      </c>
      <c r="L139" s="40"/>
      <c r="M139" s="42">
        <f t="shared" si="21"/>
        <v>0</v>
      </c>
      <c r="O139" s="150">
        <v>134</v>
      </c>
      <c r="P139" s="150"/>
      <c r="Q139" s="150"/>
      <c r="R139" s="151" t="str">
        <f t="shared" si="26"/>
        <v/>
      </c>
      <c r="S139" s="153">
        <f t="shared" si="22"/>
        <v>-6</v>
      </c>
      <c r="T139" s="153">
        <f t="shared" si="23"/>
        <v>-60</v>
      </c>
      <c r="U139" s="151"/>
      <c r="V139" s="151">
        <f t="shared" si="24"/>
        <v>0</v>
      </c>
    </row>
    <row r="140" spans="1:22" x14ac:dyDescent="0.25">
      <c r="A140" s="61"/>
      <c r="G140" s="18"/>
      <c r="H140" s="40">
        <v>135</v>
      </c>
      <c r="I140" s="41" t="str">
        <f t="shared" si="19"/>
        <v/>
      </c>
      <c r="J140" s="40">
        <f t="shared" si="25"/>
        <v>-6</v>
      </c>
      <c r="K140" s="40">
        <f t="shared" si="20"/>
        <v>-60</v>
      </c>
      <c r="L140" s="40"/>
      <c r="M140" s="42">
        <f t="shared" si="21"/>
        <v>0</v>
      </c>
      <c r="O140" s="150">
        <v>135</v>
      </c>
      <c r="P140" s="150"/>
      <c r="Q140" s="150"/>
      <c r="R140" s="151" t="str">
        <f t="shared" si="26"/>
        <v/>
      </c>
      <c r="S140" s="153">
        <f t="shared" si="22"/>
        <v>-6</v>
      </c>
      <c r="T140" s="153">
        <f t="shared" si="23"/>
        <v>-60</v>
      </c>
      <c r="U140" s="151"/>
      <c r="V140" s="151">
        <f t="shared" si="24"/>
        <v>0</v>
      </c>
    </row>
    <row r="141" spans="1:22" x14ac:dyDescent="0.25">
      <c r="A141" s="61"/>
      <c r="G141" s="18"/>
      <c r="H141" s="40">
        <v>136</v>
      </c>
      <c r="I141" s="41" t="str">
        <f t="shared" si="19"/>
        <v/>
      </c>
      <c r="J141" s="40">
        <f t="shared" si="25"/>
        <v>-6</v>
      </c>
      <c r="K141" s="40">
        <f t="shared" si="20"/>
        <v>-60</v>
      </c>
      <c r="L141" s="40"/>
      <c r="M141" s="42">
        <f t="shared" si="21"/>
        <v>0</v>
      </c>
      <c r="O141" s="150">
        <v>136</v>
      </c>
      <c r="P141" s="150"/>
      <c r="Q141" s="150"/>
      <c r="R141" s="151" t="str">
        <f t="shared" si="26"/>
        <v/>
      </c>
      <c r="S141" s="153">
        <f t="shared" si="22"/>
        <v>-6</v>
      </c>
      <c r="T141" s="153">
        <f t="shared" si="23"/>
        <v>-60</v>
      </c>
      <c r="U141" s="151"/>
      <c r="V141" s="151">
        <f t="shared" si="24"/>
        <v>0</v>
      </c>
    </row>
    <row r="142" spans="1:22" x14ac:dyDescent="0.25">
      <c r="A142" s="61"/>
      <c r="G142" s="18"/>
      <c r="H142" s="40">
        <v>137</v>
      </c>
      <c r="I142" s="41" t="str">
        <f t="shared" si="19"/>
        <v/>
      </c>
      <c r="J142" s="40">
        <f t="shared" si="25"/>
        <v>-6</v>
      </c>
      <c r="K142" s="40">
        <f t="shared" si="20"/>
        <v>-60</v>
      </c>
      <c r="L142" s="40"/>
      <c r="M142" s="42">
        <f t="shared" si="21"/>
        <v>0</v>
      </c>
      <c r="O142" s="150">
        <v>137</v>
      </c>
      <c r="P142" s="150"/>
      <c r="Q142" s="150"/>
      <c r="R142" s="151" t="str">
        <f t="shared" si="26"/>
        <v/>
      </c>
      <c r="S142" s="153">
        <f t="shared" si="22"/>
        <v>-6</v>
      </c>
      <c r="T142" s="153">
        <f t="shared" si="23"/>
        <v>-60</v>
      </c>
      <c r="U142" s="151"/>
      <c r="V142" s="151">
        <f t="shared" si="24"/>
        <v>0</v>
      </c>
    </row>
    <row r="143" spans="1:22" x14ac:dyDescent="0.25">
      <c r="A143" s="61"/>
      <c r="G143" s="18"/>
      <c r="H143" s="40">
        <v>138</v>
      </c>
      <c r="I143" s="41" t="str">
        <f t="shared" si="19"/>
        <v/>
      </c>
      <c r="J143" s="40">
        <f t="shared" si="25"/>
        <v>-6</v>
      </c>
      <c r="K143" s="40">
        <f t="shared" si="20"/>
        <v>-60</v>
      </c>
      <c r="L143" s="40"/>
      <c r="M143" s="42">
        <f t="shared" si="21"/>
        <v>0</v>
      </c>
      <c r="O143" s="150">
        <v>138</v>
      </c>
      <c r="P143" s="150"/>
      <c r="Q143" s="150"/>
      <c r="R143" s="151" t="str">
        <f t="shared" si="26"/>
        <v/>
      </c>
      <c r="S143" s="153">
        <f t="shared" si="22"/>
        <v>-6</v>
      </c>
      <c r="T143" s="153">
        <f t="shared" si="23"/>
        <v>-60</v>
      </c>
      <c r="U143" s="151"/>
      <c r="V143" s="151">
        <f t="shared" si="24"/>
        <v>0</v>
      </c>
    </row>
    <row r="144" spans="1:22" x14ac:dyDescent="0.25">
      <c r="A144" s="61"/>
      <c r="G144" s="18"/>
      <c r="H144" s="40">
        <v>139</v>
      </c>
      <c r="I144" s="41" t="str">
        <f t="shared" si="19"/>
        <v/>
      </c>
      <c r="J144" s="40">
        <f t="shared" si="25"/>
        <v>-6</v>
      </c>
      <c r="K144" s="40">
        <f t="shared" si="20"/>
        <v>-60</v>
      </c>
      <c r="L144" s="40"/>
      <c r="M144" s="42">
        <f t="shared" si="21"/>
        <v>0</v>
      </c>
      <c r="O144" s="150">
        <v>139</v>
      </c>
      <c r="P144" s="150"/>
      <c r="Q144" s="150"/>
      <c r="R144" s="151" t="str">
        <f t="shared" si="26"/>
        <v/>
      </c>
      <c r="S144" s="153">
        <f t="shared" si="22"/>
        <v>-6</v>
      </c>
      <c r="T144" s="153">
        <f t="shared" si="23"/>
        <v>-60</v>
      </c>
      <c r="U144" s="151"/>
      <c r="V144" s="151">
        <f t="shared" si="24"/>
        <v>0</v>
      </c>
    </row>
    <row r="145" spans="1:22" x14ac:dyDescent="0.25">
      <c r="A145" s="61"/>
      <c r="G145" s="18"/>
      <c r="H145" s="40">
        <v>140</v>
      </c>
      <c r="I145" s="41" t="str">
        <f t="shared" si="19"/>
        <v/>
      </c>
      <c r="J145" s="40">
        <f t="shared" si="25"/>
        <v>-6</v>
      </c>
      <c r="K145" s="40">
        <f t="shared" si="20"/>
        <v>-60</v>
      </c>
      <c r="L145" s="40"/>
      <c r="M145" s="42">
        <f t="shared" si="21"/>
        <v>0</v>
      </c>
      <c r="O145" s="150">
        <v>140</v>
      </c>
      <c r="P145" s="150"/>
      <c r="Q145" s="150"/>
      <c r="R145" s="151" t="str">
        <f t="shared" si="26"/>
        <v/>
      </c>
      <c r="S145" s="153">
        <f t="shared" si="22"/>
        <v>-6</v>
      </c>
      <c r="T145" s="153">
        <f t="shared" si="23"/>
        <v>-60</v>
      </c>
      <c r="U145" s="151"/>
      <c r="V145" s="151">
        <f t="shared" si="24"/>
        <v>0</v>
      </c>
    </row>
    <row r="146" spans="1:22" x14ac:dyDescent="0.25">
      <c r="A146" s="61"/>
      <c r="G146" s="18"/>
      <c r="H146" s="40">
        <v>141</v>
      </c>
      <c r="I146" s="41" t="str">
        <f t="shared" si="19"/>
        <v/>
      </c>
      <c r="J146" s="40">
        <f t="shared" si="25"/>
        <v>-6</v>
      </c>
      <c r="K146" s="40">
        <f t="shared" si="20"/>
        <v>-60</v>
      </c>
      <c r="L146" s="40"/>
      <c r="M146" s="42">
        <f t="shared" si="21"/>
        <v>0</v>
      </c>
      <c r="O146" s="150">
        <v>141</v>
      </c>
      <c r="P146" s="150"/>
      <c r="Q146" s="150"/>
      <c r="R146" s="151" t="str">
        <f t="shared" si="26"/>
        <v/>
      </c>
      <c r="S146" s="153">
        <f t="shared" si="22"/>
        <v>-6</v>
      </c>
      <c r="T146" s="153">
        <f t="shared" si="23"/>
        <v>-60</v>
      </c>
      <c r="U146" s="151"/>
      <c r="V146" s="151">
        <f t="shared" si="24"/>
        <v>0</v>
      </c>
    </row>
    <row r="147" spans="1:22" x14ac:dyDescent="0.25">
      <c r="A147" s="61"/>
      <c r="G147" s="18"/>
      <c r="H147" s="40">
        <v>142</v>
      </c>
      <c r="I147" s="41" t="str">
        <f t="shared" si="19"/>
        <v/>
      </c>
      <c r="J147" s="40">
        <f t="shared" si="25"/>
        <v>-6</v>
      </c>
      <c r="K147" s="40">
        <f t="shared" si="20"/>
        <v>-60</v>
      </c>
      <c r="L147" s="40"/>
      <c r="M147" s="42">
        <f t="shared" si="21"/>
        <v>0</v>
      </c>
      <c r="O147" s="150">
        <v>142</v>
      </c>
      <c r="P147" s="150"/>
      <c r="Q147" s="150"/>
      <c r="R147" s="151" t="str">
        <f t="shared" si="26"/>
        <v/>
      </c>
      <c r="S147" s="153">
        <f t="shared" si="22"/>
        <v>-6</v>
      </c>
      <c r="T147" s="153">
        <f t="shared" si="23"/>
        <v>-60</v>
      </c>
      <c r="U147" s="151"/>
      <c r="V147" s="151">
        <f t="shared" si="24"/>
        <v>0</v>
      </c>
    </row>
    <row r="148" spans="1:22" x14ac:dyDescent="0.25">
      <c r="A148" s="61"/>
      <c r="G148" s="18"/>
      <c r="H148" s="40">
        <v>143</v>
      </c>
      <c r="I148" s="41" t="str">
        <f t="shared" si="19"/>
        <v/>
      </c>
      <c r="J148" s="40">
        <f t="shared" si="25"/>
        <v>-6</v>
      </c>
      <c r="K148" s="40">
        <f t="shared" si="20"/>
        <v>-60</v>
      </c>
      <c r="L148" s="40"/>
      <c r="M148" s="42">
        <f t="shared" si="21"/>
        <v>0</v>
      </c>
      <c r="O148" s="150">
        <v>143</v>
      </c>
      <c r="P148" s="150"/>
      <c r="Q148" s="150"/>
      <c r="R148" s="151" t="str">
        <f t="shared" si="26"/>
        <v/>
      </c>
      <c r="S148" s="153">
        <f t="shared" si="22"/>
        <v>-6</v>
      </c>
      <c r="T148" s="153">
        <f t="shared" si="23"/>
        <v>-60</v>
      </c>
      <c r="U148" s="151"/>
      <c r="V148" s="151">
        <f t="shared" si="24"/>
        <v>0</v>
      </c>
    </row>
    <row r="149" spans="1:22" x14ac:dyDescent="0.25">
      <c r="A149" s="61"/>
      <c r="G149" s="18"/>
      <c r="H149" s="40">
        <v>144</v>
      </c>
      <c r="I149" s="41" t="str">
        <f t="shared" si="19"/>
        <v/>
      </c>
      <c r="J149" s="40">
        <f t="shared" si="25"/>
        <v>-6</v>
      </c>
      <c r="K149" s="40">
        <f t="shared" si="20"/>
        <v>-60</v>
      </c>
      <c r="L149" s="40"/>
      <c r="M149" s="42">
        <f t="shared" si="21"/>
        <v>0</v>
      </c>
      <c r="O149" s="150">
        <v>144</v>
      </c>
      <c r="P149" s="150"/>
      <c r="Q149" s="150"/>
      <c r="R149" s="151" t="str">
        <f t="shared" si="26"/>
        <v/>
      </c>
      <c r="S149" s="153">
        <f t="shared" si="22"/>
        <v>-6</v>
      </c>
      <c r="T149" s="153">
        <f t="shared" si="23"/>
        <v>-60</v>
      </c>
      <c r="U149" s="151"/>
      <c r="V149" s="151">
        <f t="shared" si="24"/>
        <v>0</v>
      </c>
    </row>
    <row r="150" spans="1:22" x14ac:dyDescent="0.25">
      <c r="A150" s="61"/>
      <c r="G150" s="18"/>
      <c r="H150" s="40">
        <v>145</v>
      </c>
      <c r="I150" s="41" t="str">
        <f t="shared" si="19"/>
        <v/>
      </c>
      <c r="J150" s="40">
        <f t="shared" si="25"/>
        <v>-6</v>
      </c>
      <c r="K150" s="40">
        <f t="shared" si="20"/>
        <v>-60</v>
      </c>
      <c r="L150" s="40"/>
      <c r="M150" s="42">
        <f t="shared" si="21"/>
        <v>0</v>
      </c>
      <c r="O150" s="150">
        <v>145</v>
      </c>
      <c r="P150" s="150"/>
      <c r="Q150" s="150"/>
      <c r="R150" s="151" t="str">
        <f t="shared" si="26"/>
        <v/>
      </c>
      <c r="S150" s="153">
        <f t="shared" si="22"/>
        <v>-6</v>
      </c>
      <c r="T150" s="153">
        <f t="shared" si="23"/>
        <v>-60</v>
      </c>
      <c r="U150" s="151"/>
      <c r="V150" s="151">
        <f t="shared" si="24"/>
        <v>0</v>
      </c>
    </row>
    <row r="151" spans="1:22" x14ac:dyDescent="0.25">
      <c r="A151" s="61"/>
      <c r="G151" s="18"/>
      <c r="H151" s="40">
        <v>146</v>
      </c>
      <c r="I151" s="41" t="str">
        <f t="shared" si="19"/>
        <v/>
      </c>
      <c r="J151" s="40">
        <f t="shared" si="25"/>
        <v>-6</v>
      </c>
      <c r="K151" s="40">
        <f t="shared" si="20"/>
        <v>-60</v>
      </c>
      <c r="L151" s="40"/>
      <c r="M151" s="42">
        <f t="shared" si="21"/>
        <v>0</v>
      </c>
      <c r="O151" s="150">
        <v>146</v>
      </c>
      <c r="P151" s="150"/>
      <c r="Q151" s="150"/>
      <c r="R151" s="151" t="str">
        <f t="shared" si="26"/>
        <v/>
      </c>
      <c r="S151" s="153">
        <f t="shared" si="22"/>
        <v>-6</v>
      </c>
      <c r="T151" s="153">
        <f t="shared" si="23"/>
        <v>-60</v>
      </c>
      <c r="U151" s="151"/>
      <c r="V151" s="151">
        <f t="shared" si="24"/>
        <v>0</v>
      </c>
    </row>
    <row r="152" spans="1:22" x14ac:dyDescent="0.25">
      <c r="A152" s="61"/>
      <c r="G152" s="18"/>
      <c r="H152" s="40">
        <v>147</v>
      </c>
      <c r="I152" s="41" t="str">
        <f t="shared" si="19"/>
        <v/>
      </c>
      <c r="J152" s="40">
        <f t="shared" si="25"/>
        <v>-6</v>
      </c>
      <c r="K152" s="40">
        <f t="shared" si="20"/>
        <v>-60</v>
      </c>
      <c r="L152" s="40"/>
      <c r="M152" s="42">
        <f t="shared" si="21"/>
        <v>0</v>
      </c>
      <c r="O152" s="150">
        <v>147</v>
      </c>
      <c r="P152" s="150"/>
      <c r="Q152" s="150"/>
      <c r="R152" s="151" t="str">
        <f t="shared" si="26"/>
        <v/>
      </c>
      <c r="S152" s="153">
        <f t="shared" si="22"/>
        <v>-6</v>
      </c>
      <c r="T152" s="153">
        <f t="shared" si="23"/>
        <v>-60</v>
      </c>
      <c r="U152" s="151"/>
      <c r="V152" s="151">
        <f t="shared" si="24"/>
        <v>0</v>
      </c>
    </row>
    <row r="153" spans="1:22" x14ac:dyDescent="0.25">
      <c r="A153" s="61"/>
      <c r="G153" s="18"/>
      <c r="H153" s="40">
        <v>148</v>
      </c>
      <c r="I153" s="41" t="str">
        <f t="shared" si="19"/>
        <v/>
      </c>
      <c r="J153" s="40">
        <f t="shared" si="25"/>
        <v>-6</v>
      </c>
      <c r="K153" s="40">
        <f t="shared" si="20"/>
        <v>-60</v>
      </c>
      <c r="L153" s="40"/>
      <c r="M153" s="42">
        <f t="shared" si="21"/>
        <v>0</v>
      </c>
      <c r="O153" s="150">
        <v>148</v>
      </c>
      <c r="P153" s="150"/>
      <c r="Q153" s="150"/>
      <c r="R153" s="151" t="str">
        <f t="shared" si="26"/>
        <v/>
      </c>
      <c r="S153" s="153">
        <f t="shared" si="22"/>
        <v>-6</v>
      </c>
      <c r="T153" s="153">
        <f t="shared" si="23"/>
        <v>-60</v>
      </c>
      <c r="U153" s="151"/>
      <c r="V153" s="151">
        <f t="shared" si="24"/>
        <v>0</v>
      </c>
    </row>
    <row r="154" spans="1:22" x14ac:dyDescent="0.25">
      <c r="A154" s="61"/>
      <c r="G154" s="18"/>
      <c r="H154" s="40">
        <v>149</v>
      </c>
      <c r="I154" s="41" t="str">
        <f t="shared" si="19"/>
        <v/>
      </c>
      <c r="J154" s="40">
        <f t="shared" si="25"/>
        <v>-6</v>
      </c>
      <c r="K154" s="40">
        <f t="shared" si="20"/>
        <v>-60</v>
      </c>
      <c r="L154" s="40"/>
      <c r="M154" s="42">
        <f t="shared" si="21"/>
        <v>0</v>
      </c>
      <c r="O154" s="150">
        <v>149</v>
      </c>
      <c r="P154" s="150"/>
      <c r="Q154" s="150"/>
      <c r="R154" s="151" t="str">
        <f t="shared" si="26"/>
        <v/>
      </c>
      <c r="S154" s="153">
        <f t="shared" si="22"/>
        <v>-6</v>
      </c>
      <c r="T154" s="153">
        <f t="shared" si="23"/>
        <v>-60</v>
      </c>
      <c r="U154" s="151"/>
      <c r="V154" s="151">
        <f t="shared" si="24"/>
        <v>0</v>
      </c>
    </row>
    <row r="155" spans="1:22" x14ac:dyDescent="0.25">
      <c r="A155" s="61"/>
      <c r="G155" s="18"/>
      <c r="H155" s="40">
        <v>150</v>
      </c>
      <c r="I155" s="41" t="str">
        <f t="shared" si="19"/>
        <v/>
      </c>
      <c r="J155" s="40">
        <f t="shared" si="25"/>
        <v>-6</v>
      </c>
      <c r="K155" s="40">
        <f t="shared" si="20"/>
        <v>-60</v>
      </c>
      <c r="L155" s="40"/>
      <c r="M155" s="42">
        <f t="shared" si="21"/>
        <v>0</v>
      </c>
      <c r="O155" s="150">
        <v>150</v>
      </c>
      <c r="P155" s="150"/>
      <c r="Q155" s="150"/>
      <c r="R155" s="151" t="str">
        <f t="shared" si="26"/>
        <v/>
      </c>
      <c r="S155" s="153">
        <f t="shared" si="22"/>
        <v>-6</v>
      </c>
      <c r="T155" s="153">
        <f t="shared" si="23"/>
        <v>-60</v>
      </c>
      <c r="U155" s="151"/>
      <c r="V155" s="151">
        <f t="shared" si="24"/>
        <v>0</v>
      </c>
    </row>
    <row r="156" spans="1:22" x14ac:dyDescent="0.25">
      <c r="A156" s="61"/>
      <c r="G156" s="18"/>
      <c r="H156" s="40">
        <v>151</v>
      </c>
      <c r="I156" s="41" t="str">
        <f t="shared" si="19"/>
        <v/>
      </c>
      <c r="J156" s="40">
        <f t="shared" si="25"/>
        <v>-6</v>
      </c>
      <c r="K156" s="40">
        <f t="shared" si="20"/>
        <v>-60</v>
      </c>
      <c r="L156" s="40"/>
      <c r="M156" s="42">
        <f t="shared" si="21"/>
        <v>0</v>
      </c>
      <c r="O156" s="150">
        <v>151</v>
      </c>
      <c r="P156" s="150"/>
      <c r="Q156" s="150"/>
      <c r="R156" s="151" t="str">
        <f t="shared" si="26"/>
        <v/>
      </c>
      <c r="S156" s="153">
        <f t="shared" si="22"/>
        <v>-6</v>
      </c>
      <c r="T156" s="153">
        <f t="shared" si="23"/>
        <v>-60</v>
      </c>
      <c r="U156" s="151"/>
      <c r="V156" s="151">
        <f t="shared" si="24"/>
        <v>0</v>
      </c>
    </row>
    <row r="157" spans="1:22" x14ac:dyDescent="0.25">
      <c r="A157" s="61"/>
      <c r="G157" s="18"/>
      <c r="H157" s="40">
        <v>152</v>
      </c>
      <c r="I157" s="41" t="str">
        <f t="shared" si="19"/>
        <v/>
      </c>
      <c r="J157" s="40">
        <f t="shared" si="25"/>
        <v>-6</v>
      </c>
      <c r="K157" s="40">
        <f t="shared" si="20"/>
        <v>-60</v>
      </c>
      <c r="L157" s="40"/>
      <c r="M157" s="42">
        <f t="shared" si="21"/>
        <v>0</v>
      </c>
      <c r="O157" s="150">
        <v>152</v>
      </c>
      <c r="P157" s="150"/>
      <c r="Q157" s="150"/>
      <c r="R157" s="151" t="str">
        <f t="shared" si="26"/>
        <v/>
      </c>
      <c r="S157" s="153">
        <f t="shared" si="22"/>
        <v>-6</v>
      </c>
      <c r="T157" s="153">
        <f t="shared" si="23"/>
        <v>-60</v>
      </c>
      <c r="U157" s="151"/>
      <c r="V157" s="151">
        <f t="shared" si="24"/>
        <v>0</v>
      </c>
    </row>
    <row r="158" spans="1:22" x14ac:dyDescent="0.25">
      <c r="A158" s="61"/>
      <c r="G158" s="18"/>
      <c r="H158" s="40">
        <v>153</v>
      </c>
      <c r="I158" s="41" t="str">
        <f t="shared" si="19"/>
        <v/>
      </c>
      <c r="J158" s="40">
        <f t="shared" si="25"/>
        <v>-6</v>
      </c>
      <c r="K158" s="40">
        <f t="shared" si="20"/>
        <v>-60</v>
      </c>
      <c r="L158" s="40"/>
      <c r="M158" s="42">
        <f t="shared" si="21"/>
        <v>0</v>
      </c>
      <c r="O158" s="150">
        <v>153</v>
      </c>
      <c r="P158" s="150"/>
      <c r="Q158" s="150"/>
      <c r="R158" s="151" t="str">
        <f t="shared" si="26"/>
        <v/>
      </c>
      <c r="S158" s="153">
        <f t="shared" si="22"/>
        <v>-6</v>
      </c>
      <c r="T158" s="153">
        <f t="shared" si="23"/>
        <v>-60</v>
      </c>
      <c r="U158" s="151"/>
      <c r="V158" s="151">
        <f t="shared" si="24"/>
        <v>0</v>
      </c>
    </row>
    <row r="159" spans="1:22" x14ac:dyDescent="0.25">
      <c r="A159" s="61"/>
      <c r="G159" s="18"/>
      <c r="H159" s="40">
        <v>154</v>
      </c>
      <c r="I159" s="41" t="str">
        <f t="shared" si="19"/>
        <v/>
      </c>
      <c r="J159" s="40">
        <f t="shared" si="25"/>
        <v>-6</v>
      </c>
      <c r="K159" s="40">
        <f t="shared" si="20"/>
        <v>-60</v>
      </c>
      <c r="L159" s="40"/>
      <c r="M159" s="42">
        <f t="shared" si="21"/>
        <v>0</v>
      </c>
      <c r="O159" s="150">
        <v>154</v>
      </c>
      <c r="P159" s="150"/>
      <c r="Q159" s="150"/>
      <c r="R159" s="151" t="str">
        <f t="shared" si="26"/>
        <v/>
      </c>
      <c r="S159" s="153">
        <f t="shared" si="22"/>
        <v>-6</v>
      </c>
      <c r="T159" s="153">
        <f t="shared" si="23"/>
        <v>-60</v>
      </c>
      <c r="U159" s="151"/>
      <c r="V159" s="151">
        <f t="shared" si="24"/>
        <v>0</v>
      </c>
    </row>
    <row r="160" spans="1:22" x14ac:dyDescent="0.25">
      <c r="A160" s="61"/>
      <c r="G160" s="18"/>
      <c r="H160" s="40">
        <v>155</v>
      </c>
      <c r="I160" s="41" t="str">
        <f t="shared" si="19"/>
        <v/>
      </c>
      <c r="J160" s="40">
        <f t="shared" si="25"/>
        <v>-6</v>
      </c>
      <c r="K160" s="40">
        <f t="shared" si="20"/>
        <v>-60</v>
      </c>
      <c r="L160" s="40"/>
      <c r="M160" s="42">
        <f t="shared" si="21"/>
        <v>0</v>
      </c>
      <c r="O160" s="150">
        <v>155</v>
      </c>
      <c r="P160" s="150"/>
      <c r="Q160" s="150"/>
      <c r="R160" s="151" t="str">
        <f t="shared" si="26"/>
        <v/>
      </c>
      <c r="S160" s="153">
        <f t="shared" si="22"/>
        <v>-6</v>
      </c>
      <c r="T160" s="153">
        <f t="shared" si="23"/>
        <v>-60</v>
      </c>
      <c r="U160" s="151"/>
      <c r="V160" s="151">
        <f t="shared" si="24"/>
        <v>0</v>
      </c>
    </row>
    <row r="161" spans="1:22" x14ac:dyDescent="0.25">
      <c r="A161" s="61"/>
      <c r="G161" s="18"/>
      <c r="H161" s="40">
        <v>156</v>
      </c>
      <c r="I161" s="41" t="str">
        <f t="shared" si="19"/>
        <v/>
      </c>
      <c r="J161" s="40">
        <f t="shared" si="25"/>
        <v>-6</v>
      </c>
      <c r="K161" s="40">
        <f t="shared" si="20"/>
        <v>-60</v>
      </c>
      <c r="L161" s="40"/>
      <c r="M161" s="42">
        <f t="shared" si="21"/>
        <v>0</v>
      </c>
      <c r="O161" s="150">
        <v>156</v>
      </c>
      <c r="P161" s="150"/>
      <c r="Q161" s="150"/>
      <c r="R161" s="151" t="str">
        <f t="shared" si="26"/>
        <v/>
      </c>
      <c r="S161" s="153">
        <f t="shared" si="22"/>
        <v>-6</v>
      </c>
      <c r="T161" s="153">
        <f t="shared" si="23"/>
        <v>-60</v>
      </c>
      <c r="U161" s="151"/>
      <c r="V161" s="151">
        <f t="shared" si="24"/>
        <v>0</v>
      </c>
    </row>
    <row r="162" spans="1:22" x14ac:dyDescent="0.25">
      <c r="A162" s="61"/>
      <c r="G162" s="18"/>
      <c r="H162" s="40">
        <v>157</v>
      </c>
      <c r="I162" s="41" t="str">
        <f t="shared" si="19"/>
        <v/>
      </c>
      <c r="J162" s="40">
        <f t="shared" si="25"/>
        <v>-6</v>
      </c>
      <c r="K162" s="40">
        <f t="shared" si="20"/>
        <v>-60</v>
      </c>
      <c r="L162" s="40"/>
      <c r="M162" s="42">
        <f t="shared" si="21"/>
        <v>0</v>
      </c>
      <c r="O162" s="150">
        <v>157</v>
      </c>
      <c r="P162" s="150"/>
      <c r="Q162" s="150"/>
      <c r="R162" s="151" t="str">
        <f t="shared" si="26"/>
        <v/>
      </c>
      <c r="S162" s="153">
        <f t="shared" si="22"/>
        <v>-6</v>
      </c>
      <c r="T162" s="153">
        <f t="shared" si="23"/>
        <v>-60</v>
      </c>
      <c r="U162" s="151"/>
      <c r="V162" s="151">
        <f t="shared" si="24"/>
        <v>0</v>
      </c>
    </row>
    <row r="163" spans="1:22" x14ac:dyDescent="0.25">
      <c r="A163" s="61"/>
      <c r="G163" s="18"/>
      <c r="H163" s="40">
        <v>158</v>
      </c>
      <c r="I163" s="41" t="str">
        <f t="shared" si="19"/>
        <v/>
      </c>
      <c r="J163" s="40">
        <f t="shared" si="25"/>
        <v>-6</v>
      </c>
      <c r="K163" s="40">
        <f t="shared" si="20"/>
        <v>-60</v>
      </c>
      <c r="L163" s="40"/>
      <c r="M163" s="42">
        <f t="shared" si="21"/>
        <v>0</v>
      </c>
      <c r="O163" s="150">
        <v>158</v>
      </c>
      <c r="P163" s="150"/>
      <c r="Q163" s="150"/>
      <c r="R163" s="151" t="str">
        <f t="shared" si="26"/>
        <v/>
      </c>
      <c r="S163" s="153">
        <f t="shared" si="22"/>
        <v>-6</v>
      </c>
      <c r="T163" s="153">
        <f t="shared" si="23"/>
        <v>-60</v>
      </c>
      <c r="U163" s="151"/>
      <c r="V163" s="151">
        <f t="shared" si="24"/>
        <v>0</v>
      </c>
    </row>
    <row r="164" spans="1:22" x14ac:dyDescent="0.25">
      <c r="A164" s="61"/>
      <c r="G164" s="18"/>
      <c r="H164" s="40">
        <v>159</v>
      </c>
      <c r="I164" s="41" t="str">
        <f t="shared" si="19"/>
        <v/>
      </c>
      <c r="J164" s="40">
        <f t="shared" si="25"/>
        <v>-6</v>
      </c>
      <c r="K164" s="40">
        <f t="shared" si="20"/>
        <v>-60</v>
      </c>
      <c r="L164" s="40"/>
      <c r="M164" s="42">
        <f t="shared" si="21"/>
        <v>0</v>
      </c>
      <c r="O164" s="150">
        <v>159</v>
      </c>
      <c r="P164" s="150"/>
      <c r="Q164" s="150"/>
      <c r="R164" s="151" t="str">
        <f t="shared" si="26"/>
        <v/>
      </c>
      <c r="S164" s="153">
        <f t="shared" si="22"/>
        <v>-6</v>
      </c>
      <c r="T164" s="153">
        <f t="shared" si="23"/>
        <v>-60</v>
      </c>
      <c r="U164" s="151"/>
      <c r="V164" s="151">
        <f t="shared" si="24"/>
        <v>0</v>
      </c>
    </row>
    <row r="165" spans="1:22" x14ac:dyDescent="0.25">
      <c r="A165" s="61"/>
      <c r="G165" s="18"/>
      <c r="H165" s="40">
        <v>160</v>
      </c>
      <c r="I165" s="41" t="str">
        <f t="shared" si="19"/>
        <v/>
      </c>
      <c r="J165" s="40">
        <f t="shared" si="25"/>
        <v>-6</v>
      </c>
      <c r="K165" s="40">
        <f t="shared" si="20"/>
        <v>-60</v>
      </c>
      <c r="L165" s="40"/>
      <c r="M165" s="42">
        <f t="shared" si="21"/>
        <v>0</v>
      </c>
      <c r="O165" s="150">
        <v>160</v>
      </c>
      <c r="P165" s="150"/>
      <c r="Q165" s="150"/>
      <c r="R165" s="151" t="str">
        <f t="shared" si="26"/>
        <v/>
      </c>
      <c r="S165" s="153">
        <f t="shared" si="22"/>
        <v>-6</v>
      </c>
      <c r="T165" s="153">
        <f t="shared" si="23"/>
        <v>-60</v>
      </c>
      <c r="U165" s="151"/>
      <c r="V165" s="151">
        <f t="shared" si="24"/>
        <v>0</v>
      </c>
    </row>
    <row r="166" spans="1:22" x14ac:dyDescent="0.25">
      <c r="A166" s="61"/>
      <c r="G166" s="18"/>
      <c r="H166" s="40">
        <v>161</v>
      </c>
      <c r="I166" s="41" t="str">
        <f t="shared" si="19"/>
        <v/>
      </c>
      <c r="J166" s="40">
        <f t="shared" si="25"/>
        <v>-6</v>
      </c>
      <c r="K166" s="40">
        <f t="shared" si="20"/>
        <v>-60</v>
      </c>
      <c r="L166" s="40"/>
      <c r="M166" s="42">
        <f t="shared" si="21"/>
        <v>0</v>
      </c>
      <c r="O166" s="150">
        <v>161</v>
      </c>
      <c r="P166" s="150"/>
      <c r="Q166" s="150"/>
      <c r="R166" s="151" t="str">
        <f t="shared" si="26"/>
        <v/>
      </c>
      <c r="S166" s="153">
        <f t="shared" si="22"/>
        <v>-6</v>
      </c>
      <c r="T166" s="153">
        <f t="shared" si="23"/>
        <v>-60</v>
      </c>
      <c r="U166" s="151"/>
      <c r="V166" s="151">
        <f t="shared" si="24"/>
        <v>0</v>
      </c>
    </row>
    <row r="167" spans="1:22" x14ac:dyDescent="0.25">
      <c r="A167" s="61"/>
      <c r="G167" s="18"/>
      <c r="H167" s="40">
        <v>162</v>
      </c>
      <c r="I167" s="41" t="str">
        <f t="shared" si="19"/>
        <v/>
      </c>
      <c r="J167" s="40">
        <f t="shared" si="25"/>
        <v>-6</v>
      </c>
      <c r="K167" s="40">
        <f t="shared" si="20"/>
        <v>-60</v>
      </c>
      <c r="L167" s="40"/>
      <c r="M167" s="42">
        <f t="shared" si="21"/>
        <v>0</v>
      </c>
      <c r="O167" s="150">
        <v>162</v>
      </c>
      <c r="P167" s="150"/>
      <c r="Q167" s="150"/>
      <c r="R167" s="151" t="str">
        <f t="shared" si="26"/>
        <v/>
      </c>
      <c r="S167" s="153">
        <f t="shared" si="22"/>
        <v>-6</v>
      </c>
      <c r="T167" s="153">
        <f t="shared" si="23"/>
        <v>-60</v>
      </c>
      <c r="U167" s="151"/>
      <c r="V167" s="151">
        <f t="shared" si="24"/>
        <v>0</v>
      </c>
    </row>
    <row r="168" spans="1:22" x14ac:dyDescent="0.25">
      <c r="A168" s="61"/>
      <c r="G168" s="18"/>
      <c r="H168" s="40">
        <v>163</v>
      </c>
      <c r="I168" s="41" t="str">
        <f t="shared" si="19"/>
        <v/>
      </c>
      <c r="J168" s="40">
        <f t="shared" si="25"/>
        <v>-6</v>
      </c>
      <c r="K168" s="40">
        <f t="shared" si="20"/>
        <v>-60</v>
      </c>
      <c r="L168" s="40"/>
      <c r="M168" s="42">
        <f t="shared" si="21"/>
        <v>0</v>
      </c>
      <c r="O168" s="150">
        <v>163</v>
      </c>
      <c r="P168" s="150"/>
      <c r="Q168" s="150"/>
      <c r="R168" s="151" t="str">
        <f t="shared" si="26"/>
        <v/>
      </c>
      <c r="S168" s="153">
        <f t="shared" si="22"/>
        <v>-6</v>
      </c>
      <c r="T168" s="153">
        <f t="shared" si="23"/>
        <v>-60</v>
      </c>
      <c r="U168" s="151"/>
      <c r="V168" s="151">
        <f t="shared" si="24"/>
        <v>0</v>
      </c>
    </row>
    <row r="169" spans="1:22" x14ac:dyDescent="0.25">
      <c r="A169" s="61"/>
      <c r="G169" s="18"/>
      <c r="H169" s="40">
        <v>164</v>
      </c>
      <c r="I169" s="41" t="str">
        <f t="shared" si="19"/>
        <v/>
      </c>
      <c r="J169" s="40">
        <f t="shared" si="25"/>
        <v>-6</v>
      </c>
      <c r="K169" s="40">
        <f t="shared" si="20"/>
        <v>-60</v>
      </c>
      <c r="L169" s="40"/>
      <c r="M169" s="42">
        <f t="shared" si="21"/>
        <v>0</v>
      </c>
      <c r="O169" s="150">
        <v>164</v>
      </c>
      <c r="P169" s="150"/>
      <c r="Q169" s="150"/>
      <c r="R169" s="151" t="str">
        <f t="shared" si="26"/>
        <v/>
      </c>
      <c r="S169" s="153">
        <f t="shared" si="22"/>
        <v>-6</v>
      </c>
      <c r="T169" s="153">
        <f t="shared" si="23"/>
        <v>-60</v>
      </c>
      <c r="U169" s="151"/>
      <c r="V169" s="151">
        <f t="shared" si="24"/>
        <v>0</v>
      </c>
    </row>
    <row r="170" spans="1:22" x14ac:dyDescent="0.25">
      <c r="A170" s="61"/>
      <c r="G170" s="18"/>
      <c r="H170" s="40">
        <v>165</v>
      </c>
      <c r="I170" s="41" t="str">
        <f t="shared" si="19"/>
        <v/>
      </c>
      <c r="J170" s="40">
        <f t="shared" si="25"/>
        <v>-6</v>
      </c>
      <c r="K170" s="40">
        <f t="shared" si="20"/>
        <v>-60</v>
      </c>
      <c r="L170" s="40"/>
      <c r="M170" s="42">
        <f t="shared" si="21"/>
        <v>0</v>
      </c>
      <c r="O170" s="150">
        <v>165</v>
      </c>
      <c r="P170" s="150"/>
      <c r="Q170" s="150"/>
      <c r="R170" s="151" t="str">
        <f t="shared" si="26"/>
        <v/>
      </c>
      <c r="S170" s="153">
        <f t="shared" si="22"/>
        <v>-6</v>
      </c>
      <c r="T170" s="153">
        <f t="shared" si="23"/>
        <v>-60</v>
      </c>
      <c r="U170" s="151"/>
      <c r="V170" s="151">
        <f t="shared" si="24"/>
        <v>0</v>
      </c>
    </row>
    <row r="171" spans="1:22" x14ac:dyDescent="0.25">
      <c r="A171" s="61"/>
      <c r="G171" s="18"/>
      <c r="H171" s="40">
        <v>166</v>
      </c>
      <c r="I171" s="41" t="str">
        <f t="shared" si="19"/>
        <v/>
      </c>
      <c r="J171" s="40">
        <f t="shared" si="25"/>
        <v>-6</v>
      </c>
      <c r="K171" s="40">
        <f t="shared" si="20"/>
        <v>-60</v>
      </c>
      <c r="L171" s="40"/>
      <c r="M171" s="42">
        <f t="shared" si="21"/>
        <v>0</v>
      </c>
      <c r="O171" s="150">
        <v>166</v>
      </c>
      <c r="P171" s="150"/>
      <c r="Q171" s="150"/>
      <c r="R171" s="151" t="str">
        <f t="shared" si="26"/>
        <v/>
      </c>
      <c r="S171" s="153">
        <f t="shared" si="22"/>
        <v>-6</v>
      </c>
      <c r="T171" s="153">
        <f t="shared" si="23"/>
        <v>-60</v>
      </c>
      <c r="U171" s="151"/>
      <c r="V171" s="151">
        <f t="shared" si="24"/>
        <v>0</v>
      </c>
    </row>
    <row r="172" spans="1:22" x14ac:dyDescent="0.25">
      <c r="A172" s="61"/>
      <c r="G172" s="18"/>
      <c r="H172" s="40">
        <v>167</v>
      </c>
      <c r="I172" s="41" t="str">
        <f t="shared" si="19"/>
        <v/>
      </c>
      <c r="J172" s="40">
        <f t="shared" si="25"/>
        <v>-6</v>
      </c>
      <c r="K172" s="40">
        <f t="shared" si="20"/>
        <v>-60</v>
      </c>
      <c r="L172" s="40"/>
      <c r="M172" s="42">
        <f t="shared" si="21"/>
        <v>0</v>
      </c>
      <c r="O172" s="150">
        <v>167</v>
      </c>
      <c r="P172" s="150"/>
      <c r="Q172" s="150"/>
      <c r="R172" s="151" t="str">
        <f t="shared" si="26"/>
        <v/>
      </c>
      <c r="S172" s="153">
        <f t="shared" si="22"/>
        <v>-6</v>
      </c>
      <c r="T172" s="153">
        <f t="shared" si="23"/>
        <v>-60</v>
      </c>
      <c r="U172" s="151"/>
      <c r="V172" s="151">
        <f t="shared" si="24"/>
        <v>0</v>
      </c>
    </row>
    <row r="173" spans="1:22" x14ac:dyDescent="0.25">
      <c r="A173" s="61"/>
      <c r="G173" s="18"/>
      <c r="H173" s="40">
        <v>168</v>
      </c>
      <c r="I173" s="41" t="str">
        <f t="shared" si="19"/>
        <v/>
      </c>
      <c r="J173" s="40">
        <f t="shared" si="25"/>
        <v>-6</v>
      </c>
      <c r="K173" s="40">
        <f t="shared" si="20"/>
        <v>-60</v>
      </c>
      <c r="L173" s="40"/>
      <c r="M173" s="42">
        <f t="shared" si="21"/>
        <v>0</v>
      </c>
      <c r="O173" s="150">
        <v>168</v>
      </c>
      <c r="P173" s="150"/>
      <c r="Q173" s="150"/>
      <c r="R173" s="151" t="str">
        <f t="shared" si="26"/>
        <v/>
      </c>
      <c r="S173" s="153">
        <f t="shared" si="22"/>
        <v>-6</v>
      </c>
      <c r="T173" s="153">
        <f t="shared" si="23"/>
        <v>-60</v>
      </c>
      <c r="U173" s="151"/>
      <c r="V173" s="151">
        <f t="shared" si="24"/>
        <v>0</v>
      </c>
    </row>
    <row r="174" spans="1:22" x14ac:dyDescent="0.25">
      <c r="A174" s="61"/>
      <c r="G174" s="18"/>
      <c r="H174" s="40">
        <v>169</v>
      </c>
      <c r="I174" s="41" t="str">
        <f t="shared" si="19"/>
        <v/>
      </c>
      <c r="J174" s="40">
        <f t="shared" si="25"/>
        <v>-6</v>
      </c>
      <c r="K174" s="40">
        <f t="shared" si="20"/>
        <v>-60</v>
      </c>
      <c r="L174" s="40"/>
      <c r="M174" s="42">
        <f t="shared" si="21"/>
        <v>0</v>
      </c>
      <c r="O174" s="150">
        <v>169</v>
      </c>
      <c r="P174" s="150"/>
      <c r="Q174" s="150"/>
      <c r="R174" s="151" t="str">
        <f t="shared" si="26"/>
        <v/>
      </c>
      <c r="S174" s="153">
        <f t="shared" si="22"/>
        <v>-6</v>
      </c>
      <c r="T174" s="153">
        <f t="shared" si="23"/>
        <v>-60</v>
      </c>
      <c r="U174" s="151"/>
      <c r="V174" s="151">
        <f t="shared" si="24"/>
        <v>0</v>
      </c>
    </row>
    <row r="175" spans="1:22" x14ac:dyDescent="0.25">
      <c r="A175" s="61"/>
      <c r="G175" s="18"/>
      <c r="H175" s="40">
        <v>170</v>
      </c>
      <c r="I175" s="41" t="str">
        <f t="shared" si="19"/>
        <v/>
      </c>
      <c r="J175" s="40">
        <f t="shared" si="25"/>
        <v>-6</v>
      </c>
      <c r="K175" s="40">
        <f t="shared" si="20"/>
        <v>-60</v>
      </c>
      <c r="L175" s="40"/>
      <c r="M175" s="42">
        <f t="shared" si="21"/>
        <v>0</v>
      </c>
      <c r="O175" s="150">
        <v>170</v>
      </c>
      <c r="P175" s="150"/>
      <c r="Q175" s="150"/>
      <c r="R175" s="151" t="str">
        <f t="shared" si="26"/>
        <v/>
      </c>
      <c r="S175" s="153">
        <f t="shared" si="22"/>
        <v>-6</v>
      </c>
      <c r="T175" s="153">
        <f t="shared" si="23"/>
        <v>-60</v>
      </c>
      <c r="U175" s="151"/>
      <c r="V175" s="151">
        <f t="shared" si="24"/>
        <v>0</v>
      </c>
    </row>
    <row r="176" spans="1:22" x14ac:dyDescent="0.25">
      <c r="A176" s="61"/>
      <c r="G176" s="18"/>
      <c r="H176" s="40">
        <v>171</v>
      </c>
      <c r="I176" s="41" t="str">
        <f t="shared" si="19"/>
        <v/>
      </c>
      <c r="J176" s="40">
        <f t="shared" si="25"/>
        <v>-6</v>
      </c>
      <c r="K176" s="40">
        <f t="shared" si="20"/>
        <v>-60</v>
      </c>
      <c r="L176" s="40"/>
      <c r="M176" s="42">
        <f t="shared" si="21"/>
        <v>0</v>
      </c>
      <c r="O176" s="150">
        <v>171</v>
      </c>
      <c r="P176" s="150"/>
      <c r="Q176" s="150"/>
      <c r="R176" s="151" t="str">
        <f t="shared" si="26"/>
        <v/>
      </c>
      <c r="S176" s="153">
        <f t="shared" si="22"/>
        <v>-6</v>
      </c>
      <c r="T176" s="153">
        <f t="shared" si="23"/>
        <v>-60</v>
      </c>
      <c r="U176" s="151"/>
      <c r="V176" s="151">
        <f t="shared" si="24"/>
        <v>0</v>
      </c>
    </row>
    <row r="177" spans="1:22" x14ac:dyDescent="0.25">
      <c r="A177" s="61"/>
      <c r="G177" s="18"/>
      <c r="H177" s="40">
        <v>172</v>
      </c>
      <c r="I177" s="41" t="str">
        <f t="shared" si="19"/>
        <v/>
      </c>
      <c r="J177" s="40">
        <f t="shared" si="25"/>
        <v>-6</v>
      </c>
      <c r="K177" s="40">
        <f t="shared" si="20"/>
        <v>-60</v>
      </c>
      <c r="L177" s="40"/>
      <c r="M177" s="42">
        <f t="shared" si="21"/>
        <v>0</v>
      </c>
      <c r="O177" s="150">
        <v>172</v>
      </c>
      <c r="P177" s="150"/>
      <c r="Q177" s="150"/>
      <c r="R177" s="151" t="str">
        <f t="shared" si="26"/>
        <v/>
      </c>
      <c r="S177" s="153">
        <f t="shared" si="22"/>
        <v>-6</v>
      </c>
      <c r="T177" s="153">
        <f t="shared" si="23"/>
        <v>-60</v>
      </c>
      <c r="U177" s="151"/>
      <c r="V177" s="151">
        <f t="shared" si="24"/>
        <v>0</v>
      </c>
    </row>
    <row r="178" spans="1:22" x14ac:dyDescent="0.25">
      <c r="A178" s="61"/>
      <c r="G178" s="18"/>
      <c r="H178" s="40">
        <v>173</v>
      </c>
      <c r="I178" s="41" t="str">
        <f t="shared" si="19"/>
        <v/>
      </c>
      <c r="J178" s="40">
        <f t="shared" si="25"/>
        <v>-6</v>
      </c>
      <c r="K178" s="40">
        <f t="shared" si="20"/>
        <v>-60</v>
      </c>
      <c r="L178" s="40"/>
      <c r="M178" s="42">
        <f t="shared" si="21"/>
        <v>0</v>
      </c>
      <c r="O178" s="150">
        <v>173</v>
      </c>
      <c r="P178" s="150"/>
      <c r="Q178" s="150"/>
      <c r="R178" s="151" t="str">
        <f t="shared" si="26"/>
        <v/>
      </c>
      <c r="S178" s="153">
        <f t="shared" si="22"/>
        <v>-6</v>
      </c>
      <c r="T178" s="153">
        <f t="shared" si="23"/>
        <v>-60</v>
      </c>
      <c r="U178" s="151"/>
      <c r="V178" s="151">
        <f t="shared" si="24"/>
        <v>0</v>
      </c>
    </row>
    <row r="179" spans="1:22" x14ac:dyDescent="0.25">
      <c r="A179" s="61"/>
      <c r="G179" s="18"/>
      <c r="H179" s="40">
        <v>174</v>
      </c>
      <c r="I179" s="41" t="str">
        <f t="shared" si="19"/>
        <v/>
      </c>
      <c r="J179" s="40">
        <f t="shared" si="25"/>
        <v>-6</v>
      </c>
      <c r="K179" s="40">
        <f t="shared" si="20"/>
        <v>-60</v>
      </c>
      <c r="L179" s="40"/>
      <c r="M179" s="42">
        <f t="shared" si="21"/>
        <v>0</v>
      </c>
      <c r="O179" s="150">
        <v>174</v>
      </c>
      <c r="P179" s="150"/>
      <c r="Q179" s="150"/>
      <c r="R179" s="151" t="str">
        <f t="shared" si="26"/>
        <v/>
      </c>
      <c r="S179" s="153">
        <f t="shared" si="22"/>
        <v>-6</v>
      </c>
      <c r="T179" s="153">
        <f t="shared" si="23"/>
        <v>-60</v>
      </c>
      <c r="U179" s="151"/>
      <c r="V179" s="151">
        <f t="shared" si="24"/>
        <v>0</v>
      </c>
    </row>
    <row r="180" spans="1:22" x14ac:dyDescent="0.25">
      <c r="A180" s="61"/>
      <c r="G180" s="18"/>
      <c r="H180" s="40">
        <v>175</v>
      </c>
      <c r="I180" s="41" t="str">
        <f t="shared" si="19"/>
        <v/>
      </c>
      <c r="J180" s="40">
        <f t="shared" si="25"/>
        <v>-6</v>
      </c>
      <c r="K180" s="40">
        <f t="shared" si="20"/>
        <v>-60</v>
      </c>
      <c r="L180" s="40"/>
      <c r="M180" s="42">
        <f t="shared" si="21"/>
        <v>0</v>
      </c>
      <c r="O180" s="150">
        <v>175</v>
      </c>
      <c r="P180" s="150"/>
      <c r="Q180" s="150"/>
      <c r="R180" s="151" t="str">
        <f t="shared" si="26"/>
        <v/>
      </c>
      <c r="S180" s="153">
        <f t="shared" si="22"/>
        <v>-6</v>
      </c>
      <c r="T180" s="153">
        <f t="shared" si="23"/>
        <v>-60</v>
      </c>
      <c r="U180" s="151"/>
      <c r="V180" s="151">
        <f t="shared" si="24"/>
        <v>0</v>
      </c>
    </row>
    <row r="181" spans="1:22" x14ac:dyDescent="0.25">
      <c r="A181" s="61"/>
      <c r="G181" s="18"/>
      <c r="H181" s="40">
        <v>176</v>
      </c>
      <c r="I181" s="41" t="str">
        <f t="shared" si="19"/>
        <v/>
      </c>
      <c r="J181" s="40">
        <f t="shared" si="25"/>
        <v>-6</v>
      </c>
      <c r="K181" s="40">
        <f t="shared" si="20"/>
        <v>-60</v>
      </c>
      <c r="L181" s="40"/>
      <c r="M181" s="42">
        <f t="shared" si="21"/>
        <v>0</v>
      </c>
      <c r="O181" s="150">
        <v>176</v>
      </c>
      <c r="P181" s="150"/>
      <c r="Q181" s="150"/>
      <c r="R181" s="151" t="str">
        <f t="shared" si="26"/>
        <v/>
      </c>
      <c r="S181" s="153">
        <f t="shared" si="22"/>
        <v>-6</v>
      </c>
      <c r="T181" s="153">
        <f t="shared" si="23"/>
        <v>-60</v>
      </c>
      <c r="U181" s="151"/>
      <c r="V181" s="151">
        <f t="shared" si="24"/>
        <v>0</v>
      </c>
    </row>
    <row r="182" spans="1:22" x14ac:dyDescent="0.25">
      <c r="A182" s="61"/>
      <c r="G182" s="18"/>
      <c r="H182" s="40">
        <v>177</v>
      </c>
      <c r="I182" s="41" t="str">
        <f t="shared" si="19"/>
        <v/>
      </c>
      <c r="J182" s="40">
        <f t="shared" si="25"/>
        <v>-6</v>
      </c>
      <c r="K182" s="40">
        <f t="shared" si="20"/>
        <v>-60</v>
      </c>
      <c r="L182" s="40"/>
      <c r="M182" s="42">
        <f t="shared" si="21"/>
        <v>0</v>
      </c>
      <c r="O182" s="150">
        <v>177</v>
      </c>
      <c r="P182" s="150"/>
      <c r="Q182" s="150"/>
      <c r="R182" s="151" t="str">
        <f t="shared" si="26"/>
        <v/>
      </c>
      <c r="S182" s="153">
        <f t="shared" si="22"/>
        <v>-6</v>
      </c>
      <c r="T182" s="153">
        <f t="shared" si="23"/>
        <v>-60</v>
      </c>
      <c r="U182" s="151"/>
      <c r="V182" s="151">
        <f t="shared" si="24"/>
        <v>0</v>
      </c>
    </row>
    <row r="183" spans="1:22" x14ac:dyDescent="0.25">
      <c r="A183" s="61"/>
      <c r="G183" s="18"/>
      <c r="H183" s="40">
        <v>178</v>
      </c>
      <c r="I183" s="41" t="str">
        <f t="shared" si="19"/>
        <v/>
      </c>
      <c r="J183" s="40">
        <f t="shared" si="25"/>
        <v>-6</v>
      </c>
      <c r="K183" s="40">
        <f t="shared" si="20"/>
        <v>-60</v>
      </c>
      <c r="L183" s="40"/>
      <c r="M183" s="42">
        <f t="shared" si="21"/>
        <v>0</v>
      </c>
      <c r="O183" s="150">
        <v>178</v>
      </c>
      <c r="P183" s="150"/>
      <c r="Q183" s="150"/>
      <c r="R183" s="151" t="str">
        <f t="shared" si="26"/>
        <v/>
      </c>
      <c r="S183" s="153">
        <f t="shared" si="22"/>
        <v>-6</v>
      </c>
      <c r="T183" s="153">
        <f t="shared" si="23"/>
        <v>-60</v>
      </c>
      <c r="U183" s="151"/>
      <c r="V183" s="151">
        <f t="shared" si="24"/>
        <v>0</v>
      </c>
    </row>
    <row r="184" spans="1:22" x14ac:dyDescent="0.25">
      <c r="A184" s="61"/>
      <c r="G184" s="18"/>
      <c r="H184" s="40">
        <v>179</v>
      </c>
      <c r="I184" s="41" t="str">
        <f t="shared" si="19"/>
        <v/>
      </c>
      <c r="J184" s="40">
        <f t="shared" si="25"/>
        <v>-6</v>
      </c>
      <c r="K184" s="40">
        <f t="shared" si="20"/>
        <v>-60</v>
      </c>
      <c r="L184" s="40"/>
      <c r="M184" s="42">
        <f t="shared" si="21"/>
        <v>0</v>
      </c>
      <c r="O184" s="150">
        <v>179</v>
      </c>
      <c r="P184" s="150"/>
      <c r="Q184" s="150"/>
      <c r="R184" s="151" t="str">
        <f t="shared" si="26"/>
        <v/>
      </c>
      <c r="S184" s="153">
        <f t="shared" si="22"/>
        <v>-6</v>
      </c>
      <c r="T184" s="153">
        <f t="shared" si="23"/>
        <v>-60</v>
      </c>
      <c r="U184" s="151"/>
      <c r="V184" s="151">
        <f t="shared" si="24"/>
        <v>0</v>
      </c>
    </row>
    <row r="185" spans="1:22" x14ac:dyDescent="0.25">
      <c r="A185" s="61"/>
      <c r="G185" s="18"/>
      <c r="H185" s="40">
        <v>180</v>
      </c>
      <c r="I185" s="41" t="str">
        <f t="shared" si="19"/>
        <v/>
      </c>
      <c r="J185" s="40">
        <f t="shared" si="25"/>
        <v>-6</v>
      </c>
      <c r="K185" s="40">
        <f t="shared" si="20"/>
        <v>-60</v>
      </c>
      <c r="L185" s="40"/>
      <c r="M185" s="42">
        <f t="shared" si="21"/>
        <v>0</v>
      </c>
      <c r="O185" s="150">
        <v>180</v>
      </c>
      <c r="P185" s="150"/>
      <c r="Q185" s="150"/>
      <c r="R185" s="151" t="str">
        <f t="shared" si="26"/>
        <v/>
      </c>
      <c r="S185" s="153">
        <f t="shared" si="22"/>
        <v>-6</v>
      </c>
      <c r="T185" s="153">
        <f t="shared" si="23"/>
        <v>-60</v>
      </c>
      <c r="U185" s="151"/>
      <c r="V185" s="151">
        <f t="shared" si="24"/>
        <v>0</v>
      </c>
    </row>
    <row r="186" spans="1:22" x14ac:dyDescent="0.25">
      <c r="A186" s="61"/>
      <c r="G186" s="18"/>
      <c r="H186" s="40">
        <v>181</v>
      </c>
      <c r="I186" s="41" t="str">
        <f t="shared" si="19"/>
        <v/>
      </c>
      <c r="J186" s="40">
        <f t="shared" si="25"/>
        <v>-6</v>
      </c>
      <c r="K186" s="40">
        <f t="shared" si="20"/>
        <v>-60</v>
      </c>
      <c r="L186" s="40"/>
      <c r="M186" s="42">
        <f t="shared" si="21"/>
        <v>0</v>
      </c>
      <c r="O186" s="150">
        <v>181</v>
      </c>
      <c r="P186" s="150"/>
      <c r="Q186" s="150"/>
      <c r="R186" s="151" t="str">
        <f t="shared" si="26"/>
        <v/>
      </c>
      <c r="S186" s="153">
        <f t="shared" si="22"/>
        <v>-6</v>
      </c>
      <c r="T186" s="153">
        <f t="shared" si="23"/>
        <v>-60</v>
      </c>
      <c r="U186" s="151"/>
      <c r="V186" s="151">
        <f t="shared" si="24"/>
        <v>0</v>
      </c>
    </row>
    <row r="187" spans="1:22" x14ac:dyDescent="0.25">
      <c r="A187" s="61"/>
      <c r="G187" s="18"/>
      <c r="H187" s="40">
        <v>182</v>
      </c>
      <c r="I187" s="41" t="str">
        <f t="shared" si="19"/>
        <v/>
      </c>
      <c r="J187" s="40">
        <f t="shared" si="25"/>
        <v>-6</v>
      </c>
      <c r="K187" s="40">
        <f t="shared" si="20"/>
        <v>-60</v>
      </c>
      <c r="L187" s="40"/>
      <c r="M187" s="42">
        <f t="shared" si="21"/>
        <v>0</v>
      </c>
      <c r="O187" s="150">
        <v>182</v>
      </c>
      <c r="P187" s="150"/>
      <c r="Q187" s="150"/>
      <c r="R187" s="151" t="str">
        <f t="shared" si="26"/>
        <v/>
      </c>
      <c r="S187" s="153">
        <f t="shared" si="22"/>
        <v>-6</v>
      </c>
      <c r="T187" s="153">
        <f t="shared" si="23"/>
        <v>-60</v>
      </c>
      <c r="U187" s="151"/>
      <c r="V187" s="151">
        <f t="shared" si="24"/>
        <v>0</v>
      </c>
    </row>
    <row r="188" spans="1:22" x14ac:dyDescent="0.25">
      <c r="A188" s="61"/>
      <c r="G188" s="18"/>
      <c r="H188" s="40">
        <v>183</v>
      </c>
      <c r="I188" s="41" t="str">
        <f t="shared" si="19"/>
        <v/>
      </c>
      <c r="J188" s="40">
        <f t="shared" si="25"/>
        <v>-6</v>
      </c>
      <c r="K188" s="40">
        <f t="shared" si="20"/>
        <v>-60</v>
      </c>
      <c r="L188" s="40"/>
      <c r="M188" s="42">
        <f t="shared" si="21"/>
        <v>0</v>
      </c>
      <c r="O188" s="150">
        <v>183</v>
      </c>
      <c r="P188" s="150"/>
      <c r="Q188" s="150"/>
      <c r="R188" s="151" t="str">
        <f t="shared" si="26"/>
        <v/>
      </c>
      <c r="S188" s="153">
        <f t="shared" si="22"/>
        <v>-6</v>
      </c>
      <c r="T188" s="153">
        <f t="shared" si="23"/>
        <v>-60</v>
      </c>
      <c r="U188" s="151"/>
      <c r="V188" s="151">
        <f t="shared" si="24"/>
        <v>0</v>
      </c>
    </row>
    <row r="189" spans="1:22" x14ac:dyDescent="0.25">
      <c r="A189" s="61"/>
      <c r="G189" s="18"/>
      <c r="H189" s="40">
        <v>184</v>
      </c>
      <c r="I189" s="41" t="str">
        <f t="shared" si="19"/>
        <v/>
      </c>
      <c r="J189" s="40">
        <f t="shared" si="25"/>
        <v>-6</v>
      </c>
      <c r="K189" s="40">
        <f t="shared" si="20"/>
        <v>-60</v>
      </c>
      <c r="L189" s="40"/>
      <c r="M189" s="42">
        <f t="shared" si="21"/>
        <v>0</v>
      </c>
      <c r="O189" s="150">
        <v>184</v>
      </c>
      <c r="P189" s="150"/>
      <c r="Q189" s="150"/>
      <c r="R189" s="151" t="str">
        <f t="shared" si="26"/>
        <v/>
      </c>
      <c r="S189" s="153">
        <f t="shared" si="22"/>
        <v>-6</v>
      </c>
      <c r="T189" s="153">
        <f t="shared" si="23"/>
        <v>-60</v>
      </c>
      <c r="U189" s="151"/>
      <c r="V189" s="151">
        <f t="shared" si="24"/>
        <v>0</v>
      </c>
    </row>
    <row r="190" spans="1:22" x14ac:dyDescent="0.25">
      <c r="A190" s="61"/>
      <c r="G190" s="18"/>
      <c r="H190" s="40">
        <v>185</v>
      </c>
      <c r="I190" s="41" t="str">
        <f t="shared" si="19"/>
        <v/>
      </c>
      <c r="J190" s="40">
        <f t="shared" si="25"/>
        <v>-6</v>
      </c>
      <c r="K190" s="40">
        <f t="shared" si="20"/>
        <v>-60</v>
      </c>
      <c r="L190" s="40"/>
      <c r="M190" s="42">
        <f t="shared" si="21"/>
        <v>0</v>
      </c>
      <c r="O190" s="150">
        <v>185</v>
      </c>
      <c r="P190" s="150"/>
      <c r="Q190" s="150"/>
      <c r="R190" s="151" t="str">
        <f t="shared" si="26"/>
        <v/>
      </c>
      <c r="S190" s="153">
        <f t="shared" si="22"/>
        <v>-6</v>
      </c>
      <c r="T190" s="153">
        <f t="shared" si="23"/>
        <v>-60</v>
      </c>
      <c r="U190" s="151"/>
      <c r="V190" s="151">
        <f t="shared" si="24"/>
        <v>0</v>
      </c>
    </row>
    <row r="191" spans="1:22" x14ac:dyDescent="0.25">
      <c r="A191" s="61"/>
      <c r="G191" s="18"/>
      <c r="H191" s="40">
        <v>186</v>
      </c>
      <c r="I191" s="41" t="str">
        <f t="shared" si="19"/>
        <v/>
      </c>
      <c r="J191" s="40">
        <f t="shared" si="25"/>
        <v>-6</v>
      </c>
      <c r="K191" s="40">
        <f t="shared" si="20"/>
        <v>-60</v>
      </c>
      <c r="L191" s="40"/>
      <c r="M191" s="42">
        <f t="shared" si="21"/>
        <v>0</v>
      </c>
      <c r="O191" s="150">
        <v>186</v>
      </c>
      <c r="P191" s="150"/>
      <c r="Q191" s="150"/>
      <c r="R191" s="151" t="str">
        <f t="shared" si="26"/>
        <v/>
      </c>
      <c r="S191" s="153">
        <f t="shared" si="22"/>
        <v>-6</v>
      </c>
      <c r="T191" s="153">
        <f t="shared" si="23"/>
        <v>-60</v>
      </c>
      <c r="U191" s="151"/>
      <c r="V191" s="151">
        <f t="shared" si="24"/>
        <v>0</v>
      </c>
    </row>
    <row r="192" spans="1:22" x14ac:dyDescent="0.25">
      <c r="A192" s="61"/>
      <c r="G192" s="18"/>
      <c r="H192" s="40">
        <v>187</v>
      </c>
      <c r="I192" s="41" t="str">
        <f t="shared" si="19"/>
        <v/>
      </c>
      <c r="J192" s="40">
        <f t="shared" si="25"/>
        <v>-6</v>
      </c>
      <c r="K192" s="40">
        <f t="shared" si="20"/>
        <v>-60</v>
      </c>
      <c r="L192" s="40"/>
      <c r="M192" s="42">
        <f t="shared" si="21"/>
        <v>0</v>
      </c>
      <c r="O192" s="150">
        <v>187</v>
      </c>
      <c r="P192" s="150"/>
      <c r="Q192" s="150"/>
      <c r="R192" s="151" t="str">
        <f t="shared" si="26"/>
        <v/>
      </c>
      <c r="S192" s="153">
        <f t="shared" si="22"/>
        <v>-6</v>
      </c>
      <c r="T192" s="153">
        <f t="shared" si="23"/>
        <v>-60</v>
      </c>
      <c r="U192" s="151"/>
      <c r="V192" s="151">
        <f t="shared" si="24"/>
        <v>0</v>
      </c>
    </row>
    <row r="193" spans="1:22" x14ac:dyDescent="0.25">
      <c r="A193" s="61"/>
      <c r="G193" s="18"/>
      <c r="H193" s="40">
        <v>188</v>
      </c>
      <c r="I193" s="41" t="str">
        <f t="shared" si="19"/>
        <v/>
      </c>
      <c r="J193" s="40">
        <f t="shared" si="25"/>
        <v>-6</v>
      </c>
      <c r="K193" s="40">
        <f t="shared" si="20"/>
        <v>-60</v>
      </c>
      <c r="L193" s="40"/>
      <c r="M193" s="42">
        <f t="shared" si="21"/>
        <v>0</v>
      </c>
      <c r="O193" s="150">
        <v>188</v>
      </c>
      <c r="P193" s="150"/>
      <c r="Q193" s="150"/>
      <c r="R193" s="151" t="str">
        <f t="shared" si="26"/>
        <v/>
      </c>
      <c r="S193" s="153">
        <f t="shared" si="22"/>
        <v>-6</v>
      </c>
      <c r="T193" s="153">
        <f t="shared" si="23"/>
        <v>-60</v>
      </c>
      <c r="U193" s="151"/>
      <c r="V193" s="151">
        <f t="shared" si="24"/>
        <v>0</v>
      </c>
    </row>
    <row r="194" spans="1:22" x14ac:dyDescent="0.25">
      <c r="A194" s="61"/>
      <c r="G194" s="18"/>
      <c r="H194" s="40">
        <v>189</v>
      </c>
      <c r="I194" s="41" t="str">
        <f t="shared" si="19"/>
        <v/>
      </c>
      <c r="J194" s="40">
        <f t="shared" si="25"/>
        <v>-6</v>
      </c>
      <c r="K194" s="40">
        <f t="shared" si="20"/>
        <v>-60</v>
      </c>
      <c r="L194" s="40"/>
      <c r="M194" s="42">
        <f t="shared" si="21"/>
        <v>0</v>
      </c>
      <c r="O194" s="150">
        <v>189</v>
      </c>
      <c r="P194" s="150"/>
      <c r="Q194" s="150"/>
      <c r="R194" s="151" t="str">
        <f t="shared" si="26"/>
        <v/>
      </c>
      <c r="S194" s="153">
        <f t="shared" si="22"/>
        <v>-6</v>
      </c>
      <c r="T194" s="153">
        <f t="shared" si="23"/>
        <v>-60</v>
      </c>
      <c r="U194" s="151"/>
      <c r="V194" s="151">
        <f t="shared" si="24"/>
        <v>0</v>
      </c>
    </row>
    <row r="195" spans="1:22" x14ac:dyDescent="0.25">
      <c r="A195" s="61"/>
      <c r="G195" s="18"/>
      <c r="H195" s="40">
        <v>190</v>
      </c>
      <c r="I195" s="41" t="str">
        <f t="shared" si="19"/>
        <v/>
      </c>
      <c r="J195" s="40">
        <f t="shared" si="25"/>
        <v>-6</v>
      </c>
      <c r="K195" s="40">
        <f t="shared" si="20"/>
        <v>-60</v>
      </c>
      <c r="L195" s="40"/>
      <c r="M195" s="42">
        <f t="shared" si="21"/>
        <v>0</v>
      </c>
      <c r="O195" s="150">
        <v>190</v>
      </c>
      <c r="P195" s="150"/>
      <c r="Q195" s="150"/>
      <c r="R195" s="151" t="str">
        <f t="shared" si="26"/>
        <v/>
      </c>
      <c r="S195" s="153">
        <f t="shared" si="22"/>
        <v>-6</v>
      </c>
      <c r="T195" s="153">
        <f t="shared" si="23"/>
        <v>-60</v>
      </c>
      <c r="U195" s="151"/>
      <c r="V195" s="151">
        <f t="shared" si="24"/>
        <v>0</v>
      </c>
    </row>
    <row r="196" spans="1:22" x14ac:dyDescent="0.25">
      <c r="A196" s="61"/>
      <c r="G196" s="18"/>
      <c r="H196" s="40">
        <v>191</v>
      </c>
      <c r="I196" s="41" t="str">
        <f t="shared" si="19"/>
        <v/>
      </c>
      <c r="J196" s="40">
        <f t="shared" si="25"/>
        <v>-6</v>
      </c>
      <c r="K196" s="40">
        <f t="shared" si="20"/>
        <v>-60</v>
      </c>
      <c r="L196" s="40"/>
      <c r="M196" s="42">
        <f t="shared" si="21"/>
        <v>0</v>
      </c>
      <c r="O196" s="150">
        <v>191</v>
      </c>
      <c r="P196" s="150"/>
      <c r="Q196" s="150"/>
      <c r="R196" s="151" t="str">
        <f t="shared" si="26"/>
        <v/>
      </c>
      <c r="S196" s="153">
        <f t="shared" si="22"/>
        <v>-6</v>
      </c>
      <c r="T196" s="153">
        <f t="shared" si="23"/>
        <v>-60</v>
      </c>
      <c r="U196" s="151"/>
      <c r="V196" s="151">
        <f t="shared" si="24"/>
        <v>0</v>
      </c>
    </row>
    <row r="197" spans="1:22" x14ac:dyDescent="0.25">
      <c r="A197" s="61"/>
      <c r="G197" s="18"/>
      <c r="H197" s="40">
        <v>192</v>
      </c>
      <c r="I197" s="41" t="str">
        <f t="shared" si="19"/>
        <v/>
      </c>
      <c r="J197" s="40">
        <f t="shared" si="25"/>
        <v>-6</v>
      </c>
      <c r="K197" s="40">
        <f t="shared" si="20"/>
        <v>-60</v>
      </c>
      <c r="L197" s="40"/>
      <c r="M197" s="42">
        <f t="shared" si="21"/>
        <v>0</v>
      </c>
      <c r="O197" s="150">
        <v>192</v>
      </c>
      <c r="P197" s="150"/>
      <c r="Q197" s="150"/>
      <c r="R197" s="151" t="str">
        <f t="shared" si="26"/>
        <v/>
      </c>
      <c r="S197" s="153">
        <f t="shared" si="22"/>
        <v>-6</v>
      </c>
      <c r="T197" s="153">
        <f t="shared" si="23"/>
        <v>-60</v>
      </c>
      <c r="U197" s="151"/>
      <c r="V197" s="151">
        <f t="shared" si="24"/>
        <v>0</v>
      </c>
    </row>
    <row r="198" spans="1:22" x14ac:dyDescent="0.25">
      <c r="A198" s="61"/>
      <c r="G198" s="18"/>
      <c r="H198" s="40">
        <v>193</v>
      </c>
      <c r="I198" s="41" t="str">
        <f t="shared" ref="I198:I261" si="27">IF(H198&lt;$H$2+1,($I$2-($I$2-1)*(LOG(H198)/LOG($H$2))),"")</f>
        <v/>
      </c>
      <c r="J198" s="40">
        <f t="shared" si="25"/>
        <v>-6</v>
      </c>
      <c r="K198" s="40">
        <f t="shared" ref="K198:K261" si="28">J198*$J$2</f>
        <v>-60</v>
      </c>
      <c r="L198" s="40"/>
      <c r="M198" s="42">
        <f t="shared" ref="M198:M261" si="29">IF(I198&lt;&gt;"",K198+I198+L198,0)</f>
        <v>0</v>
      </c>
      <c r="O198" s="150">
        <v>193</v>
      </c>
      <c r="P198" s="150"/>
      <c r="Q198" s="150"/>
      <c r="R198" s="151" t="str">
        <f t="shared" si="26"/>
        <v/>
      </c>
      <c r="S198" s="153">
        <f t="shared" ref="S198:S261" si="30">INT(LOG($O$2,2))-ROUNDUP(LOG(O198,2),0)+IF(OR($O$2=1,$O$2=2,$O$2=4,$O$2=8,$O$2=16,$O$2=32,$O$2=64,$O$2=128,$O$2=256),0,1)</f>
        <v>-6</v>
      </c>
      <c r="T198" s="153">
        <f t="shared" ref="T198:T261" si="31">S198*$J$2</f>
        <v>-60</v>
      </c>
      <c r="U198" s="151"/>
      <c r="V198" s="151">
        <f t="shared" ref="V198:V261" si="32">IF(R198&lt;&gt;"",T198+R198+U198,0)</f>
        <v>0</v>
      </c>
    </row>
    <row r="199" spans="1:22" x14ac:dyDescent="0.25">
      <c r="A199" s="61"/>
      <c r="G199" s="18"/>
      <c r="H199" s="40">
        <v>194</v>
      </c>
      <c r="I199" s="41" t="str">
        <f t="shared" si="27"/>
        <v/>
      </c>
      <c r="J199" s="40">
        <f t="shared" ref="J199:J262" si="33">INT(LOG($H$2,2))-ROUNDUP(LOG(H199,2),0)+IF(OR($H$2=1,$H$2=2,$H$2=4,$H$2=8,$H$2=16,$H$2=32,$H$2=64,$H$2=128,$H$2=256),0,1)</f>
        <v>-6</v>
      </c>
      <c r="K199" s="40">
        <f t="shared" si="28"/>
        <v>-60</v>
      </c>
      <c r="L199" s="40"/>
      <c r="M199" s="42">
        <f t="shared" si="29"/>
        <v>0</v>
      </c>
      <c r="O199" s="150">
        <v>194</v>
      </c>
      <c r="P199" s="150"/>
      <c r="Q199" s="150"/>
      <c r="R199" s="151" t="str">
        <f t="shared" ref="R199:R262" si="34">IF(O199&lt;$O$2+1,($I$2-($I$2-1)*(LOG(O199)/LOG($O$2))),"")</f>
        <v/>
      </c>
      <c r="S199" s="153">
        <f t="shared" si="30"/>
        <v>-6</v>
      </c>
      <c r="T199" s="153">
        <f t="shared" si="31"/>
        <v>-60</v>
      </c>
      <c r="U199" s="151"/>
      <c r="V199" s="151">
        <f t="shared" si="32"/>
        <v>0</v>
      </c>
    </row>
    <row r="200" spans="1:22" x14ac:dyDescent="0.25">
      <c r="A200" s="61"/>
      <c r="G200" s="18"/>
      <c r="H200" s="40">
        <v>195</v>
      </c>
      <c r="I200" s="41" t="str">
        <f t="shared" si="27"/>
        <v/>
      </c>
      <c r="J200" s="40">
        <f t="shared" si="33"/>
        <v>-6</v>
      </c>
      <c r="K200" s="40">
        <f t="shared" si="28"/>
        <v>-60</v>
      </c>
      <c r="L200" s="40"/>
      <c r="M200" s="42">
        <f t="shared" si="29"/>
        <v>0</v>
      </c>
      <c r="O200" s="150">
        <v>195</v>
      </c>
      <c r="P200" s="150"/>
      <c r="Q200" s="150"/>
      <c r="R200" s="151" t="str">
        <f t="shared" si="34"/>
        <v/>
      </c>
      <c r="S200" s="153">
        <f t="shared" si="30"/>
        <v>-6</v>
      </c>
      <c r="T200" s="153">
        <f t="shared" si="31"/>
        <v>-60</v>
      </c>
      <c r="U200" s="151"/>
      <c r="V200" s="151">
        <f t="shared" si="32"/>
        <v>0</v>
      </c>
    </row>
    <row r="201" spans="1:22" x14ac:dyDescent="0.25">
      <c r="A201" s="61"/>
      <c r="G201" s="18"/>
      <c r="H201" s="40">
        <v>196</v>
      </c>
      <c r="I201" s="41" t="str">
        <f t="shared" si="27"/>
        <v/>
      </c>
      <c r="J201" s="40">
        <f t="shared" si="33"/>
        <v>-6</v>
      </c>
      <c r="K201" s="40">
        <f t="shared" si="28"/>
        <v>-60</v>
      </c>
      <c r="L201" s="40"/>
      <c r="M201" s="42">
        <f t="shared" si="29"/>
        <v>0</v>
      </c>
      <c r="O201" s="150">
        <v>196</v>
      </c>
      <c r="P201" s="150"/>
      <c r="Q201" s="150"/>
      <c r="R201" s="151" t="str">
        <f t="shared" si="34"/>
        <v/>
      </c>
      <c r="S201" s="153">
        <f t="shared" si="30"/>
        <v>-6</v>
      </c>
      <c r="T201" s="153">
        <f t="shared" si="31"/>
        <v>-60</v>
      </c>
      <c r="U201" s="151"/>
      <c r="V201" s="151">
        <f t="shared" si="32"/>
        <v>0</v>
      </c>
    </row>
    <row r="202" spans="1:22" x14ac:dyDescent="0.25">
      <c r="A202" s="61"/>
      <c r="G202" s="18"/>
      <c r="H202" s="40">
        <v>197</v>
      </c>
      <c r="I202" s="41" t="str">
        <f t="shared" si="27"/>
        <v/>
      </c>
      <c r="J202" s="40">
        <f t="shared" si="33"/>
        <v>-6</v>
      </c>
      <c r="K202" s="40">
        <f t="shared" si="28"/>
        <v>-60</v>
      </c>
      <c r="L202" s="40"/>
      <c r="M202" s="42">
        <f t="shared" si="29"/>
        <v>0</v>
      </c>
      <c r="O202" s="150">
        <v>197</v>
      </c>
      <c r="P202" s="150"/>
      <c r="Q202" s="150"/>
      <c r="R202" s="151" t="str">
        <f t="shared" si="34"/>
        <v/>
      </c>
      <c r="S202" s="153">
        <f t="shared" si="30"/>
        <v>-6</v>
      </c>
      <c r="T202" s="153">
        <f t="shared" si="31"/>
        <v>-60</v>
      </c>
      <c r="U202" s="151"/>
      <c r="V202" s="151">
        <f t="shared" si="32"/>
        <v>0</v>
      </c>
    </row>
    <row r="203" spans="1:22" x14ac:dyDescent="0.25">
      <c r="A203" s="61"/>
      <c r="G203" s="18"/>
      <c r="H203" s="40">
        <v>198</v>
      </c>
      <c r="I203" s="41" t="str">
        <f t="shared" si="27"/>
        <v/>
      </c>
      <c r="J203" s="40">
        <f t="shared" si="33"/>
        <v>-6</v>
      </c>
      <c r="K203" s="40">
        <f t="shared" si="28"/>
        <v>-60</v>
      </c>
      <c r="L203" s="40"/>
      <c r="M203" s="42">
        <f t="shared" si="29"/>
        <v>0</v>
      </c>
      <c r="O203" s="150">
        <v>198</v>
      </c>
      <c r="P203" s="150"/>
      <c r="Q203" s="150"/>
      <c r="R203" s="151" t="str">
        <f t="shared" si="34"/>
        <v/>
      </c>
      <c r="S203" s="153">
        <f t="shared" si="30"/>
        <v>-6</v>
      </c>
      <c r="T203" s="153">
        <f t="shared" si="31"/>
        <v>-60</v>
      </c>
      <c r="U203" s="151"/>
      <c r="V203" s="151">
        <f t="shared" si="32"/>
        <v>0</v>
      </c>
    </row>
    <row r="204" spans="1:22" x14ac:dyDescent="0.25">
      <c r="A204" s="61"/>
      <c r="G204" s="18"/>
      <c r="H204" s="40">
        <v>199</v>
      </c>
      <c r="I204" s="41" t="str">
        <f t="shared" si="27"/>
        <v/>
      </c>
      <c r="J204" s="40">
        <f t="shared" si="33"/>
        <v>-6</v>
      </c>
      <c r="K204" s="40">
        <f t="shared" si="28"/>
        <v>-60</v>
      </c>
      <c r="L204" s="40"/>
      <c r="M204" s="42">
        <f t="shared" si="29"/>
        <v>0</v>
      </c>
      <c r="O204" s="150">
        <v>199</v>
      </c>
      <c r="P204" s="150"/>
      <c r="Q204" s="150"/>
      <c r="R204" s="151" t="str">
        <f t="shared" si="34"/>
        <v/>
      </c>
      <c r="S204" s="153">
        <f t="shared" si="30"/>
        <v>-6</v>
      </c>
      <c r="T204" s="153">
        <f t="shared" si="31"/>
        <v>-60</v>
      </c>
      <c r="U204" s="151"/>
      <c r="V204" s="151">
        <f t="shared" si="32"/>
        <v>0</v>
      </c>
    </row>
    <row r="205" spans="1:22" x14ac:dyDescent="0.25">
      <c r="A205" s="61"/>
      <c r="G205" s="18"/>
      <c r="H205" s="40">
        <v>200</v>
      </c>
      <c r="I205" s="41" t="str">
        <f t="shared" si="27"/>
        <v/>
      </c>
      <c r="J205" s="40">
        <f t="shared" si="33"/>
        <v>-6</v>
      </c>
      <c r="K205" s="40">
        <f t="shared" si="28"/>
        <v>-60</v>
      </c>
      <c r="L205" s="40"/>
      <c r="M205" s="42">
        <f t="shared" si="29"/>
        <v>0</v>
      </c>
      <c r="O205" s="150">
        <v>200</v>
      </c>
      <c r="P205" s="150"/>
      <c r="Q205" s="150"/>
      <c r="R205" s="151" t="str">
        <f t="shared" si="34"/>
        <v/>
      </c>
      <c r="S205" s="153">
        <f t="shared" si="30"/>
        <v>-6</v>
      </c>
      <c r="T205" s="153">
        <f t="shared" si="31"/>
        <v>-60</v>
      </c>
      <c r="U205" s="151"/>
      <c r="V205" s="151">
        <f t="shared" si="32"/>
        <v>0</v>
      </c>
    </row>
    <row r="206" spans="1:22" x14ac:dyDescent="0.25">
      <c r="A206" s="61"/>
      <c r="G206" s="18"/>
      <c r="H206" s="40">
        <v>201</v>
      </c>
      <c r="I206" s="41" t="str">
        <f t="shared" si="27"/>
        <v/>
      </c>
      <c r="J206" s="40">
        <f t="shared" si="33"/>
        <v>-6</v>
      </c>
      <c r="K206" s="40">
        <f t="shared" si="28"/>
        <v>-60</v>
      </c>
      <c r="L206" s="40"/>
      <c r="M206" s="42">
        <f t="shared" si="29"/>
        <v>0</v>
      </c>
      <c r="O206" s="150">
        <v>201</v>
      </c>
      <c r="P206" s="150"/>
      <c r="Q206" s="150"/>
      <c r="R206" s="151" t="str">
        <f t="shared" si="34"/>
        <v/>
      </c>
      <c r="S206" s="153">
        <f t="shared" si="30"/>
        <v>-6</v>
      </c>
      <c r="T206" s="153">
        <f t="shared" si="31"/>
        <v>-60</v>
      </c>
      <c r="U206" s="151"/>
      <c r="V206" s="151">
        <f t="shared" si="32"/>
        <v>0</v>
      </c>
    </row>
    <row r="207" spans="1:22" x14ac:dyDescent="0.25">
      <c r="A207" s="61"/>
      <c r="G207" s="18"/>
      <c r="H207" s="40">
        <v>202</v>
      </c>
      <c r="I207" s="41" t="str">
        <f t="shared" si="27"/>
        <v/>
      </c>
      <c r="J207" s="40">
        <f t="shared" si="33"/>
        <v>-6</v>
      </c>
      <c r="K207" s="40">
        <f t="shared" si="28"/>
        <v>-60</v>
      </c>
      <c r="L207" s="40"/>
      <c r="M207" s="42">
        <f t="shared" si="29"/>
        <v>0</v>
      </c>
      <c r="O207" s="150">
        <v>202</v>
      </c>
      <c r="P207" s="150"/>
      <c r="Q207" s="150"/>
      <c r="R207" s="151" t="str">
        <f t="shared" si="34"/>
        <v/>
      </c>
      <c r="S207" s="153">
        <f t="shared" si="30"/>
        <v>-6</v>
      </c>
      <c r="T207" s="153">
        <f t="shared" si="31"/>
        <v>-60</v>
      </c>
      <c r="U207" s="151"/>
      <c r="V207" s="151">
        <f t="shared" si="32"/>
        <v>0</v>
      </c>
    </row>
    <row r="208" spans="1:22" x14ac:dyDescent="0.25">
      <c r="A208" s="61"/>
      <c r="G208" s="18"/>
      <c r="H208" s="40">
        <v>203</v>
      </c>
      <c r="I208" s="41" t="str">
        <f t="shared" si="27"/>
        <v/>
      </c>
      <c r="J208" s="40">
        <f t="shared" si="33"/>
        <v>-6</v>
      </c>
      <c r="K208" s="40">
        <f t="shared" si="28"/>
        <v>-60</v>
      </c>
      <c r="L208" s="40"/>
      <c r="M208" s="42">
        <f t="shared" si="29"/>
        <v>0</v>
      </c>
      <c r="O208" s="150">
        <v>203</v>
      </c>
      <c r="P208" s="150"/>
      <c r="Q208" s="150"/>
      <c r="R208" s="151" t="str">
        <f t="shared" si="34"/>
        <v/>
      </c>
      <c r="S208" s="153">
        <f t="shared" si="30"/>
        <v>-6</v>
      </c>
      <c r="T208" s="153">
        <f t="shared" si="31"/>
        <v>-60</v>
      </c>
      <c r="U208" s="151"/>
      <c r="V208" s="151">
        <f t="shared" si="32"/>
        <v>0</v>
      </c>
    </row>
    <row r="209" spans="1:22" x14ac:dyDescent="0.25">
      <c r="A209" s="61"/>
      <c r="G209" s="18"/>
      <c r="H209" s="40">
        <v>204</v>
      </c>
      <c r="I209" s="41" t="str">
        <f t="shared" si="27"/>
        <v/>
      </c>
      <c r="J209" s="40">
        <f t="shared" si="33"/>
        <v>-6</v>
      </c>
      <c r="K209" s="40">
        <f t="shared" si="28"/>
        <v>-60</v>
      </c>
      <c r="L209" s="40"/>
      <c r="M209" s="42">
        <f t="shared" si="29"/>
        <v>0</v>
      </c>
      <c r="O209" s="150">
        <v>204</v>
      </c>
      <c r="P209" s="150"/>
      <c r="Q209" s="150"/>
      <c r="R209" s="151" t="str">
        <f t="shared" si="34"/>
        <v/>
      </c>
      <c r="S209" s="153">
        <f t="shared" si="30"/>
        <v>-6</v>
      </c>
      <c r="T209" s="153">
        <f t="shared" si="31"/>
        <v>-60</v>
      </c>
      <c r="U209" s="151"/>
      <c r="V209" s="151">
        <f t="shared" si="32"/>
        <v>0</v>
      </c>
    </row>
    <row r="210" spans="1:22" x14ac:dyDescent="0.25">
      <c r="A210" s="61"/>
      <c r="G210" s="18"/>
      <c r="H210" s="40">
        <v>205</v>
      </c>
      <c r="I210" s="41" t="str">
        <f t="shared" si="27"/>
        <v/>
      </c>
      <c r="J210" s="40">
        <f t="shared" si="33"/>
        <v>-6</v>
      </c>
      <c r="K210" s="40">
        <f t="shared" si="28"/>
        <v>-60</v>
      </c>
      <c r="L210" s="40"/>
      <c r="M210" s="42">
        <f t="shared" si="29"/>
        <v>0</v>
      </c>
      <c r="O210" s="150">
        <v>205</v>
      </c>
      <c r="P210" s="150"/>
      <c r="Q210" s="150"/>
      <c r="R210" s="151" t="str">
        <f t="shared" si="34"/>
        <v/>
      </c>
      <c r="S210" s="153">
        <f t="shared" si="30"/>
        <v>-6</v>
      </c>
      <c r="T210" s="153">
        <f t="shared" si="31"/>
        <v>-60</v>
      </c>
      <c r="U210" s="151"/>
      <c r="V210" s="151">
        <f t="shared" si="32"/>
        <v>0</v>
      </c>
    </row>
    <row r="211" spans="1:22" x14ac:dyDescent="0.25">
      <c r="A211" s="61"/>
      <c r="G211" s="18"/>
      <c r="H211" s="40">
        <v>206</v>
      </c>
      <c r="I211" s="41" t="str">
        <f t="shared" si="27"/>
        <v/>
      </c>
      <c r="J211" s="40">
        <f t="shared" si="33"/>
        <v>-6</v>
      </c>
      <c r="K211" s="40">
        <f t="shared" si="28"/>
        <v>-60</v>
      </c>
      <c r="L211" s="40"/>
      <c r="M211" s="42">
        <f t="shared" si="29"/>
        <v>0</v>
      </c>
      <c r="O211" s="150">
        <v>206</v>
      </c>
      <c r="P211" s="150"/>
      <c r="Q211" s="150"/>
      <c r="R211" s="151" t="str">
        <f t="shared" si="34"/>
        <v/>
      </c>
      <c r="S211" s="153">
        <f t="shared" si="30"/>
        <v>-6</v>
      </c>
      <c r="T211" s="153">
        <f t="shared" si="31"/>
        <v>-60</v>
      </c>
      <c r="U211" s="151"/>
      <c r="V211" s="151">
        <f t="shared" si="32"/>
        <v>0</v>
      </c>
    </row>
    <row r="212" spans="1:22" x14ac:dyDescent="0.25">
      <c r="A212" s="61"/>
      <c r="G212" s="18"/>
      <c r="H212" s="40">
        <v>207</v>
      </c>
      <c r="I212" s="41" t="str">
        <f t="shared" si="27"/>
        <v/>
      </c>
      <c r="J212" s="40">
        <f t="shared" si="33"/>
        <v>-6</v>
      </c>
      <c r="K212" s="40">
        <f t="shared" si="28"/>
        <v>-60</v>
      </c>
      <c r="L212" s="40"/>
      <c r="M212" s="42">
        <f t="shared" si="29"/>
        <v>0</v>
      </c>
      <c r="O212" s="150">
        <v>207</v>
      </c>
      <c r="P212" s="150"/>
      <c r="Q212" s="150"/>
      <c r="R212" s="151" t="str">
        <f t="shared" si="34"/>
        <v/>
      </c>
      <c r="S212" s="153">
        <f t="shared" si="30"/>
        <v>-6</v>
      </c>
      <c r="T212" s="153">
        <f t="shared" si="31"/>
        <v>-60</v>
      </c>
      <c r="U212" s="151"/>
      <c r="V212" s="151">
        <f t="shared" si="32"/>
        <v>0</v>
      </c>
    </row>
    <row r="213" spans="1:22" x14ac:dyDescent="0.25">
      <c r="A213" s="61"/>
      <c r="G213" s="18"/>
      <c r="H213" s="40">
        <v>208</v>
      </c>
      <c r="I213" s="41" t="str">
        <f t="shared" si="27"/>
        <v/>
      </c>
      <c r="J213" s="40">
        <f t="shared" si="33"/>
        <v>-6</v>
      </c>
      <c r="K213" s="40">
        <f t="shared" si="28"/>
        <v>-60</v>
      </c>
      <c r="L213" s="40"/>
      <c r="M213" s="42">
        <f t="shared" si="29"/>
        <v>0</v>
      </c>
      <c r="O213" s="150">
        <v>208</v>
      </c>
      <c r="P213" s="150"/>
      <c r="Q213" s="150"/>
      <c r="R213" s="151" t="str">
        <f t="shared" si="34"/>
        <v/>
      </c>
      <c r="S213" s="153">
        <f t="shared" si="30"/>
        <v>-6</v>
      </c>
      <c r="T213" s="153">
        <f t="shared" si="31"/>
        <v>-60</v>
      </c>
      <c r="U213" s="151"/>
      <c r="V213" s="151">
        <f t="shared" si="32"/>
        <v>0</v>
      </c>
    </row>
    <row r="214" spans="1:22" x14ac:dyDescent="0.25">
      <c r="A214" s="61"/>
      <c r="G214" s="18"/>
      <c r="H214" s="40">
        <v>209</v>
      </c>
      <c r="I214" s="41" t="str">
        <f t="shared" si="27"/>
        <v/>
      </c>
      <c r="J214" s="40">
        <f t="shared" si="33"/>
        <v>-6</v>
      </c>
      <c r="K214" s="40">
        <f t="shared" si="28"/>
        <v>-60</v>
      </c>
      <c r="L214" s="40"/>
      <c r="M214" s="42">
        <f t="shared" si="29"/>
        <v>0</v>
      </c>
      <c r="O214" s="150">
        <v>209</v>
      </c>
      <c r="P214" s="150"/>
      <c r="Q214" s="150"/>
      <c r="R214" s="151" t="str">
        <f t="shared" si="34"/>
        <v/>
      </c>
      <c r="S214" s="153">
        <f t="shared" si="30"/>
        <v>-6</v>
      </c>
      <c r="T214" s="153">
        <f t="shared" si="31"/>
        <v>-60</v>
      </c>
      <c r="U214" s="151"/>
      <c r="V214" s="151">
        <f t="shared" si="32"/>
        <v>0</v>
      </c>
    </row>
    <row r="215" spans="1:22" x14ac:dyDescent="0.25">
      <c r="A215" s="61"/>
      <c r="G215" s="18"/>
      <c r="H215" s="40">
        <v>210</v>
      </c>
      <c r="I215" s="41" t="str">
        <f t="shared" si="27"/>
        <v/>
      </c>
      <c r="J215" s="40">
        <f t="shared" si="33"/>
        <v>-6</v>
      </c>
      <c r="K215" s="40">
        <f t="shared" si="28"/>
        <v>-60</v>
      </c>
      <c r="L215" s="40"/>
      <c r="M215" s="42">
        <f t="shared" si="29"/>
        <v>0</v>
      </c>
      <c r="O215" s="150">
        <v>210</v>
      </c>
      <c r="P215" s="150"/>
      <c r="Q215" s="150"/>
      <c r="R215" s="151" t="str">
        <f t="shared" si="34"/>
        <v/>
      </c>
      <c r="S215" s="153">
        <f t="shared" si="30"/>
        <v>-6</v>
      </c>
      <c r="T215" s="153">
        <f t="shared" si="31"/>
        <v>-60</v>
      </c>
      <c r="U215" s="151"/>
      <c r="V215" s="151">
        <f t="shared" si="32"/>
        <v>0</v>
      </c>
    </row>
    <row r="216" spans="1:22" x14ac:dyDescent="0.25">
      <c r="A216" s="61"/>
      <c r="G216" s="18"/>
      <c r="H216" s="40">
        <v>211</v>
      </c>
      <c r="I216" s="41" t="str">
        <f t="shared" si="27"/>
        <v/>
      </c>
      <c r="J216" s="40">
        <f t="shared" si="33"/>
        <v>-6</v>
      </c>
      <c r="K216" s="40">
        <f t="shared" si="28"/>
        <v>-60</v>
      </c>
      <c r="L216" s="40"/>
      <c r="M216" s="42">
        <f t="shared" si="29"/>
        <v>0</v>
      </c>
      <c r="O216" s="150">
        <v>211</v>
      </c>
      <c r="P216" s="150"/>
      <c r="Q216" s="150"/>
      <c r="R216" s="151" t="str">
        <f t="shared" si="34"/>
        <v/>
      </c>
      <c r="S216" s="153">
        <f t="shared" si="30"/>
        <v>-6</v>
      </c>
      <c r="T216" s="153">
        <f t="shared" si="31"/>
        <v>-60</v>
      </c>
      <c r="U216" s="151"/>
      <c r="V216" s="151">
        <f t="shared" si="32"/>
        <v>0</v>
      </c>
    </row>
    <row r="217" spans="1:22" x14ac:dyDescent="0.25">
      <c r="A217" s="61"/>
      <c r="G217" s="18"/>
      <c r="H217" s="40">
        <v>212</v>
      </c>
      <c r="I217" s="41" t="str">
        <f t="shared" si="27"/>
        <v/>
      </c>
      <c r="J217" s="40">
        <f t="shared" si="33"/>
        <v>-6</v>
      </c>
      <c r="K217" s="40">
        <f t="shared" si="28"/>
        <v>-60</v>
      </c>
      <c r="L217" s="40"/>
      <c r="M217" s="42">
        <f t="shared" si="29"/>
        <v>0</v>
      </c>
      <c r="O217" s="150">
        <v>212</v>
      </c>
      <c r="P217" s="150"/>
      <c r="Q217" s="150"/>
      <c r="R217" s="151" t="str">
        <f t="shared" si="34"/>
        <v/>
      </c>
      <c r="S217" s="153">
        <f t="shared" si="30"/>
        <v>-6</v>
      </c>
      <c r="T217" s="153">
        <f t="shared" si="31"/>
        <v>-60</v>
      </c>
      <c r="U217" s="151"/>
      <c r="V217" s="151">
        <f t="shared" si="32"/>
        <v>0</v>
      </c>
    </row>
    <row r="218" spans="1:22" x14ac:dyDescent="0.25">
      <c r="A218" s="61"/>
      <c r="G218" s="18"/>
      <c r="H218" s="40">
        <v>213</v>
      </c>
      <c r="I218" s="41" t="str">
        <f t="shared" si="27"/>
        <v/>
      </c>
      <c r="J218" s="40">
        <f t="shared" si="33"/>
        <v>-6</v>
      </c>
      <c r="K218" s="40">
        <f t="shared" si="28"/>
        <v>-60</v>
      </c>
      <c r="L218" s="40"/>
      <c r="M218" s="42">
        <f t="shared" si="29"/>
        <v>0</v>
      </c>
      <c r="O218" s="150">
        <v>213</v>
      </c>
      <c r="P218" s="150"/>
      <c r="Q218" s="150"/>
      <c r="R218" s="151" t="str">
        <f t="shared" si="34"/>
        <v/>
      </c>
      <c r="S218" s="153">
        <f t="shared" si="30"/>
        <v>-6</v>
      </c>
      <c r="T218" s="153">
        <f t="shared" si="31"/>
        <v>-60</v>
      </c>
      <c r="U218" s="151"/>
      <c r="V218" s="151">
        <f t="shared" si="32"/>
        <v>0</v>
      </c>
    </row>
    <row r="219" spans="1:22" x14ac:dyDescent="0.25">
      <c r="A219" s="61"/>
      <c r="G219" s="18"/>
      <c r="H219" s="40">
        <v>214</v>
      </c>
      <c r="I219" s="41" t="str">
        <f t="shared" si="27"/>
        <v/>
      </c>
      <c r="J219" s="40">
        <f t="shared" si="33"/>
        <v>-6</v>
      </c>
      <c r="K219" s="40">
        <f t="shared" si="28"/>
        <v>-60</v>
      </c>
      <c r="L219" s="40"/>
      <c r="M219" s="42">
        <f t="shared" si="29"/>
        <v>0</v>
      </c>
      <c r="O219" s="150">
        <v>214</v>
      </c>
      <c r="P219" s="150"/>
      <c r="Q219" s="150"/>
      <c r="R219" s="151" t="str">
        <f t="shared" si="34"/>
        <v/>
      </c>
      <c r="S219" s="153">
        <f t="shared" si="30"/>
        <v>-6</v>
      </c>
      <c r="T219" s="153">
        <f t="shared" si="31"/>
        <v>-60</v>
      </c>
      <c r="U219" s="151"/>
      <c r="V219" s="151">
        <f t="shared" si="32"/>
        <v>0</v>
      </c>
    </row>
    <row r="220" spans="1:22" x14ac:dyDescent="0.25">
      <c r="A220" s="61"/>
      <c r="G220" s="18"/>
      <c r="H220" s="40">
        <v>215</v>
      </c>
      <c r="I220" s="41" t="str">
        <f t="shared" si="27"/>
        <v/>
      </c>
      <c r="J220" s="40">
        <f t="shared" si="33"/>
        <v>-6</v>
      </c>
      <c r="K220" s="40">
        <f t="shared" si="28"/>
        <v>-60</v>
      </c>
      <c r="L220" s="40"/>
      <c r="M220" s="42">
        <f t="shared" si="29"/>
        <v>0</v>
      </c>
      <c r="O220" s="150">
        <v>215</v>
      </c>
      <c r="P220" s="150"/>
      <c r="Q220" s="150"/>
      <c r="R220" s="151" t="str">
        <f t="shared" si="34"/>
        <v/>
      </c>
      <c r="S220" s="153">
        <f t="shared" si="30"/>
        <v>-6</v>
      </c>
      <c r="T220" s="153">
        <f t="shared" si="31"/>
        <v>-60</v>
      </c>
      <c r="U220" s="151"/>
      <c r="V220" s="151">
        <f t="shared" si="32"/>
        <v>0</v>
      </c>
    </row>
    <row r="221" spans="1:22" x14ac:dyDescent="0.25">
      <c r="A221" s="61"/>
      <c r="G221" s="18"/>
      <c r="H221" s="40">
        <v>216</v>
      </c>
      <c r="I221" s="41" t="str">
        <f t="shared" si="27"/>
        <v/>
      </c>
      <c r="J221" s="40">
        <f t="shared" si="33"/>
        <v>-6</v>
      </c>
      <c r="K221" s="40">
        <f t="shared" si="28"/>
        <v>-60</v>
      </c>
      <c r="L221" s="40"/>
      <c r="M221" s="42">
        <f t="shared" si="29"/>
        <v>0</v>
      </c>
      <c r="O221" s="150">
        <v>216</v>
      </c>
      <c r="P221" s="150"/>
      <c r="Q221" s="150"/>
      <c r="R221" s="151" t="str">
        <f t="shared" si="34"/>
        <v/>
      </c>
      <c r="S221" s="153">
        <f t="shared" si="30"/>
        <v>-6</v>
      </c>
      <c r="T221" s="153">
        <f t="shared" si="31"/>
        <v>-60</v>
      </c>
      <c r="U221" s="151"/>
      <c r="V221" s="151">
        <f t="shared" si="32"/>
        <v>0</v>
      </c>
    </row>
    <row r="222" spans="1:22" x14ac:dyDescent="0.25">
      <c r="A222" s="61"/>
      <c r="G222" s="18"/>
      <c r="H222" s="40">
        <v>217</v>
      </c>
      <c r="I222" s="41" t="str">
        <f t="shared" si="27"/>
        <v/>
      </c>
      <c r="J222" s="40">
        <f t="shared" si="33"/>
        <v>-6</v>
      </c>
      <c r="K222" s="40">
        <f t="shared" si="28"/>
        <v>-60</v>
      </c>
      <c r="L222" s="40"/>
      <c r="M222" s="42">
        <f t="shared" si="29"/>
        <v>0</v>
      </c>
      <c r="O222" s="150">
        <v>217</v>
      </c>
      <c r="P222" s="150"/>
      <c r="Q222" s="150"/>
      <c r="R222" s="151" t="str">
        <f t="shared" si="34"/>
        <v/>
      </c>
      <c r="S222" s="153">
        <f t="shared" si="30"/>
        <v>-6</v>
      </c>
      <c r="T222" s="153">
        <f t="shared" si="31"/>
        <v>-60</v>
      </c>
      <c r="U222" s="151"/>
      <c r="V222" s="151">
        <f t="shared" si="32"/>
        <v>0</v>
      </c>
    </row>
    <row r="223" spans="1:22" x14ac:dyDescent="0.25">
      <c r="A223" s="61"/>
      <c r="G223" s="18"/>
      <c r="H223" s="40">
        <v>218</v>
      </c>
      <c r="I223" s="41" t="str">
        <f t="shared" si="27"/>
        <v/>
      </c>
      <c r="J223" s="40">
        <f t="shared" si="33"/>
        <v>-6</v>
      </c>
      <c r="K223" s="40">
        <f t="shared" si="28"/>
        <v>-60</v>
      </c>
      <c r="L223" s="40"/>
      <c r="M223" s="42">
        <f t="shared" si="29"/>
        <v>0</v>
      </c>
      <c r="O223" s="150">
        <v>218</v>
      </c>
      <c r="P223" s="150"/>
      <c r="Q223" s="150"/>
      <c r="R223" s="151" t="str">
        <f t="shared" si="34"/>
        <v/>
      </c>
      <c r="S223" s="153">
        <f t="shared" si="30"/>
        <v>-6</v>
      </c>
      <c r="T223" s="153">
        <f t="shared" si="31"/>
        <v>-60</v>
      </c>
      <c r="U223" s="151"/>
      <c r="V223" s="151">
        <f t="shared" si="32"/>
        <v>0</v>
      </c>
    </row>
    <row r="224" spans="1:22" x14ac:dyDescent="0.25">
      <c r="A224" s="61"/>
      <c r="G224" s="18"/>
      <c r="H224" s="40">
        <v>219</v>
      </c>
      <c r="I224" s="41" t="str">
        <f t="shared" si="27"/>
        <v/>
      </c>
      <c r="J224" s="40">
        <f t="shared" si="33"/>
        <v>-6</v>
      </c>
      <c r="K224" s="40">
        <f t="shared" si="28"/>
        <v>-60</v>
      </c>
      <c r="L224" s="40"/>
      <c r="M224" s="42">
        <f t="shared" si="29"/>
        <v>0</v>
      </c>
      <c r="O224" s="150">
        <v>219</v>
      </c>
      <c r="P224" s="150"/>
      <c r="Q224" s="150"/>
      <c r="R224" s="151" t="str">
        <f t="shared" si="34"/>
        <v/>
      </c>
      <c r="S224" s="153">
        <f t="shared" si="30"/>
        <v>-6</v>
      </c>
      <c r="T224" s="153">
        <f t="shared" si="31"/>
        <v>-60</v>
      </c>
      <c r="U224" s="151"/>
      <c r="V224" s="151">
        <f t="shared" si="32"/>
        <v>0</v>
      </c>
    </row>
    <row r="225" spans="1:22" x14ac:dyDescent="0.25">
      <c r="A225" s="61"/>
      <c r="G225" s="18"/>
      <c r="H225" s="40">
        <v>220</v>
      </c>
      <c r="I225" s="41" t="str">
        <f t="shared" si="27"/>
        <v/>
      </c>
      <c r="J225" s="40">
        <f t="shared" si="33"/>
        <v>-6</v>
      </c>
      <c r="K225" s="40">
        <f t="shared" si="28"/>
        <v>-60</v>
      </c>
      <c r="L225" s="40"/>
      <c r="M225" s="42">
        <f t="shared" si="29"/>
        <v>0</v>
      </c>
      <c r="O225" s="150">
        <v>220</v>
      </c>
      <c r="P225" s="150"/>
      <c r="Q225" s="150"/>
      <c r="R225" s="151" t="str">
        <f t="shared" si="34"/>
        <v/>
      </c>
      <c r="S225" s="153">
        <f t="shared" si="30"/>
        <v>-6</v>
      </c>
      <c r="T225" s="153">
        <f t="shared" si="31"/>
        <v>-60</v>
      </c>
      <c r="U225" s="151"/>
      <c r="V225" s="151">
        <f t="shared" si="32"/>
        <v>0</v>
      </c>
    </row>
    <row r="226" spans="1:22" x14ac:dyDescent="0.25">
      <c r="A226" s="61"/>
      <c r="G226" s="18"/>
      <c r="H226" s="40">
        <v>221</v>
      </c>
      <c r="I226" s="41" t="str">
        <f t="shared" si="27"/>
        <v/>
      </c>
      <c r="J226" s="40">
        <f t="shared" si="33"/>
        <v>-6</v>
      </c>
      <c r="K226" s="40">
        <f t="shared" si="28"/>
        <v>-60</v>
      </c>
      <c r="L226" s="40"/>
      <c r="M226" s="42">
        <f t="shared" si="29"/>
        <v>0</v>
      </c>
      <c r="O226" s="150">
        <v>221</v>
      </c>
      <c r="P226" s="150"/>
      <c r="Q226" s="150"/>
      <c r="R226" s="151" t="str">
        <f t="shared" si="34"/>
        <v/>
      </c>
      <c r="S226" s="153">
        <f t="shared" si="30"/>
        <v>-6</v>
      </c>
      <c r="T226" s="153">
        <f t="shared" si="31"/>
        <v>-60</v>
      </c>
      <c r="U226" s="151"/>
      <c r="V226" s="151">
        <f t="shared" si="32"/>
        <v>0</v>
      </c>
    </row>
    <row r="227" spans="1:22" x14ac:dyDescent="0.25">
      <c r="A227" s="61"/>
      <c r="G227" s="18"/>
      <c r="H227" s="40">
        <v>222</v>
      </c>
      <c r="I227" s="41" t="str">
        <f t="shared" si="27"/>
        <v/>
      </c>
      <c r="J227" s="40">
        <f t="shared" si="33"/>
        <v>-6</v>
      </c>
      <c r="K227" s="40">
        <f t="shared" si="28"/>
        <v>-60</v>
      </c>
      <c r="L227" s="40"/>
      <c r="M227" s="42">
        <f t="shared" si="29"/>
        <v>0</v>
      </c>
      <c r="O227" s="150">
        <v>222</v>
      </c>
      <c r="P227" s="150"/>
      <c r="Q227" s="150"/>
      <c r="R227" s="151" t="str">
        <f t="shared" si="34"/>
        <v/>
      </c>
      <c r="S227" s="153">
        <f t="shared" si="30"/>
        <v>-6</v>
      </c>
      <c r="T227" s="153">
        <f t="shared" si="31"/>
        <v>-60</v>
      </c>
      <c r="U227" s="151"/>
      <c r="V227" s="151">
        <f t="shared" si="32"/>
        <v>0</v>
      </c>
    </row>
    <row r="228" spans="1:22" x14ac:dyDescent="0.25">
      <c r="A228" s="61"/>
      <c r="G228" s="18"/>
      <c r="H228" s="40">
        <v>223</v>
      </c>
      <c r="I228" s="41" t="str">
        <f t="shared" si="27"/>
        <v/>
      </c>
      <c r="J228" s="40">
        <f t="shared" si="33"/>
        <v>-6</v>
      </c>
      <c r="K228" s="40">
        <f t="shared" si="28"/>
        <v>-60</v>
      </c>
      <c r="L228" s="40"/>
      <c r="M228" s="42">
        <f t="shared" si="29"/>
        <v>0</v>
      </c>
      <c r="O228" s="150">
        <v>223</v>
      </c>
      <c r="P228" s="150"/>
      <c r="Q228" s="150"/>
      <c r="R228" s="151" t="str">
        <f t="shared" si="34"/>
        <v/>
      </c>
      <c r="S228" s="153">
        <f t="shared" si="30"/>
        <v>-6</v>
      </c>
      <c r="T228" s="153">
        <f t="shared" si="31"/>
        <v>-60</v>
      </c>
      <c r="U228" s="151"/>
      <c r="V228" s="151">
        <f t="shared" si="32"/>
        <v>0</v>
      </c>
    </row>
    <row r="229" spans="1:22" x14ac:dyDescent="0.25">
      <c r="A229" s="61"/>
      <c r="G229" s="18"/>
      <c r="H229" s="40">
        <v>224</v>
      </c>
      <c r="I229" s="41" t="str">
        <f t="shared" si="27"/>
        <v/>
      </c>
      <c r="J229" s="40">
        <f t="shared" si="33"/>
        <v>-6</v>
      </c>
      <c r="K229" s="40">
        <f t="shared" si="28"/>
        <v>-60</v>
      </c>
      <c r="L229" s="40"/>
      <c r="M229" s="42">
        <f t="shared" si="29"/>
        <v>0</v>
      </c>
      <c r="O229" s="150">
        <v>224</v>
      </c>
      <c r="P229" s="150"/>
      <c r="Q229" s="150"/>
      <c r="R229" s="151" t="str">
        <f t="shared" si="34"/>
        <v/>
      </c>
      <c r="S229" s="153">
        <f t="shared" si="30"/>
        <v>-6</v>
      </c>
      <c r="T229" s="153">
        <f t="shared" si="31"/>
        <v>-60</v>
      </c>
      <c r="U229" s="151"/>
      <c r="V229" s="151">
        <f t="shared" si="32"/>
        <v>0</v>
      </c>
    </row>
    <row r="230" spans="1:22" x14ac:dyDescent="0.25">
      <c r="A230" s="61"/>
      <c r="G230" s="18"/>
      <c r="H230" s="40">
        <v>225</v>
      </c>
      <c r="I230" s="41" t="str">
        <f t="shared" si="27"/>
        <v/>
      </c>
      <c r="J230" s="40">
        <f t="shared" si="33"/>
        <v>-6</v>
      </c>
      <c r="K230" s="40">
        <f t="shared" si="28"/>
        <v>-60</v>
      </c>
      <c r="L230" s="40"/>
      <c r="M230" s="42">
        <f t="shared" si="29"/>
        <v>0</v>
      </c>
      <c r="O230" s="150">
        <v>225</v>
      </c>
      <c r="P230" s="150"/>
      <c r="Q230" s="150"/>
      <c r="R230" s="151" t="str">
        <f t="shared" si="34"/>
        <v/>
      </c>
      <c r="S230" s="153">
        <f t="shared" si="30"/>
        <v>-6</v>
      </c>
      <c r="T230" s="153">
        <f t="shared" si="31"/>
        <v>-60</v>
      </c>
      <c r="U230" s="151"/>
      <c r="V230" s="151">
        <f t="shared" si="32"/>
        <v>0</v>
      </c>
    </row>
    <row r="231" spans="1:22" x14ac:dyDescent="0.25">
      <c r="A231" s="61"/>
      <c r="G231" s="18"/>
      <c r="H231" s="40">
        <v>226</v>
      </c>
      <c r="I231" s="41" t="str">
        <f t="shared" si="27"/>
        <v/>
      </c>
      <c r="J231" s="40">
        <f t="shared" si="33"/>
        <v>-6</v>
      </c>
      <c r="K231" s="40">
        <f t="shared" si="28"/>
        <v>-60</v>
      </c>
      <c r="L231" s="40"/>
      <c r="M231" s="42">
        <f t="shared" si="29"/>
        <v>0</v>
      </c>
      <c r="O231" s="150">
        <v>226</v>
      </c>
      <c r="P231" s="150"/>
      <c r="Q231" s="150"/>
      <c r="R231" s="151" t="str">
        <f t="shared" si="34"/>
        <v/>
      </c>
      <c r="S231" s="153">
        <f t="shared" si="30"/>
        <v>-6</v>
      </c>
      <c r="T231" s="153">
        <f t="shared" si="31"/>
        <v>-60</v>
      </c>
      <c r="U231" s="151"/>
      <c r="V231" s="151">
        <f t="shared" si="32"/>
        <v>0</v>
      </c>
    </row>
    <row r="232" spans="1:22" x14ac:dyDescent="0.25">
      <c r="A232" s="61"/>
      <c r="G232" s="18"/>
      <c r="H232" s="40">
        <v>227</v>
      </c>
      <c r="I232" s="41" t="str">
        <f t="shared" si="27"/>
        <v/>
      </c>
      <c r="J232" s="40">
        <f t="shared" si="33"/>
        <v>-6</v>
      </c>
      <c r="K232" s="40">
        <f t="shared" si="28"/>
        <v>-60</v>
      </c>
      <c r="L232" s="40"/>
      <c r="M232" s="42">
        <f t="shared" si="29"/>
        <v>0</v>
      </c>
      <c r="O232" s="150">
        <v>227</v>
      </c>
      <c r="P232" s="150"/>
      <c r="Q232" s="150"/>
      <c r="R232" s="151" t="str">
        <f t="shared" si="34"/>
        <v/>
      </c>
      <c r="S232" s="153">
        <f t="shared" si="30"/>
        <v>-6</v>
      </c>
      <c r="T232" s="153">
        <f t="shared" si="31"/>
        <v>-60</v>
      </c>
      <c r="U232" s="151"/>
      <c r="V232" s="151">
        <f t="shared" si="32"/>
        <v>0</v>
      </c>
    </row>
    <row r="233" spans="1:22" x14ac:dyDescent="0.25">
      <c r="A233" s="61"/>
      <c r="G233" s="18"/>
      <c r="H233" s="40">
        <v>228</v>
      </c>
      <c r="I233" s="41" t="str">
        <f t="shared" si="27"/>
        <v/>
      </c>
      <c r="J233" s="40">
        <f t="shared" si="33"/>
        <v>-6</v>
      </c>
      <c r="K233" s="40">
        <f t="shared" si="28"/>
        <v>-60</v>
      </c>
      <c r="L233" s="40"/>
      <c r="M233" s="42">
        <f t="shared" si="29"/>
        <v>0</v>
      </c>
      <c r="O233" s="150">
        <v>228</v>
      </c>
      <c r="P233" s="150"/>
      <c r="Q233" s="150"/>
      <c r="R233" s="151" t="str">
        <f t="shared" si="34"/>
        <v/>
      </c>
      <c r="S233" s="153">
        <f t="shared" si="30"/>
        <v>-6</v>
      </c>
      <c r="T233" s="153">
        <f t="shared" si="31"/>
        <v>-60</v>
      </c>
      <c r="U233" s="151"/>
      <c r="V233" s="151">
        <f t="shared" si="32"/>
        <v>0</v>
      </c>
    </row>
    <row r="234" spans="1:22" x14ac:dyDescent="0.25">
      <c r="A234" s="61"/>
      <c r="G234" s="18"/>
      <c r="H234" s="40">
        <v>229</v>
      </c>
      <c r="I234" s="41" t="str">
        <f t="shared" si="27"/>
        <v/>
      </c>
      <c r="J234" s="40">
        <f t="shared" si="33"/>
        <v>-6</v>
      </c>
      <c r="K234" s="40">
        <f t="shared" si="28"/>
        <v>-60</v>
      </c>
      <c r="L234" s="40"/>
      <c r="M234" s="42">
        <f t="shared" si="29"/>
        <v>0</v>
      </c>
      <c r="O234" s="150">
        <v>229</v>
      </c>
      <c r="P234" s="150"/>
      <c r="Q234" s="150"/>
      <c r="R234" s="151" t="str">
        <f t="shared" si="34"/>
        <v/>
      </c>
      <c r="S234" s="153">
        <f t="shared" si="30"/>
        <v>-6</v>
      </c>
      <c r="T234" s="153">
        <f t="shared" si="31"/>
        <v>-60</v>
      </c>
      <c r="U234" s="151"/>
      <c r="V234" s="151">
        <f t="shared" si="32"/>
        <v>0</v>
      </c>
    </row>
    <row r="235" spans="1:22" x14ac:dyDescent="0.25">
      <c r="A235" s="61"/>
      <c r="G235" s="18"/>
      <c r="H235" s="40">
        <v>230</v>
      </c>
      <c r="I235" s="41" t="str">
        <f t="shared" si="27"/>
        <v/>
      </c>
      <c r="J235" s="40">
        <f t="shared" si="33"/>
        <v>-6</v>
      </c>
      <c r="K235" s="40">
        <f t="shared" si="28"/>
        <v>-60</v>
      </c>
      <c r="L235" s="40"/>
      <c r="M235" s="42">
        <f t="shared" si="29"/>
        <v>0</v>
      </c>
      <c r="O235" s="150">
        <v>230</v>
      </c>
      <c r="P235" s="150"/>
      <c r="Q235" s="150"/>
      <c r="R235" s="151" t="str">
        <f t="shared" si="34"/>
        <v/>
      </c>
      <c r="S235" s="153">
        <f t="shared" si="30"/>
        <v>-6</v>
      </c>
      <c r="T235" s="153">
        <f t="shared" si="31"/>
        <v>-60</v>
      </c>
      <c r="U235" s="151"/>
      <c r="V235" s="151">
        <f t="shared" si="32"/>
        <v>0</v>
      </c>
    </row>
    <row r="236" spans="1:22" x14ac:dyDescent="0.25">
      <c r="A236" s="61"/>
      <c r="G236" s="18"/>
      <c r="H236" s="40">
        <v>231</v>
      </c>
      <c r="I236" s="41" t="str">
        <f t="shared" si="27"/>
        <v/>
      </c>
      <c r="J236" s="40">
        <f t="shared" si="33"/>
        <v>-6</v>
      </c>
      <c r="K236" s="40">
        <f t="shared" si="28"/>
        <v>-60</v>
      </c>
      <c r="L236" s="40"/>
      <c r="M236" s="42">
        <f t="shared" si="29"/>
        <v>0</v>
      </c>
      <c r="O236" s="150">
        <v>231</v>
      </c>
      <c r="P236" s="150"/>
      <c r="Q236" s="150"/>
      <c r="R236" s="151" t="str">
        <f t="shared" si="34"/>
        <v/>
      </c>
      <c r="S236" s="153">
        <f t="shared" si="30"/>
        <v>-6</v>
      </c>
      <c r="T236" s="153">
        <f t="shared" si="31"/>
        <v>-60</v>
      </c>
      <c r="U236" s="151"/>
      <c r="V236" s="151">
        <f t="shared" si="32"/>
        <v>0</v>
      </c>
    </row>
    <row r="237" spans="1:22" x14ac:dyDescent="0.25">
      <c r="A237" s="61"/>
      <c r="G237" s="18"/>
      <c r="H237" s="40">
        <v>232</v>
      </c>
      <c r="I237" s="41" t="str">
        <f t="shared" si="27"/>
        <v/>
      </c>
      <c r="J237" s="40">
        <f t="shared" si="33"/>
        <v>-6</v>
      </c>
      <c r="K237" s="40">
        <f t="shared" si="28"/>
        <v>-60</v>
      </c>
      <c r="L237" s="40"/>
      <c r="M237" s="42">
        <f t="shared" si="29"/>
        <v>0</v>
      </c>
      <c r="O237" s="150">
        <v>232</v>
      </c>
      <c r="P237" s="150"/>
      <c r="Q237" s="150"/>
      <c r="R237" s="151" t="str">
        <f t="shared" si="34"/>
        <v/>
      </c>
      <c r="S237" s="153">
        <f t="shared" si="30"/>
        <v>-6</v>
      </c>
      <c r="T237" s="153">
        <f t="shared" si="31"/>
        <v>-60</v>
      </c>
      <c r="U237" s="151"/>
      <c r="V237" s="151">
        <f t="shared" si="32"/>
        <v>0</v>
      </c>
    </row>
    <row r="238" spans="1:22" x14ac:dyDescent="0.25">
      <c r="A238" s="61"/>
      <c r="G238" s="18"/>
      <c r="H238" s="40">
        <v>233</v>
      </c>
      <c r="I238" s="41" t="str">
        <f t="shared" si="27"/>
        <v/>
      </c>
      <c r="J238" s="40">
        <f t="shared" si="33"/>
        <v>-6</v>
      </c>
      <c r="K238" s="40">
        <f t="shared" si="28"/>
        <v>-60</v>
      </c>
      <c r="L238" s="40"/>
      <c r="M238" s="42">
        <f t="shared" si="29"/>
        <v>0</v>
      </c>
      <c r="O238" s="150">
        <v>233</v>
      </c>
      <c r="P238" s="150"/>
      <c r="Q238" s="150"/>
      <c r="R238" s="151" t="str">
        <f t="shared" si="34"/>
        <v/>
      </c>
      <c r="S238" s="153">
        <f t="shared" si="30"/>
        <v>-6</v>
      </c>
      <c r="T238" s="153">
        <f t="shared" si="31"/>
        <v>-60</v>
      </c>
      <c r="U238" s="151"/>
      <c r="V238" s="151">
        <f t="shared" si="32"/>
        <v>0</v>
      </c>
    </row>
    <row r="239" spans="1:22" x14ac:dyDescent="0.25">
      <c r="A239" s="61"/>
      <c r="G239" s="18"/>
      <c r="H239" s="40">
        <v>234</v>
      </c>
      <c r="I239" s="41" t="str">
        <f t="shared" si="27"/>
        <v/>
      </c>
      <c r="J239" s="40">
        <f t="shared" si="33"/>
        <v>-6</v>
      </c>
      <c r="K239" s="40">
        <f t="shared" si="28"/>
        <v>-60</v>
      </c>
      <c r="L239" s="40"/>
      <c r="M239" s="42">
        <f t="shared" si="29"/>
        <v>0</v>
      </c>
      <c r="O239" s="150">
        <v>234</v>
      </c>
      <c r="P239" s="150"/>
      <c r="Q239" s="150"/>
      <c r="R239" s="151" t="str">
        <f t="shared" si="34"/>
        <v/>
      </c>
      <c r="S239" s="153">
        <f t="shared" si="30"/>
        <v>-6</v>
      </c>
      <c r="T239" s="153">
        <f t="shared" si="31"/>
        <v>-60</v>
      </c>
      <c r="U239" s="151"/>
      <c r="V239" s="151">
        <f t="shared" si="32"/>
        <v>0</v>
      </c>
    </row>
    <row r="240" spans="1:22" x14ac:dyDescent="0.25">
      <c r="A240" s="61"/>
      <c r="G240" s="18"/>
      <c r="H240" s="40">
        <v>235</v>
      </c>
      <c r="I240" s="41" t="str">
        <f t="shared" si="27"/>
        <v/>
      </c>
      <c r="J240" s="40">
        <f t="shared" si="33"/>
        <v>-6</v>
      </c>
      <c r="K240" s="40">
        <f t="shared" si="28"/>
        <v>-60</v>
      </c>
      <c r="L240" s="40"/>
      <c r="M240" s="42">
        <f t="shared" si="29"/>
        <v>0</v>
      </c>
      <c r="O240" s="150">
        <v>235</v>
      </c>
      <c r="P240" s="150"/>
      <c r="Q240" s="150"/>
      <c r="R240" s="151" t="str">
        <f t="shared" si="34"/>
        <v/>
      </c>
      <c r="S240" s="153">
        <f t="shared" si="30"/>
        <v>-6</v>
      </c>
      <c r="T240" s="153">
        <f t="shared" si="31"/>
        <v>-60</v>
      </c>
      <c r="U240" s="151"/>
      <c r="V240" s="151">
        <f t="shared" si="32"/>
        <v>0</v>
      </c>
    </row>
    <row r="241" spans="1:22" x14ac:dyDescent="0.25">
      <c r="A241" s="61"/>
      <c r="G241" s="18"/>
      <c r="H241" s="40">
        <v>236</v>
      </c>
      <c r="I241" s="41" t="str">
        <f t="shared" si="27"/>
        <v/>
      </c>
      <c r="J241" s="40">
        <f t="shared" si="33"/>
        <v>-6</v>
      </c>
      <c r="K241" s="40">
        <f t="shared" si="28"/>
        <v>-60</v>
      </c>
      <c r="L241" s="40"/>
      <c r="M241" s="42">
        <f t="shared" si="29"/>
        <v>0</v>
      </c>
      <c r="O241" s="150">
        <v>236</v>
      </c>
      <c r="P241" s="150"/>
      <c r="Q241" s="150"/>
      <c r="R241" s="151" t="str">
        <f t="shared" si="34"/>
        <v/>
      </c>
      <c r="S241" s="153">
        <f t="shared" si="30"/>
        <v>-6</v>
      </c>
      <c r="T241" s="153">
        <f t="shared" si="31"/>
        <v>-60</v>
      </c>
      <c r="U241" s="151"/>
      <c r="V241" s="151">
        <f t="shared" si="32"/>
        <v>0</v>
      </c>
    </row>
    <row r="242" spans="1:22" x14ac:dyDescent="0.25">
      <c r="A242" s="61"/>
      <c r="G242" s="18"/>
      <c r="H242" s="40">
        <v>237</v>
      </c>
      <c r="I242" s="41" t="str">
        <f t="shared" si="27"/>
        <v/>
      </c>
      <c r="J242" s="40">
        <f t="shared" si="33"/>
        <v>-6</v>
      </c>
      <c r="K242" s="40">
        <f t="shared" si="28"/>
        <v>-60</v>
      </c>
      <c r="L242" s="40"/>
      <c r="M242" s="42">
        <f t="shared" si="29"/>
        <v>0</v>
      </c>
      <c r="O242" s="150">
        <v>237</v>
      </c>
      <c r="P242" s="150"/>
      <c r="Q242" s="150"/>
      <c r="R242" s="151" t="str">
        <f t="shared" si="34"/>
        <v/>
      </c>
      <c r="S242" s="153">
        <f t="shared" si="30"/>
        <v>-6</v>
      </c>
      <c r="T242" s="153">
        <f t="shared" si="31"/>
        <v>-60</v>
      </c>
      <c r="U242" s="151"/>
      <c r="V242" s="151">
        <f t="shared" si="32"/>
        <v>0</v>
      </c>
    </row>
    <row r="243" spans="1:22" x14ac:dyDescent="0.25">
      <c r="A243" s="61"/>
      <c r="G243" s="18"/>
      <c r="H243" s="40">
        <v>238</v>
      </c>
      <c r="I243" s="41" t="str">
        <f t="shared" si="27"/>
        <v/>
      </c>
      <c r="J243" s="40">
        <f t="shared" si="33"/>
        <v>-6</v>
      </c>
      <c r="K243" s="40">
        <f t="shared" si="28"/>
        <v>-60</v>
      </c>
      <c r="L243" s="40"/>
      <c r="M243" s="42">
        <f t="shared" si="29"/>
        <v>0</v>
      </c>
      <c r="O243" s="150">
        <v>238</v>
      </c>
      <c r="P243" s="150"/>
      <c r="Q243" s="150"/>
      <c r="R243" s="151" t="str">
        <f t="shared" si="34"/>
        <v/>
      </c>
      <c r="S243" s="153">
        <f t="shared" si="30"/>
        <v>-6</v>
      </c>
      <c r="T243" s="153">
        <f t="shared" si="31"/>
        <v>-60</v>
      </c>
      <c r="U243" s="151"/>
      <c r="V243" s="151">
        <f t="shared" si="32"/>
        <v>0</v>
      </c>
    </row>
    <row r="244" spans="1:22" x14ac:dyDescent="0.25">
      <c r="A244" s="61"/>
      <c r="G244" s="18"/>
      <c r="H244" s="40">
        <v>239</v>
      </c>
      <c r="I244" s="41" t="str">
        <f t="shared" si="27"/>
        <v/>
      </c>
      <c r="J244" s="40">
        <f t="shared" si="33"/>
        <v>-6</v>
      </c>
      <c r="K244" s="40">
        <f t="shared" si="28"/>
        <v>-60</v>
      </c>
      <c r="L244" s="40"/>
      <c r="M244" s="42">
        <f t="shared" si="29"/>
        <v>0</v>
      </c>
      <c r="O244" s="150">
        <v>239</v>
      </c>
      <c r="P244" s="150"/>
      <c r="Q244" s="150"/>
      <c r="R244" s="151" t="str">
        <f t="shared" si="34"/>
        <v/>
      </c>
      <c r="S244" s="153">
        <f t="shared" si="30"/>
        <v>-6</v>
      </c>
      <c r="T244" s="153">
        <f t="shared" si="31"/>
        <v>-60</v>
      </c>
      <c r="U244" s="151"/>
      <c r="V244" s="151">
        <f t="shared" si="32"/>
        <v>0</v>
      </c>
    </row>
    <row r="245" spans="1:22" x14ac:dyDescent="0.25">
      <c r="A245" s="61"/>
      <c r="G245" s="18"/>
      <c r="H245" s="40">
        <v>240</v>
      </c>
      <c r="I245" s="41" t="str">
        <f t="shared" si="27"/>
        <v/>
      </c>
      <c r="J245" s="40">
        <f t="shared" si="33"/>
        <v>-6</v>
      </c>
      <c r="K245" s="40">
        <f t="shared" si="28"/>
        <v>-60</v>
      </c>
      <c r="L245" s="40"/>
      <c r="M245" s="42">
        <f t="shared" si="29"/>
        <v>0</v>
      </c>
      <c r="O245" s="150">
        <v>240</v>
      </c>
      <c r="P245" s="150"/>
      <c r="Q245" s="150"/>
      <c r="R245" s="151" t="str">
        <f t="shared" si="34"/>
        <v/>
      </c>
      <c r="S245" s="153">
        <f t="shared" si="30"/>
        <v>-6</v>
      </c>
      <c r="T245" s="153">
        <f t="shared" si="31"/>
        <v>-60</v>
      </c>
      <c r="U245" s="151"/>
      <c r="V245" s="151">
        <f t="shared" si="32"/>
        <v>0</v>
      </c>
    </row>
    <row r="246" spans="1:22" x14ac:dyDescent="0.25">
      <c r="A246" s="61"/>
      <c r="G246" s="18"/>
      <c r="H246" s="40">
        <v>241</v>
      </c>
      <c r="I246" s="41" t="str">
        <f t="shared" si="27"/>
        <v/>
      </c>
      <c r="J246" s="40">
        <f t="shared" si="33"/>
        <v>-6</v>
      </c>
      <c r="K246" s="40">
        <f t="shared" si="28"/>
        <v>-60</v>
      </c>
      <c r="L246" s="40"/>
      <c r="M246" s="42">
        <f t="shared" si="29"/>
        <v>0</v>
      </c>
      <c r="O246" s="150">
        <v>241</v>
      </c>
      <c r="P246" s="150"/>
      <c r="Q246" s="150"/>
      <c r="R246" s="151" t="str">
        <f t="shared" si="34"/>
        <v/>
      </c>
      <c r="S246" s="153">
        <f t="shared" si="30"/>
        <v>-6</v>
      </c>
      <c r="T246" s="153">
        <f t="shared" si="31"/>
        <v>-60</v>
      </c>
      <c r="U246" s="151"/>
      <c r="V246" s="151">
        <f t="shared" si="32"/>
        <v>0</v>
      </c>
    </row>
    <row r="247" spans="1:22" x14ac:dyDescent="0.25">
      <c r="A247" s="61"/>
      <c r="G247" s="18"/>
      <c r="H247" s="40">
        <v>242</v>
      </c>
      <c r="I247" s="41" t="str">
        <f t="shared" si="27"/>
        <v/>
      </c>
      <c r="J247" s="40">
        <f t="shared" si="33"/>
        <v>-6</v>
      </c>
      <c r="K247" s="40">
        <f t="shared" si="28"/>
        <v>-60</v>
      </c>
      <c r="L247" s="40"/>
      <c r="M247" s="42">
        <f t="shared" si="29"/>
        <v>0</v>
      </c>
      <c r="O247" s="150">
        <v>242</v>
      </c>
      <c r="P247" s="150"/>
      <c r="Q247" s="150"/>
      <c r="R247" s="151" t="str">
        <f t="shared" si="34"/>
        <v/>
      </c>
      <c r="S247" s="153">
        <f t="shared" si="30"/>
        <v>-6</v>
      </c>
      <c r="T247" s="153">
        <f t="shared" si="31"/>
        <v>-60</v>
      </c>
      <c r="U247" s="151"/>
      <c r="V247" s="151">
        <f t="shared" si="32"/>
        <v>0</v>
      </c>
    </row>
    <row r="248" spans="1:22" x14ac:dyDescent="0.25">
      <c r="A248" s="61"/>
      <c r="G248" s="18"/>
      <c r="H248" s="40">
        <v>243</v>
      </c>
      <c r="I248" s="41" t="str">
        <f t="shared" si="27"/>
        <v/>
      </c>
      <c r="J248" s="40">
        <f t="shared" si="33"/>
        <v>-6</v>
      </c>
      <c r="K248" s="40">
        <f t="shared" si="28"/>
        <v>-60</v>
      </c>
      <c r="L248" s="40"/>
      <c r="M248" s="42">
        <f t="shared" si="29"/>
        <v>0</v>
      </c>
      <c r="O248" s="150">
        <v>243</v>
      </c>
      <c r="P248" s="150"/>
      <c r="Q248" s="150"/>
      <c r="R248" s="151" t="str">
        <f t="shared" si="34"/>
        <v/>
      </c>
      <c r="S248" s="153">
        <f t="shared" si="30"/>
        <v>-6</v>
      </c>
      <c r="T248" s="153">
        <f t="shared" si="31"/>
        <v>-60</v>
      </c>
      <c r="U248" s="151"/>
      <c r="V248" s="151">
        <f t="shared" si="32"/>
        <v>0</v>
      </c>
    </row>
    <row r="249" spans="1:22" x14ac:dyDescent="0.25">
      <c r="A249" s="61"/>
      <c r="G249" s="18"/>
      <c r="H249" s="40">
        <v>244</v>
      </c>
      <c r="I249" s="41" t="str">
        <f t="shared" si="27"/>
        <v/>
      </c>
      <c r="J249" s="40">
        <f t="shared" si="33"/>
        <v>-6</v>
      </c>
      <c r="K249" s="40">
        <f t="shared" si="28"/>
        <v>-60</v>
      </c>
      <c r="L249" s="40"/>
      <c r="M249" s="42">
        <f t="shared" si="29"/>
        <v>0</v>
      </c>
      <c r="O249" s="150">
        <v>244</v>
      </c>
      <c r="P249" s="150"/>
      <c r="Q249" s="150"/>
      <c r="R249" s="151" t="str">
        <f t="shared" si="34"/>
        <v/>
      </c>
      <c r="S249" s="153">
        <f t="shared" si="30"/>
        <v>-6</v>
      </c>
      <c r="T249" s="153">
        <f t="shared" si="31"/>
        <v>-60</v>
      </c>
      <c r="U249" s="151"/>
      <c r="V249" s="151">
        <f t="shared" si="32"/>
        <v>0</v>
      </c>
    </row>
    <row r="250" spans="1:22" x14ac:dyDescent="0.25">
      <c r="A250" s="61"/>
      <c r="G250" s="18"/>
      <c r="H250" s="40">
        <v>245</v>
      </c>
      <c r="I250" s="41" t="str">
        <f t="shared" si="27"/>
        <v/>
      </c>
      <c r="J250" s="40">
        <f t="shared" si="33"/>
        <v>-6</v>
      </c>
      <c r="K250" s="40">
        <f t="shared" si="28"/>
        <v>-60</v>
      </c>
      <c r="L250" s="40"/>
      <c r="M250" s="42">
        <f t="shared" si="29"/>
        <v>0</v>
      </c>
      <c r="O250" s="150">
        <v>245</v>
      </c>
      <c r="P250" s="150"/>
      <c r="Q250" s="150"/>
      <c r="R250" s="151" t="str">
        <f t="shared" si="34"/>
        <v/>
      </c>
      <c r="S250" s="153">
        <f t="shared" si="30"/>
        <v>-6</v>
      </c>
      <c r="T250" s="153">
        <f t="shared" si="31"/>
        <v>-60</v>
      </c>
      <c r="U250" s="151"/>
      <c r="V250" s="151">
        <f t="shared" si="32"/>
        <v>0</v>
      </c>
    </row>
    <row r="251" spans="1:22" x14ac:dyDescent="0.25">
      <c r="A251" s="61"/>
      <c r="G251" s="18"/>
      <c r="H251" s="40">
        <v>246</v>
      </c>
      <c r="I251" s="41" t="str">
        <f t="shared" si="27"/>
        <v/>
      </c>
      <c r="J251" s="40">
        <f t="shared" si="33"/>
        <v>-6</v>
      </c>
      <c r="K251" s="40">
        <f t="shared" si="28"/>
        <v>-60</v>
      </c>
      <c r="L251" s="40"/>
      <c r="M251" s="42">
        <f t="shared" si="29"/>
        <v>0</v>
      </c>
      <c r="O251" s="150">
        <v>246</v>
      </c>
      <c r="P251" s="150"/>
      <c r="Q251" s="150"/>
      <c r="R251" s="151" t="str">
        <f t="shared" si="34"/>
        <v/>
      </c>
      <c r="S251" s="153">
        <f t="shared" si="30"/>
        <v>-6</v>
      </c>
      <c r="T251" s="153">
        <f t="shared" si="31"/>
        <v>-60</v>
      </c>
      <c r="U251" s="151"/>
      <c r="V251" s="151">
        <f t="shared" si="32"/>
        <v>0</v>
      </c>
    </row>
    <row r="252" spans="1:22" x14ac:dyDescent="0.25">
      <c r="A252" s="61"/>
      <c r="G252" s="18"/>
      <c r="H252" s="40">
        <v>247</v>
      </c>
      <c r="I252" s="41" t="str">
        <f t="shared" si="27"/>
        <v/>
      </c>
      <c r="J252" s="40">
        <f t="shared" si="33"/>
        <v>-6</v>
      </c>
      <c r="K252" s="40">
        <f t="shared" si="28"/>
        <v>-60</v>
      </c>
      <c r="L252" s="40"/>
      <c r="M252" s="42">
        <f t="shared" si="29"/>
        <v>0</v>
      </c>
      <c r="O252" s="150">
        <v>247</v>
      </c>
      <c r="P252" s="150"/>
      <c r="Q252" s="150"/>
      <c r="R252" s="151" t="str">
        <f t="shared" si="34"/>
        <v/>
      </c>
      <c r="S252" s="153">
        <f t="shared" si="30"/>
        <v>-6</v>
      </c>
      <c r="T252" s="153">
        <f t="shared" si="31"/>
        <v>-60</v>
      </c>
      <c r="U252" s="151"/>
      <c r="V252" s="151">
        <f t="shared" si="32"/>
        <v>0</v>
      </c>
    </row>
    <row r="253" spans="1:22" x14ac:dyDescent="0.25">
      <c r="A253" s="61"/>
      <c r="G253" s="18"/>
      <c r="H253" s="40">
        <v>248</v>
      </c>
      <c r="I253" s="41" t="str">
        <f t="shared" si="27"/>
        <v/>
      </c>
      <c r="J253" s="40">
        <f t="shared" si="33"/>
        <v>-6</v>
      </c>
      <c r="K253" s="40">
        <f t="shared" si="28"/>
        <v>-60</v>
      </c>
      <c r="L253" s="40"/>
      <c r="M253" s="42">
        <f t="shared" si="29"/>
        <v>0</v>
      </c>
      <c r="O253" s="150">
        <v>248</v>
      </c>
      <c r="P253" s="150"/>
      <c r="Q253" s="150"/>
      <c r="R253" s="151" t="str">
        <f t="shared" si="34"/>
        <v/>
      </c>
      <c r="S253" s="153">
        <f t="shared" si="30"/>
        <v>-6</v>
      </c>
      <c r="T253" s="153">
        <f t="shared" si="31"/>
        <v>-60</v>
      </c>
      <c r="U253" s="151"/>
      <c r="V253" s="151">
        <f t="shared" si="32"/>
        <v>0</v>
      </c>
    </row>
    <row r="254" spans="1:22" x14ac:dyDescent="0.25">
      <c r="A254" s="61"/>
      <c r="G254" s="18"/>
      <c r="H254" s="40">
        <v>249</v>
      </c>
      <c r="I254" s="41" t="str">
        <f t="shared" si="27"/>
        <v/>
      </c>
      <c r="J254" s="40">
        <f t="shared" si="33"/>
        <v>-6</v>
      </c>
      <c r="K254" s="40">
        <f t="shared" si="28"/>
        <v>-60</v>
      </c>
      <c r="L254" s="40"/>
      <c r="M254" s="42">
        <f t="shared" si="29"/>
        <v>0</v>
      </c>
      <c r="O254" s="150">
        <v>249</v>
      </c>
      <c r="P254" s="150"/>
      <c r="Q254" s="150"/>
      <c r="R254" s="151" t="str">
        <f t="shared" si="34"/>
        <v/>
      </c>
      <c r="S254" s="153">
        <f t="shared" si="30"/>
        <v>-6</v>
      </c>
      <c r="T254" s="153">
        <f t="shared" si="31"/>
        <v>-60</v>
      </c>
      <c r="U254" s="151"/>
      <c r="V254" s="151">
        <f t="shared" si="32"/>
        <v>0</v>
      </c>
    </row>
    <row r="255" spans="1:22" x14ac:dyDescent="0.25">
      <c r="A255" s="61"/>
      <c r="G255" s="18"/>
      <c r="H255" s="40">
        <v>250</v>
      </c>
      <c r="I255" s="41" t="str">
        <f t="shared" si="27"/>
        <v/>
      </c>
      <c r="J255" s="40">
        <f t="shared" si="33"/>
        <v>-6</v>
      </c>
      <c r="K255" s="40">
        <f t="shared" si="28"/>
        <v>-60</v>
      </c>
      <c r="L255" s="40"/>
      <c r="M255" s="42">
        <f t="shared" si="29"/>
        <v>0</v>
      </c>
      <c r="O255" s="150">
        <v>250</v>
      </c>
      <c r="P255" s="150"/>
      <c r="Q255" s="150"/>
      <c r="R255" s="151" t="str">
        <f t="shared" si="34"/>
        <v/>
      </c>
      <c r="S255" s="153">
        <f t="shared" si="30"/>
        <v>-6</v>
      </c>
      <c r="T255" s="153">
        <f t="shared" si="31"/>
        <v>-60</v>
      </c>
      <c r="U255" s="151"/>
      <c r="V255" s="151">
        <f t="shared" si="32"/>
        <v>0</v>
      </c>
    </row>
    <row r="256" spans="1:22" x14ac:dyDescent="0.25">
      <c r="A256" s="61"/>
      <c r="G256" s="18"/>
      <c r="H256" s="40">
        <v>251</v>
      </c>
      <c r="I256" s="41" t="str">
        <f t="shared" si="27"/>
        <v/>
      </c>
      <c r="J256" s="40">
        <f t="shared" si="33"/>
        <v>-6</v>
      </c>
      <c r="K256" s="40">
        <f t="shared" si="28"/>
        <v>-60</v>
      </c>
      <c r="L256" s="40"/>
      <c r="M256" s="42">
        <f t="shared" si="29"/>
        <v>0</v>
      </c>
      <c r="O256" s="150">
        <v>251</v>
      </c>
      <c r="P256" s="150"/>
      <c r="Q256" s="150"/>
      <c r="R256" s="151" t="str">
        <f t="shared" si="34"/>
        <v/>
      </c>
      <c r="S256" s="153">
        <f t="shared" si="30"/>
        <v>-6</v>
      </c>
      <c r="T256" s="153">
        <f t="shared" si="31"/>
        <v>-60</v>
      </c>
      <c r="U256" s="151"/>
      <c r="V256" s="151">
        <f t="shared" si="32"/>
        <v>0</v>
      </c>
    </row>
    <row r="257" spans="1:22" x14ac:dyDescent="0.25">
      <c r="A257" s="61"/>
      <c r="G257" s="18"/>
      <c r="H257" s="40">
        <v>252</v>
      </c>
      <c r="I257" s="41" t="str">
        <f t="shared" si="27"/>
        <v/>
      </c>
      <c r="J257" s="40">
        <f t="shared" si="33"/>
        <v>-6</v>
      </c>
      <c r="K257" s="40">
        <f t="shared" si="28"/>
        <v>-60</v>
      </c>
      <c r="L257" s="40"/>
      <c r="M257" s="42">
        <f t="shared" si="29"/>
        <v>0</v>
      </c>
      <c r="O257" s="150">
        <v>252</v>
      </c>
      <c r="P257" s="150"/>
      <c r="Q257" s="150"/>
      <c r="R257" s="151" t="str">
        <f t="shared" si="34"/>
        <v/>
      </c>
      <c r="S257" s="153">
        <f t="shared" si="30"/>
        <v>-6</v>
      </c>
      <c r="T257" s="153">
        <f t="shared" si="31"/>
        <v>-60</v>
      </c>
      <c r="U257" s="151"/>
      <c r="V257" s="151">
        <f t="shared" si="32"/>
        <v>0</v>
      </c>
    </row>
    <row r="258" spans="1:22" x14ac:dyDescent="0.25">
      <c r="A258" s="61"/>
      <c r="G258" s="18"/>
      <c r="H258" s="40">
        <v>253</v>
      </c>
      <c r="I258" s="41" t="str">
        <f t="shared" si="27"/>
        <v/>
      </c>
      <c r="J258" s="40">
        <f t="shared" si="33"/>
        <v>-6</v>
      </c>
      <c r="K258" s="40">
        <f t="shared" si="28"/>
        <v>-60</v>
      </c>
      <c r="L258" s="40"/>
      <c r="M258" s="42">
        <f t="shared" si="29"/>
        <v>0</v>
      </c>
      <c r="O258" s="150">
        <v>253</v>
      </c>
      <c r="P258" s="150"/>
      <c r="Q258" s="150"/>
      <c r="R258" s="151" t="str">
        <f t="shared" si="34"/>
        <v/>
      </c>
      <c r="S258" s="153">
        <f t="shared" si="30"/>
        <v>-6</v>
      </c>
      <c r="T258" s="153">
        <f t="shared" si="31"/>
        <v>-60</v>
      </c>
      <c r="U258" s="151"/>
      <c r="V258" s="151">
        <f t="shared" si="32"/>
        <v>0</v>
      </c>
    </row>
    <row r="259" spans="1:22" x14ac:dyDescent="0.25">
      <c r="A259" s="61"/>
      <c r="G259" s="18"/>
      <c r="H259" s="40">
        <v>254</v>
      </c>
      <c r="I259" s="41" t="str">
        <f t="shared" si="27"/>
        <v/>
      </c>
      <c r="J259" s="40">
        <f t="shared" si="33"/>
        <v>-6</v>
      </c>
      <c r="K259" s="40">
        <f t="shared" si="28"/>
        <v>-60</v>
      </c>
      <c r="L259" s="40"/>
      <c r="M259" s="42">
        <f t="shared" si="29"/>
        <v>0</v>
      </c>
      <c r="O259" s="150">
        <v>254</v>
      </c>
      <c r="P259" s="150"/>
      <c r="Q259" s="150"/>
      <c r="R259" s="151" t="str">
        <f t="shared" si="34"/>
        <v/>
      </c>
      <c r="S259" s="153">
        <f t="shared" si="30"/>
        <v>-6</v>
      </c>
      <c r="T259" s="153">
        <f t="shared" si="31"/>
        <v>-60</v>
      </c>
      <c r="U259" s="151"/>
      <c r="V259" s="151">
        <f t="shared" si="32"/>
        <v>0</v>
      </c>
    </row>
    <row r="260" spans="1:22" x14ac:dyDescent="0.25">
      <c r="A260" s="61"/>
      <c r="G260" s="18"/>
      <c r="H260" s="40">
        <v>255</v>
      </c>
      <c r="I260" s="41" t="str">
        <f t="shared" si="27"/>
        <v/>
      </c>
      <c r="J260" s="40">
        <f t="shared" si="33"/>
        <v>-6</v>
      </c>
      <c r="K260" s="40">
        <f t="shared" si="28"/>
        <v>-60</v>
      </c>
      <c r="L260" s="40"/>
      <c r="M260" s="42">
        <f t="shared" si="29"/>
        <v>0</v>
      </c>
      <c r="O260" s="150">
        <v>255</v>
      </c>
      <c r="P260" s="150"/>
      <c r="Q260" s="150"/>
      <c r="R260" s="151" t="str">
        <f t="shared" si="34"/>
        <v/>
      </c>
      <c r="S260" s="153">
        <f t="shared" si="30"/>
        <v>-6</v>
      </c>
      <c r="T260" s="153">
        <f t="shared" si="31"/>
        <v>-60</v>
      </c>
      <c r="U260" s="151"/>
      <c r="V260" s="151">
        <f t="shared" si="32"/>
        <v>0</v>
      </c>
    </row>
    <row r="261" spans="1:22" x14ac:dyDescent="0.25">
      <c r="A261" s="61"/>
      <c r="G261" s="18"/>
      <c r="H261" s="40">
        <v>256</v>
      </c>
      <c r="I261" s="41" t="str">
        <f t="shared" si="27"/>
        <v/>
      </c>
      <c r="J261" s="40">
        <f t="shared" si="33"/>
        <v>-6</v>
      </c>
      <c r="K261" s="40">
        <f t="shared" si="28"/>
        <v>-60</v>
      </c>
      <c r="L261" s="40"/>
      <c r="M261" s="42">
        <f t="shared" si="29"/>
        <v>0</v>
      </c>
      <c r="O261" s="150">
        <v>256</v>
      </c>
      <c r="P261" s="150"/>
      <c r="Q261" s="150"/>
      <c r="R261" s="151" t="str">
        <f t="shared" si="34"/>
        <v/>
      </c>
      <c r="S261" s="153">
        <f t="shared" si="30"/>
        <v>-6</v>
      </c>
      <c r="T261" s="153">
        <f t="shared" si="31"/>
        <v>-60</v>
      </c>
      <c r="U261" s="151"/>
      <c r="V261" s="151">
        <f t="shared" si="32"/>
        <v>0</v>
      </c>
    </row>
    <row r="262" spans="1:22" x14ac:dyDescent="0.25">
      <c r="A262" s="61"/>
      <c r="G262" s="18"/>
      <c r="H262" s="40">
        <v>257</v>
      </c>
      <c r="I262" s="41" t="str">
        <f t="shared" ref="I262:I305" si="35">IF(H262&lt;$H$2+1,($I$2-($I$2-1)*(LOG(H262)/LOG($H$2))),"")</f>
        <v/>
      </c>
      <c r="J262" s="40">
        <f t="shared" si="33"/>
        <v>-7</v>
      </c>
      <c r="K262" s="40">
        <f t="shared" ref="K262:K305" si="36">J262*$J$2</f>
        <v>-70</v>
      </c>
      <c r="L262" s="40"/>
      <c r="M262" s="42">
        <f t="shared" ref="M262:M305" si="37">IF(I262&lt;&gt;"",K262+I262+L262,0)</f>
        <v>0</v>
      </c>
      <c r="O262" s="150">
        <v>257</v>
      </c>
      <c r="P262" s="150"/>
      <c r="Q262" s="150"/>
      <c r="R262" s="151" t="str">
        <f t="shared" si="34"/>
        <v/>
      </c>
      <c r="S262" s="153">
        <f t="shared" ref="S262:S305" si="38">INT(LOG($O$2,2))-ROUNDUP(LOG(O262,2),0)+IF(OR($O$2=1,$O$2=2,$O$2=4,$O$2=8,$O$2=16,$O$2=32,$O$2=64,$O$2=128,$O$2=256),0,1)</f>
        <v>-7</v>
      </c>
      <c r="T262" s="153">
        <f t="shared" ref="T262:T305" si="39">S262*$J$2</f>
        <v>-70</v>
      </c>
      <c r="U262" s="151"/>
      <c r="V262" s="151">
        <f t="shared" ref="V262:V305" si="40">IF(R262&lt;&gt;"",T262+R262+U262,0)</f>
        <v>0</v>
      </c>
    </row>
    <row r="263" spans="1:22" x14ac:dyDescent="0.25">
      <c r="A263" s="61"/>
      <c r="G263" s="18"/>
      <c r="H263" s="40">
        <v>258</v>
      </c>
      <c r="I263" s="41" t="str">
        <f t="shared" si="35"/>
        <v/>
      </c>
      <c r="J263" s="40">
        <f t="shared" ref="J263:J326" si="41">INT(LOG($H$2,2))-ROUNDUP(LOG(H263,2),0)+IF(OR($H$2=1,$H$2=2,$H$2=4,$H$2=8,$H$2=16,$H$2=32,$H$2=64,$H$2=128,$H$2=256),0,1)</f>
        <v>-7</v>
      </c>
      <c r="K263" s="40">
        <f t="shared" si="36"/>
        <v>-70</v>
      </c>
      <c r="L263" s="40"/>
      <c r="M263" s="42">
        <f t="shared" si="37"/>
        <v>0</v>
      </c>
      <c r="O263" s="150">
        <v>258</v>
      </c>
      <c r="P263" s="150"/>
      <c r="Q263" s="150"/>
      <c r="R263" s="151" t="str">
        <f t="shared" ref="R263:R305" si="42">IF(O263&lt;$O$2+1,($I$2-($I$2-1)*(LOG(O263)/LOG($O$2))),"")</f>
        <v/>
      </c>
      <c r="S263" s="153">
        <f t="shared" si="38"/>
        <v>-7</v>
      </c>
      <c r="T263" s="153">
        <f t="shared" si="39"/>
        <v>-70</v>
      </c>
      <c r="U263" s="151"/>
      <c r="V263" s="151">
        <f t="shared" si="40"/>
        <v>0</v>
      </c>
    </row>
    <row r="264" spans="1:22" x14ac:dyDescent="0.25">
      <c r="A264" s="61"/>
      <c r="G264" s="18"/>
      <c r="H264" s="40">
        <v>259</v>
      </c>
      <c r="I264" s="41" t="str">
        <f t="shared" si="35"/>
        <v/>
      </c>
      <c r="J264" s="40">
        <f t="shared" si="41"/>
        <v>-7</v>
      </c>
      <c r="K264" s="40">
        <f t="shared" si="36"/>
        <v>-70</v>
      </c>
      <c r="L264" s="40"/>
      <c r="M264" s="42">
        <f t="shared" si="37"/>
        <v>0</v>
      </c>
      <c r="O264" s="150">
        <v>259</v>
      </c>
      <c r="P264" s="150"/>
      <c r="Q264" s="150"/>
      <c r="R264" s="151" t="str">
        <f t="shared" si="42"/>
        <v/>
      </c>
      <c r="S264" s="153">
        <f t="shared" si="38"/>
        <v>-7</v>
      </c>
      <c r="T264" s="153">
        <f t="shared" si="39"/>
        <v>-70</v>
      </c>
      <c r="U264" s="151"/>
      <c r="V264" s="151">
        <f t="shared" si="40"/>
        <v>0</v>
      </c>
    </row>
    <row r="265" spans="1:22" x14ac:dyDescent="0.25">
      <c r="A265" s="61"/>
      <c r="G265" s="18"/>
      <c r="H265" s="40">
        <v>260</v>
      </c>
      <c r="I265" s="41" t="str">
        <f t="shared" si="35"/>
        <v/>
      </c>
      <c r="J265" s="40">
        <f t="shared" si="41"/>
        <v>-7</v>
      </c>
      <c r="K265" s="40">
        <f t="shared" si="36"/>
        <v>-70</v>
      </c>
      <c r="L265" s="40"/>
      <c r="M265" s="42">
        <f t="shared" si="37"/>
        <v>0</v>
      </c>
      <c r="O265" s="150">
        <v>260</v>
      </c>
      <c r="P265" s="150"/>
      <c r="Q265" s="150"/>
      <c r="R265" s="151" t="str">
        <f t="shared" si="42"/>
        <v/>
      </c>
      <c r="S265" s="153">
        <f t="shared" si="38"/>
        <v>-7</v>
      </c>
      <c r="T265" s="153">
        <f t="shared" si="39"/>
        <v>-70</v>
      </c>
      <c r="U265" s="151"/>
      <c r="V265" s="151">
        <f t="shared" si="40"/>
        <v>0</v>
      </c>
    </row>
    <row r="266" spans="1:22" x14ac:dyDescent="0.25">
      <c r="A266" s="61"/>
      <c r="G266" s="18"/>
      <c r="H266" s="40">
        <v>261</v>
      </c>
      <c r="I266" s="41" t="str">
        <f t="shared" si="35"/>
        <v/>
      </c>
      <c r="J266" s="40">
        <f t="shared" si="41"/>
        <v>-7</v>
      </c>
      <c r="K266" s="40">
        <f t="shared" si="36"/>
        <v>-70</v>
      </c>
      <c r="L266" s="40"/>
      <c r="M266" s="42">
        <f t="shared" si="37"/>
        <v>0</v>
      </c>
      <c r="O266" s="150">
        <v>261</v>
      </c>
      <c r="P266" s="150"/>
      <c r="Q266" s="150"/>
      <c r="R266" s="151" t="str">
        <f t="shared" si="42"/>
        <v/>
      </c>
      <c r="S266" s="153">
        <f t="shared" si="38"/>
        <v>-7</v>
      </c>
      <c r="T266" s="153">
        <f t="shared" si="39"/>
        <v>-70</v>
      </c>
      <c r="U266" s="151"/>
      <c r="V266" s="151">
        <f t="shared" si="40"/>
        <v>0</v>
      </c>
    </row>
    <row r="267" spans="1:22" x14ac:dyDescent="0.25">
      <c r="A267" s="61"/>
      <c r="G267" s="18"/>
      <c r="H267" s="40">
        <v>262</v>
      </c>
      <c r="I267" s="41" t="str">
        <f t="shared" si="35"/>
        <v/>
      </c>
      <c r="J267" s="40">
        <f t="shared" si="41"/>
        <v>-7</v>
      </c>
      <c r="K267" s="40">
        <f t="shared" si="36"/>
        <v>-70</v>
      </c>
      <c r="L267" s="40"/>
      <c r="M267" s="42">
        <f t="shared" si="37"/>
        <v>0</v>
      </c>
      <c r="O267" s="150">
        <v>262</v>
      </c>
      <c r="P267" s="150"/>
      <c r="Q267" s="150"/>
      <c r="R267" s="151" t="str">
        <f t="shared" si="42"/>
        <v/>
      </c>
      <c r="S267" s="153">
        <f t="shared" si="38"/>
        <v>-7</v>
      </c>
      <c r="T267" s="153">
        <f t="shared" si="39"/>
        <v>-70</v>
      </c>
      <c r="U267" s="151"/>
      <c r="V267" s="151">
        <f t="shared" si="40"/>
        <v>0</v>
      </c>
    </row>
    <row r="268" spans="1:22" x14ac:dyDescent="0.25">
      <c r="A268" s="61"/>
      <c r="G268" s="18"/>
      <c r="H268" s="40">
        <v>263</v>
      </c>
      <c r="I268" s="41" t="str">
        <f t="shared" si="35"/>
        <v/>
      </c>
      <c r="J268" s="40">
        <f t="shared" si="41"/>
        <v>-7</v>
      </c>
      <c r="K268" s="40">
        <f t="shared" si="36"/>
        <v>-70</v>
      </c>
      <c r="L268" s="40"/>
      <c r="M268" s="42">
        <f t="shared" si="37"/>
        <v>0</v>
      </c>
      <c r="O268" s="150">
        <v>263</v>
      </c>
      <c r="P268" s="150"/>
      <c r="Q268" s="150"/>
      <c r="R268" s="151" t="str">
        <f t="shared" si="42"/>
        <v/>
      </c>
      <c r="S268" s="153">
        <f t="shared" si="38"/>
        <v>-7</v>
      </c>
      <c r="T268" s="153">
        <f t="shared" si="39"/>
        <v>-70</v>
      </c>
      <c r="U268" s="151"/>
      <c r="V268" s="151">
        <f t="shared" si="40"/>
        <v>0</v>
      </c>
    </row>
    <row r="269" spans="1:22" x14ac:dyDescent="0.25">
      <c r="A269" s="61"/>
      <c r="G269" s="18"/>
      <c r="H269" s="40">
        <v>264</v>
      </c>
      <c r="I269" s="41" t="str">
        <f t="shared" si="35"/>
        <v/>
      </c>
      <c r="J269" s="40">
        <f t="shared" si="41"/>
        <v>-7</v>
      </c>
      <c r="K269" s="40">
        <f t="shared" si="36"/>
        <v>-70</v>
      </c>
      <c r="L269" s="40"/>
      <c r="M269" s="42">
        <f t="shared" si="37"/>
        <v>0</v>
      </c>
      <c r="O269" s="150">
        <v>264</v>
      </c>
      <c r="P269" s="150"/>
      <c r="Q269" s="150"/>
      <c r="R269" s="151" t="str">
        <f t="shared" si="42"/>
        <v/>
      </c>
      <c r="S269" s="153">
        <f t="shared" si="38"/>
        <v>-7</v>
      </c>
      <c r="T269" s="153">
        <f t="shared" si="39"/>
        <v>-70</v>
      </c>
      <c r="U269" s="151"/>
      <c r="V269" s="151">
        <f t="shared" si="40"/>
        <v>0</v>
      </c>
    </row>
    <row r="270" spans="1:22" x14ac:dyDescent="0.25">
      <c r="A270" s="61"/>
      <c r="G270" s="18"/>
      <c r="H270" s="40">
        <v>265</v>
      </c>
      <c r="I270" s="41" t="str">
        <f t="shared" si="35"/>
        <v/>
      </c>
      <c r="J270" s="40">
        <f t="shared" si="41"/>
        <v>-7</v>
      </c>
      <c r="K270" s="40">
        <f t="shared" si="36"/>
        <v>-70</v>
      </c>
      <c r="L270" s="40"/>
      <c r="M270" s="42">
        <f t="shared" si="37"/>
        <v>0</v>
      </c>
      <c r="O270" s="150">
        <v>265</v>
      </c>
      <c r="P270" s="150"/>
      <c r="Q270" s="150"/>
      <c r="R270" s="151" t="str">
        <f t="shared" si="42"/>
        <v/>
      </c>
      <c r="S270" s="153">
        <f t="shared" si="38"/>
        <v>-7</v>
      </c>
      <c r="T270" s="153">
        <f t="shared" si="39"/>
        <v>-70</v>
      </c>
      <c r="U270" s="151"/>
      <c r="V270" s="151">
        <f t="shared" si="40"/>
        <v>0</v>
      </c>
    </row>
    <row r="271" spans="1:22" x14ac:dyDescent="0.25">
      <c r="A271" s="61"/>
      <c r="G271" s="18"/>
      <c r="H271" s="40">
        <v>266</v>
      </c>
      <c r="I271" s="41" t="str">
        <f t="shared" si="35"/>
        <v/>
      </c>
      <c r="J271" s="40">
        <f t="shared" si="41"/>
        <v>-7</v>
      </c>
      <c r="K271" s="40">
        <f t="shared" si="36"/>
        <v>-70</v>
      </c>
      <c r="L271" s="40"/>
      <c r="M271" s="42">
        <f t="shared" si="37"/>
        <v>0</v>
      </c>
      <c r="O271" s="150">
        <v>266</v>
      </c>
      <c r="P271" s="150"/>
      <c r="Q271" s="150"/>
      <c r="R271" s="151" t="str">
        <f t="shared" si="42"/>
        <v/>
      </c>
      <c r="S271" s="153">
        <f t="shared" si="38"/>
        <v>-7</v>
      </c>
      <c r="T271" s="153">
        <f t="shared" si="39"/>
        <v>-70</v>
      </c>
      <c r="U271" s="151"/>
      <c r="V271" s="151">
        <f t="shared" si="40"/>
        <v>0</v>
      </c>
    </row>
    <row r="272" spans="1:22" x14ac:dyDescent="0.25">
      <c r="A272" s="61"/>
      <c r="G272" s="18"/>
      <c r="H272" s="40">
        <v>267</v>
      </c>
      <c r="I272" s="41" t="str">
        <f t="shared" si="35"/>
        <v/>
      </c>
      <c r="J272" s="40">
        <f t="shared" si="41"/>
        <v>-7</v>
      </c>
      <c r="K272" s="40">
        <f t="shared" si="36"/>
        <v>-70</v>
      </c>
      <c r="L272" s="40"/>
      <c r="M272" s="42">
        <f t="shared" si="37"/>
        <v>0</v>
      </c>
      <c r="O272" s="150">
        <v>267</v>
      </c>
      <c r="P272" s="150"/>
      <c r="Q272" s="150"/>
      <c r="R272" s="151" t="str">
        <f t="shared" si="42"/>
        <v/>
      </c>
      <c r="S272" s="153">
        <f t="shared" si="38"/>
        <v>-7</v>
      </c>
      <c r="T272" s="153">
        <f t="shared" si="39"/>
        <v>-70</v>
      </c>
      <c r="U272" s="151"/>
      <c r="V272" s="151">
        <f t="shared" si="40"/>
        <v>0</v>
      </c>
    </row>
    <row r="273" spans="1:22" x14ac:dyDescent="0.25">
      <c r="A273" s="61"/>
      <c r="G273" s="18"/>
      <c r="H273" s="40">
        <v>268</v>
      </c>
      <c r="I273" s="41" t="str">
        <f t="shared" si="35"/>
        <v/>
      </c>
      <c r="J273" s="40">
        <f t="shared" si="41"/>
        <v>-7</v>
      </c>
      <c r="K273" s="40">
        <f t="shared" si="36"/>
        <v>-70</v>
      </c>
      <c r="L273" s="40"/>
      <c r="M273" s="42">
        <f t="shared" si="37"/>
        <v>0</v>
      </c>
      <c r="O273" s="150">
        <v>268</v>
      </c>
      <c r="P273" s="150"/>
      <c r="Q273" s="150"/>
      <c r="R273" s="151" t="str">
        <f t="shared" si="42"/>
        <v/>
      </c>
      <c r="S273" s="153">
        <f t="shared" si="38"/>
        <v>-7</v>
      </c>
      <c r="T273" s="153">
        <f t="shared" si="39"/>
        <v>-70</v>
      </c>
      <c r="U273" s="151"/>
      <c r="V273" s="151">
        <f t="shared" si="40"/>
        <v>0</v>
      </c>
    </row>
    <row r="274" spans="1:22" x14ac:dyDescent="0.25">
      <c r="A274" s="61"/>
      <c r="G274" s="18"/>
      <c r="H274" s="40">
        <v>269</v>
      </c>
      <c r="I274" s="41" t="str">
        <f t="shared" si="35"/>
        <v/>
      </c>
      <c r="J274" s="40">
        <f t="shared" si="41"/>
        <v>-7</v>
      </c>
      <c r="K274" s="40">
        <f t="shared" si="36"/>
        <v>-70</v>
      </c>
      <c r="L274" s="40"/>
      <c r="M274" s="42">
        <f t="shared" si="37"/>
        <v>0</v>
      </c>
      <c r="O274" s="150">
        <v>269</v>
      </c>
      <c r="P274" s="150"/>
      <c r="Q274" s="150"/>
      <c r="R274" s="151" t="str">
        <f t="shared" si="42"/>
        <v/>
      </c>
      <c r="S274" s="153">
        <f t="shared" si="38"/>
        <v>-7</v>
      </c>
      <c r="T274" s="153">
        <f t="shared" si="39"/>
        <v>-70</v>
      </c>
      <c r="U274" s="151"/>
      <c r="V274" s="151">
        <f t="shared" si="40"/>
        <v>0</v>
      </c>
    </row>
    <row r="275" spans="1:22" x14ac:dyDescent="0.25">
      <c r="A275" s="61"/>
      <c r="G275" s="18"/>
      <c r="H275" s="40">
        <v>270</v>
      </c>
      <c r="I275" s="41" t="str">
        <f t="shared" si="35"/>
        <v/>
      </c>
      <c r="J275" s="40">
        <f t="shared" si="41"/>
        <v>-7</v>
      </c>
      <c r="K275" s="40">
        <f t="shared" si="36"/>
        <v>-70</v>
      </c>
      <c r="L275" s="40"/>
      <c r="M275" s="42">
        <f t="shared" si="37"/>
        <v>0</v>
      </c>
      <c r="O275" s="150">
        <v>270</v>
      </c>
      <c r="P275" s="150"/>
      <c r="Q275" s="150"/>
      <c r="R275" s="151" t="str">
        <f t="shared" si="42"/>
        <v/>
      </c>
      <c r="S275" s="153">
        <f t="shared" si="38"/>
        <v>-7</v>
      </c>
      <c r="T275" s="153">
        <f t="shared" si="39"/>
        <v>-70</v>
      </c>
      <c r="U275" s="151"/>
      <c r="V275" s="151">
        <f t="shared" si="40"/>
        <v>0</v>
      </c>
    </row>
    <row r="276" spans="1:22" x14ac:dyDescent="0.25">
      <c r="A276" s="61"/>
      <c r="G276" s="18"/>
      <c r="H276" s="40">
        <v>271</v>
      </c>
      <c r="I276" s="41" t="str">
        <f t="shared" si="35"/>
        <v/>
      </c>
      <c r="J276" s="40">
        <f t="shared" si="41"/>
        <v>-7</v>
      </c>
      <c r="K276" s="40">
        <f t="shared" si="36"/>
        <v>-70</v>
      </c>
      <c r="L276" s="40"/>
      <c r="M276" s="42">
        <f t="shared" si="37"/>
        <v>0</v>
      </c>
      <c r="O276" s="150">
        <v>271</v>
      </c>
      <c r="P276" s="150"/>
      <c r="Q276" s="150"/>
      <c r="R276" s="151" t="str">
        <f t="shared" si="42"/>
        <v/>
      </c>
      <c r="S276" s="153">
        <f t="shared" si="38"/>
        <v>-7</v>
      </c>
      <c r="T276" s="153">
        <f t="shared" si="39"/>
        <v>-70</v>
      </c>
      <c r="U276" s="151"/>
      <c r="V276" s="151">
        <f t="shared" si="40"/>
        <v>0</v>
      </c>
    </row>
    <row r="277" spans="1:22" x14ac:dyDescent="0.25">
      <c r="A277" s="61"/>
      <c r="G277" s="18"/>
      <c r="H277" s="40">
        <v>272</v>
      </c>
      <c r="I277" s="41" t="str">
        <f t="shared" si="35"/>
        <v/>
      </c>
      <c r="J277" s="40">
        <f t="shared" si="41"/>
        <v>-7</v>
      </c>
      <c r="K277" s="40">
        <f t="shared" si="36"/>
        <v>-70</v>
      </c>
      <c r="L277" s="40"/>
      <c r="M277" s="42">
        <f t="shared" si="37"/>
        <v>0</v>
      </c>
      <c r="O277" s="150">
        <v>272</v>
      </c>
      <c r="P277" s="150"/>
      <c r="Q277" s="150"/>
      <c r="R277" s="151" t="str">
        <f t="shared" si="42"/>
        <v/>
      </c>
      <c r="S277" s="153">
        <f t="shared" si="38"/>
        <v>-7</v>
      </c>
      <c r="T277" s="153">
        <f t="shared" si="39"/>
        <v>-70</v>
      </c>
      <c r="U277" s="151"/>
      <c r="V277" s="151">
        <f t="shared" si="40"/>
        <v>0</v>
      </c>
    </row>
    <row r="278" spans="1:22" x14ac:dyDescent="0.25">
      <c r="A278" s="61"/>
      <c r="G278" s="18"/>
      <c r="H278" s="40">
        <v>273</v>
      </c>
      <c r="I278" s="41" t="str">
        <f t="shared" si="35"/>
        <v/>
      </c>
      <c r="J278" s="40">
        <f t="shared" si="41"/>
        <v>-7</v>
      </c>
      <c r="K278" s="40">
        <f t="shared" si="36"/>
        <v>-70</v>
      </c>
      <c r="L278" s="40"/>
      <c r="M278" s="42">
        <f t="shared" si="37"/>
        <v>0</v>
      </c>
      <c r="O278" s="150">
        <v>273</v>
      </c>
      <c r="P278" s="150"/>
      <c r="Q278" s="150"/>
      <c r="R278" s="151" t="str">
        <f t="shared" si="42"/>
        <v/>
      </c>
      <c r="S278" s="153">
        <f t="shared" si="38"/>
        <v>-7</v>
      </c>
      <c r="T278" s="153">
        <f t="shared" si="39"/>
        <v>-70</v>
      </c>
      <c r="U278" s="151"/>
      <c r="V278" s="151">
        <f t="shared" si="40"/>
        <v>0</v>
      </c>
    </row>
    <row r="279" spans="1:22" x14ac:dyDescent="0.25">
      <c r="A279" s="61"/>
      <c r="G279" s="18"/>
      <c r="H279" s="40">
        <v>274</v>
      </c>
      <c r="I279" s="41" t="str">
        <f t="shared" si="35"/>
        <v/>
      </c>
      <c r="J279" s="40">
        <f t="shared" si="41"/>
        <v>-7</v>
      </c>
      <c r="K279" s="40">
        <f t="shared" si="36"/>
        <v>-70</v>
      </c>
      <c r="L279" s="40"/>
      <c r="M279" s="42">
        <f t="shared" si="37"/>
        <v>0</v>
      </c>
      <c r="O279" s="150">
        <v>274</v>
      </c>
      <c r="P279" s="150"/>
      <c r="Q279" s="150"/>
      <c r="R279" s="151" t="str">
        <f t="shared" si="42"/>
        <v/>
      </c>
      <c r="S279" s="153">
        <f t="shared" si="38"/>
        <v>-7</v>
      </c>
      <c r="T279" s="153">
        <f t="shared" si="39"/>
        <v>-70</v>
      </c>
      <c r="U279" s="151"/>
      <c r="V279" s="151">
        <f t="shared" si="40"/>
        <v>0</v>
      </c>
    </row>
    <row r="280" spans="1:22" x14ac:dyDescent="0.25">
      <c r="A280" s="61"/>
      <c r="G280" s="18"/>
      <c r="H280" s="40">
        <v>275</v>
      </c>
      <c r="I280" s="41" t="str">
        <f t="shared" si="35"/>
        <v/>
      </c>
      <c r="J280" s="40">
        <f t="shared" si="41"/>
        <v>-7</v>
      </c>
      <c r="K280" s="40">
        <f t="shared" si="36"/>
        <v>-70</v>
      </c>
      <c r="L280" s="40"/>
      <c r="M280" s="42">
        <f t="shared" si="37"/>
        <v>0</v>
      </c>
      <c r="O280" s="150">
        <v>275</v>
      </c>
      <c r="P280" s="150"/>
      <c r="Q280" s="150"/>
      <c r="R280" s="151" t="str">
        <f t="shared" si="42"/>
        <v/>
      </c>
      <c r="S280" s="153">
        <f t="shared" si="38"/>
        <v>-7</v>
      </c>
      <c r="T280" s="153">
        <f t="shared" si="39"/>
        <v>-70</v>
      </c>
      <c r="U280" s="151"/>
      <c r="V280" s="151">
        <f t="shared" si="40"/>
        <v>0</v>
      </c>
    </row>
    <row r="281" spans="1:22" x14ac:dyDescent="0.25">
      <c r="A281" s="61"/>
      <c r="G281" s="18"/>
      <c r="H281" s="40">
        <v>276</v>
      </c>
      <c r="I281" s="41" t="str">
        <f t="shared" si="35"/>
        <v/>
      </c>
      <c r="J281" s="40">
        <f t="shared" si="41"/>
        <v>-7</v>
      </c>
      <c r="K281" s="40">
        <f t="shared" si="36"/>
        <v>-70</v>
      </c>
      <c r="L281" s="40"/>
      <c r="M281" s="42">
        <f t="shared" si="37"/>
        <v>0</v>
      </c>
      <c r="O281" s="150">
        <v>276</v>
      </c>
      <c r="P281" s="150"/>
      <c r="Q281" s="150"/>
      <c r="R281" s="151" t="str">
        <f t="shared" si="42"/>
        <v/>
      </c>
      <c r="S281" s="153">
        <f t="shared" si="38"/>
        <v>-7</v>
      </c>
      <c r="T281" s="153">
        <f t="shared" si="39"/>
        <v>-70</v>
      </c>
      <c r="U281" s="151"/>
      <c r="V281" s="151">
        <f t="shared" si="40"/>
        <v>0</v>
      </c>
    </row>
    <row r="282" spans="1:22" x14ac:dyDescent="0.25">
      <c r="A282" s="61"/>
      <c r="G282" s="18"/>
      <c r="H282" s="40">
        <v>277</v>
      </c>
      <c r="I282" s="41" t="str">
        <f t="shared" si="35"/>
        <v/>
      </c>
      <c r="J282" s="40">
        <f t="shared" si="41"/>
        <v>-7</v>
      </c>
      <c r="K282" s="40">
        <f t="shared" si="36"/>
        <v>-70</v>
      </c>
      <c r="L282" s="40"/>
      <c r="M282" s="42">
        <f t="shared" si="37"/>
        <v>0</v>
      </c>
      <c r="O282" s="150">
        <v>277</v>
      </c>
      <c r="P282" s="150"/>
      <c r="Q282" s="150"/>
      <c r="R282" s="151" t="str">
        <f t="shared" si="42"/>
        <v/>
      </c>
      <c r="S282" s="153">
        <f t="shared" si="38"/>
        <v>-7</v>
      </c>
      <c r="T282" s="153">
        <f t="shared" si="39"/>
        <v>-70</v>
      </c>
      <c r="U282" s="151"/>
      <c r="V282" s="151">
        <f t="shared" si="40"/>
        <v>0</v>
      </c>
    </row>
    <row r="283" spans="1:22" x14ac:dyDescent="0.25">
      <c r="A283" s="61"/>
      <c r="G283" s="18"/>
      <c r="H283" s="40">
        <v>278</v>
      </c>
      <c r="I283" s="41" t="str">
        <f t="shared" si="35"/>
        <v/>
      </c>
      <c r="J283" s="40">
        <f t="shared" si="41"/>
        <v>-7</v>
      </c>
      <c r="K283" s="40">
        <f t="shared" si="36"/>
        <v>-70</v>
      </c>
      <c r="L283" s="40"/>
      <c r="M283" s="42">
        <f t="shared" si="37"/>
        <v>0</v>
      </c>
      <c r="O283" s="150">
        <v>278</v>
      </c>
      <c r="P283" s="150"/>
      <c r="Q283" s="150"/>
      <c r="R283" s="151" t="str">
        <f t="shared" si="42"/>
        <v/>
      </c>
      <c r="S283" s="153">
        <f t="shared" si="38"/>
        <v>-7</v>
      </c>
      <c r="T283" s="153">
        <f t="shared" si="39"/>
        <v>-70</v>
      </c>
      <c r="U283" s="151"/>
      <c r="V283" s="151">
        <f t="shared" si="40"/>
        <v>0</v>
      </c>
    </row>
    <row r="284" spans="1:22" x14ac:dyDescent="0.25">
      <c r="A284" s="61"/>
      <c r="G284" s="18"/>
      <c r="H284" s="40">
        <v>279</v>
      </c>
      <c r="I284" s="41" t="str">
        <f t="shared" si="35"/>
        <v/>
      </c>
      <c r="J284" s="40">
        <f t="shared" si="41"/>
        <v>-7</v>
      </c>
      <c r="K284" s="40">
        <f t="shared" si="36"/>
        <v>-70</v>
      </c>
      <c r="L284" s="40"/>
      <c r="M284" s="42">
        <f t="shared" si="37"/>
        <v>0</v>
      </c>
      <c r="O284" s="150">
        <v>279</v>
      </c>
      <c r="P284" s="150"/>
      <c r="Q284" s="150"/>
      <c r="R284" s="151" t="str">
        <f t="shared" si="42"/>
        <v/>
      </c>
      <c r="S284" s="153">
        <f t="shared" si="38"/>
        <v>-7</v>
      </c>
      <c r="T284" s="153">
        <f t="shared" si="39"/>
        <v>-70</v>
      </c>
      <c r="U284" s="151"/>
      <c r="V284" s="151">
        <f t="shared" si="40"/>
        <v>0</v>
      </c>
    </row>
    <row r="285" spans="1:22" x14ac:dyDescent="0.25">
      <c r="A285" s="61"/>
      <c r="G285" s="18"/>
      <c r="H285" s="40">
        <v>280</v>
      </c>
      <c r="I285" s="41" t="str">
        <f t="shared" si="35"/>
        <v/>
      </c>
      <c r="J285" s="40">
        <f t="shared" si="41"/>
        <v>-7</v>
      </c>
      <c r="K285" s="40">
        <f t="shared" si="36"/>
        <v>-70</v>
      </c>
      <c r="L285" s="40"/>
      <c r="M285" s="42">
        <f t="shared" si="37"/>
        <v>0</v>
      </c>
      <c r="O285" s="150">
        <v>280</v>
      </c>
      <c r="P285" s="150"/>
      <c r="Q285" s="150"/>
      <c r="R285" s="151" t="str">
        <f t="shared" si="42"/>
        <v/>
      </c>
      <c r="S285" s="153">
        <f t="shared" si="38"/>
        <v>-7</v>
      </c>
      <c r="T285" s="153">
        <f t="shared" si="39"/>
        <v>-70</v>
      </c>
      <c r="U285" s="151"/>
      <c r="V285" s="151">
        <f t="shared" si="40"/>
        <v>0</v>
      </c>
    </row>
    <row r="286" spans="1:22" x14ac:dyDescent="0.25">
      <c r="A286" s="61"/>
      <c r="G286" s="18"/>
      <c r="H286" s="40">
        <v>281</v>
      </c>
      <c r="I286" s="41" t="str">
        <f t="shared" si="35"/>
        <v/>
      </c>
      <c r="J286" s="40">
        <f t="shared" si="41"/>
        <v>-7</v>
      </c>
      <c r="K286" s="40">
        <f t="shared" si="36"/>
        <v>-70</v>
      </c>
      <c r="L286" s="40"/>
      <c r="M286" s="42">
        <f t="shared" si="37"/>
        <v>0</v>
      </c>
      <c r="O286" s="150">
        <v>281</v>
      </c>
      <c r="P286" s="150"/>
      <c r="Q286" s="150"/>
      <c r="R286" s="151" t="str">
        <f t="shared" si="42"/>
        <v/>
      </c>
      <c r="S286" s="153">
        <f t="shared" si="38"/>
        <v>-7</v>
      </c>
      <c r="T286" s="153">
        <f t="shared" si="39"/>
        <v>-70</v>
      </c>
      <c r="U286" s="151"/>
      <c r="V286" s="151">
        <f t="shared" si="40"/>
        <v>0</v>
      </c>
    </row>
    <row r="287" spans="1:22" x14ac:dyDescent="0.25">
      <c r="A287" s="61"/>
      <c r="G287" s="18"/>
      <c r="H287" s="40">
        <v>282</v>
      </c>
      <c r="I287" s="41" t="str">
        <f t="shared" si="35"/>
        <v/>
      </c>
      <c r="J287" s="40">
        <f t="shared" si="41"/>
        <v>-7</v>
      </c>
      <c r="K287" s="40">
        <f t="shared" si="36"/>
        <v>-70</v>
      </c>
      <c r="L287" s="40"/>
      <c r="M287" s="42">
        <f t="shared" si="37"/>
        <v>0</v>
      </c>
      <c r="O287" s="150">
        <v>282</v>
      </c>
      <c r="P287" s="150"/>
      <c r="Q287" s="150"/>
      <c r="R287" s="151" t="str">
        <f t="shared" si="42"/>
        <v/>
      </c>
      <c r="S287" s="153">
        <f t="shared" si="38"/>
        <v>-7</v>
      </c>
      <c r="T287" s="153">
        <f t="shared" si="39"/>
        <v>-70</v>
      </c>
      <c r="U287" s="151"/>
      <c r="V287" s="151">
        <f t="shared" si="40"/>
        <v>0</v>
      </c>
    </row>
    <row r="288" spans="1:22" x14ac:dyDescent="0.25">
      <c r="A288" s="61"/>
      <c r="G288" s="18"/>
      <c r="H288" s="40">
        <v>283</v>
      </c>
      <c r="I288" s="41" t="str">
        <f t="shared" si="35"/>
        <v/>
      </c>
      <c r="J288" s="40">
        <f t="shared" si="41"/>
        <v>-7</v>
      </c>
      <c r="K288" s="40">
        <f t="shared" si="36"/>
        <v>-70</v>
      </c>
      <c r="L288" s="40"/>
      <c r="M288" s="42">
        <f t="shared" si="37"/>
        <v>0</v>
      </c>
      <c r="O288" s="150">
        <v>283</v>
      </c>
      <c r="P288" s="150"/>
      <c r="Q288" s="150"/>
      <c r="R288" s="151" t="str">
        <f t="shared" si="42"/>
        <v/>
      </c>
      <c r="S288" s="153">
        <f t="shared" si="38"/>
        <v>-7</v>
      </c>
      <c r="T288" s="153">
        <f t="shared" si="39"/>
        <v>-70</v>
      </c>
      <c r="U288" s="151"/>
      <c r="V288" s="151">
        <f t="shared" si="40"/>
        <v>0</v>
      </c>
    </row>
    <row r="289" spans="1:22" x14ac:dyDescent="0.25">
      <c r="A289" s="61"/>
      <c r="G289" s="18"/>
      <c r="H289" s="40">
        <v>284</v>
      </c>
      <c r="I289" s="41" t="str">
        <f t="shared" si="35"/>
        <v/>
      </c>
      <c r="J289" s="40">
        <f t="shared" si="41"/>
        <v>-7</v>
      </c>
      <c r="K289" s="40">
        <f t="shared" si="36"/>
        <v>-70</v>
      </c>
      <c r="L289" s="40"/>
      <c r="M289" s="42">
        <f t="shared" si="37"/>
        <v>0</v>
      </c>
      <c r="O289" s="150">
        <v>284</v>
      </c>
      <c r="P289" s="150"/>
      <c r="Q289" s="150"/>
      <c r="R289" s="151" t="str">
        <f t="shared" si="42"/>
        <v/>
      </c>
      <c r="S289" s="153">
        <f t="shared" si="38"/>
        <v>-7</v>
      </c>
      <c r="T289" s="153">
        <f t="shared" si="39"/>
        <v>-70</v>
      </c>
      <c r="U289" s="151"/>
      <c r="V289" s="151">
        <f t="shared" si="40"/>
        <v>0</v>
      </c>
    </row>
    <row r="290" spans="1:22" x14ac:dyDescent="0.25">
      <c r="A290" s="61"/>
      <c r="G290" s="18"/>
      <c r="H290" s="40">
        <v>285</v>
      </c>
      <c r="I290" s="41" t="str">
        <f t="shared" si="35"/>
        <v/>
      </c>
      <c r="J290" s="40">
        <f t="shared" si="41"/>
        <v>-7</v>
      </c>
      <c r="K290" s="40">
        <f t="shared" si="36"/>
        <v>-70</v>
      </c>
      <c r="L290" s="40"/>
      <c r="M290" s="42">
        <f t="shared" si="37"/>
        <v>0</v>
      </c>
      <c r="O290" s="150">
        <v>285</v>
      </c>
      <c r="P290" s="150"/>
      <c r="Q290" s="150"/>
      <c r="R290" s="151" t="str">
        <f t="shared" si="42"/>
        <v/>
      </c>
      <c r="S290" s="153">
        <f t="shared" si="38"/>
        <v>-7</v>
      </c>
      <c r="T290" s="153">
        <f t="shared" si="39"/>
        <v>-70</v>
      </c>
      <c r="U290" s="151"/>
      <c r="V290" s="151">
        <f t="shared" si="40"/>
        <v>0</v>
      </c>
    </row>
    <row r="291" spans="1:22" x14ac:dyDescent="0.25">
      <c r="A291" s="61"/>
      <c r="G291" s="18"/>
      <c r="H291" s="40">
        <v>286</v>
      </c>
      <c r="I291" s="41" t="str">
        <f t="shared" si="35"/>
        <v/>
      </c>
      <c r="J291" s="40">
        <f t="shared" si="41"/>
        <v>-7</v>
      </c>
      <c r="K291" s="40">
        <f t="shared" si="36"/>
        <v>-70</v>
      </c>
      <c r="L291" s="40"/>
      <c r="M291" s="42">
        <f t="shared" si="37"/>
        <v>0</v>
      </c>
      <c r="O291" s="150">
        <v>286</v>
      </c>
      <c r="P291" s="150"/>
      <c r="Q291" s="150"/>
      <c r="R291" s="151" t="str">
        <f t="shared" si="42"/>
        <v/>
      </c>
      <c r="S291" s="153">
        <f t="shared" si="38"/>
        <v>-7</v>
      </c>
      <c r="T291" s="153">
        <f t="shared" si="39"/>
        <v>-70</v>
      </c>
      <c r="U291" s="151"/>
      <c r="V291" s="151">
        <f t="shared" si="40"/>
        <v>0</v>
      </c>
    </row>
    <row r="292" spans="1:22" x14ac:dyDescent="0.25">
      <c r="A292" s="61"/>
      <c r="G292" s="18"/>
      <c r="H292" s="40">
        <v>287</v>
      </c>
      <c r="I292" s="41" t="str">
        <f t="shared" si="35"/>
        <v/>
      </c>
      <c r="J292" s="40">
        <f t="shared" si="41"/>
        <v>-7</v>
      </c>
      <c r="K292" s="40">
        <f t="shared" si="36"/>
        <v>-70</v>
      </c>
      <c r="L292" s="40"/>
      <c r="M292" s="42">
        <f t="shared" si="37"/>
        <v>0</v>
      </c>
      <c r="O292" s="150">
        <v>287</v>
      </c>
      <c r="P292" s="150"/>
      <c r="Q292" s="150"/>
      <c r="R292" s="151" t="str">
        <f t="shared" si="42"/>
        <v/>
      </c>
      <c r="S292" s="153">
        <f t="shared" si="38"/>
        <v>-7</v>
      </c>
      <c r="T292" s="153">
        <f t="shared" si="39"/>
        <v>-70</v>
      </c>
      <c r="U292" s="151"/>
      <c r="V292" s="151">
        <f t="shared" si="40"/>
        <v>0</v>
      </c>
    </row>
    <row r="293" spans="1:22" x14ac:dyDescent="0.25">
      <c r="A293" s="61"/>
      <c r="G293" s="18"/>
      <c r="H293" s="40">
        <v>288</v>
      </c>
      <c r="I293" s="41" t="str">
        <f t="shared" si="35"/>
        <v/>
      </c>
      <c r="J293" s="40">
        <f t="shared" si="41"/>
        <v>-7</v>
      </c>
      <c r="K293" s="40">
        <f t="shared" si="36"/>
        <v>-70</v>
      </c>
      <c r="L293" s="40"/>
      <c r="M293" s="42">
        <f t="shared" si="37"/>
        <v>0</v>
      </c>
      <c r="O293" s="150">
        <v>288</v>
      </c>
      <c r="P293" s="150"/>
      <c r="Q293" s="150"/>
      <c r="R293" s="151" t="str">
        <f t="shared" si="42"/>
        <v/>
      </c>
      <c r="S293" s="153">
        <f t="shared" si="38"/>
        <v>-7</v>
      </c>
      <c r="T293" s="153">
        <f t="shared" si="39"/>
        <v>-70</v>
      </c>
      <c r="U293" s="151"/>
      <c r="V293" s="151">
        <f t="shared" si="40"/>
        <v>0</v>
      </c>
    </row>
    <row r="294" spans="1:22" x14ac:dyDescent="0.25">
      <c r="A294" s="61"/>
      <c r="G294" s="18"/>
      <c r="H294" s="40">
        <v>289</v>
      </c>
      <c r="I294" s="41" t="str">
        <f t="shared" si="35"/>
        <v/>
      </c>
      <c r="J294" s="40">
        <f t="shared" si="41"/>
        <v>-7</v>
      </c>
      <c r="K294" s="40">
        <f t="shared" si="36"/>
        <v>-70</v>
      </c>
      <c r="L294" s="40"/>
      <c r="M294" s="42">
        <f t="shared" si="37"/>
        <v>0</v>
      </c>
      <c r="O294" s="150">
        <v>289</v>
      </c>
      <c r="P294" s="150"/>
      <c r="Q294" s="150"/>
      <c r="R294" s="151" t="str">
        <f t="shared" si="42"/>
        <v/>
      </c>
      <c r="S294" s="153">
        <f t="shared" si="38"/>
        <v>-7</v>
      </c>
      <c r="T294" s="153">
        <f t="shared" si="39"/>
        <v>-70</v>
      </c>
      <c r="U294" s="151"/>
      <c r="V294" s="151">
        <f t="shared" si="40"/>
        <v>0</v>
      </c>
    </row>
    <row r="295" spans="1:22" x14ac:dyDescent="0.25">
      <c r="A295" s="61"/>
      <c r="G295" s="18"/>
      <c r="H295" s="40">
        <v>290</v>
      </c>
      <c r="I295" s="41" t="str">
        <f t="shared" si="35"/>
        <v/>
      </c>
      <c r="J295" s="40">
        <f t="shared" si="41"/>
        <v>-7</v>
      </c>
      <c r="K295" s="40">
        <f t="shared" si="36"/>
        <v>-70</v>
      </c>
      <c r="L295" s="40"/>
      <c r="M295" s="42">
        <f t="shared" si="37"/>
        <v>0</v>
      </c>
      <c r="O295" s="150">
        <v>290</v>
      </c>
      <c r="P295" s="150"/>
      <c r="Q295" s="150"/>
      <c r="R295" s="151" t="str">
        <f t="shared" si="42"/>
        <v/>
      </c>
      <c r="S295" s="153">
        <f t="shared" si="38"/>
        <v>-7</v>
      </c>
      <c r="T295" s="153">
        <f t="shared" si="39"/>
        <v>-70</v>
      </c>
      <c r="U295" s="151"/>
      <c r="V295" s="151">
        <f t="shared" si="40"/>
        <v>0</v>
      </c>
    </row>
    <row r="296" spans="1:22" x14ac:dyDescent="0.25">
      <c r="A296" s="61"/>
      <c r="G296" s="18"/>
      <c r="H296" s="40">
        <v>291</v>
      </c>
      <c r="I296" s="41" t="str">
        <f t="shared" si="35"/>
        <v/>
      </c>
      <c r="J296" s="40">
        <f t="shared" si="41"/>
        <v>-7</v>
      </c>
      <c r="K296" s="40">
        <f t="shared" si="36"/>
        <v>-70</v>
      </c>
      <c r="L296" s="40"/>
      <c r="M296" s="42">
        <f t="shared" si="37"/>
        <v>0</v>
      </c>
      <c r="O296" s="150">
        <v>291</v>
      </c>
      <c r="P296" s="150"/>
      <c r="Q296" s="150"/>
      <c r="R296" s="151" t="str">
        <f t="shared" si="42"/>
        <v/>
      </c>
      <c r="S296" s="153">
        <f t="shared" si="38"/>
        <v>-7</v>
      </c>
      <c r="T296" s="153">
        <f t="shared" si="39"/>
        <v>-70</v>
      </c>
      <c r="U296" s="151"/>
      <c r="V296" s="151">
        <f t="shared" si="40"/>
        <v>0</v>
      </c>
    </row>
    <row r="297" spans="1:22" x14ac:dyDescent="0.25">
      <c r="A297" s="61"/>
      <c r="G297" s="18"/>
      <c r="H297" s="40">
        <v>292</v>
      </c>
      <c r="I297" s="41" t="str">
        <f t="shared" si="35"/>
        <v/>
      </c>
      <c r="J297" s="40">
        <f t="shared" si="41"/>
        <v>-7</v>
      </c>
      <c r="K297" s="40">
        <f t="shared" si="36"/>
        <v>-70</v>
      </c>
      <c r="L297" s="40"/>
      <c r="M297" s="42">
        <f t="shared" si="37"/>
        <v>0</v>
      </c>
      <c r="O297" s="150">
        <v>292</v>
      </c>
      <c r="P297" s="150"/>
      <c r="Q297" s="150"/>
      <c r="R297" s="151" t="str">
        <f t="shared" si="42"/>
        <v/>
      </c>
      <c r="S297" s="153">
        <f t="shared" si="38"/>
        <v>-7</v>
      </c>
      <c r="T297" s="153">
        <f t="shared" si="39"/>
        <v>-70</v>
      </c>
      <c r="U297" s="151"/>
      <c r="V297" s="151">
        <f t="shared" si="40"/>
        <v>0</v>
      </c>
    </row>
    <row r="298" spans="1:22" x14ac:dyDescent="0.25">
      <c r="A298" s="61"/>
      <c r="G298" s="18"/>
      <c r="H298" s="40">
        <v>293</v>
      </c>
      <c r="I298" s="41" t="str">
        <f t="shared" si="35"/>
        <v/>
      </c>
      <c r="J298" s="40">
        <f t="shared" si="41"/>
        <v>-7</v>
      </c>
      <c r="K298" s="40">
        <f t="shared" si="36"/>
        <v>-70</v>
      </c>
      <c r="L298" s="40"/>
      <c r="M298" s="42">
        <f t="shared" si="37"/>
        <v>0</v>
      </c>
      <c r="O298" s="150">
        <v>293</v>
      </c>
      <c r="P298" s="150"/>
      <c r="Q298" s="150"/>
      <c r="R298" s="151" t="str">
        <f t="shared" si="42"/>
        <v/>
      </c>
      <c r="S298" s="153">
        <f t="shared" si="38"/>
        <v>-7</v>
      </c>
      <c r="T298" s="153">
        <f t="shared" si="39"/>
        <v>-70</v>
      </c>
      <c r="U298" s="151"/>
      <c r="V298" s="151">
        <f t="shared" si="40"/>
        <v>0</v>
      </c>
    </row>
    <row r="299" spans="1:22" x14ac:dyDescent="0.25">
      <c r="A299" s="61"/>
      <c r="G299" s="18"/>
      <c r="H299" s="40">
        <v>294</v>
      </c>
      <c r="I299" s="41" t="str">
        <f t="shared" si="35"/>
        <v/>
      </c>
      <c r="J299" s="40">
        <f t="shared" si="41"/>
        <v>-7</v>
      </c>
      <c r="K299" s="40">
        <f t="shared" si="36"/>
        <v>-70</v>
      </c>
      <c r="L299" s="40"/>
      <c r="M299" s="42">
        <f t="shared" si="37"/>
        <v>0</v>
      </c>
      <c r="O299" s="150">
        <v>294</v>
      </c>
      <c r="P299" s="150"/>
      <c r="Q299" s="150"/>
      <c r="R299" s="151" t="str">
        <f t="shared" si="42"/>
        <v/>
      </c>
      <c r="S299" s="153">
        <f t="shared" si="38"/>
        <v>-7</v>
      </c>
      <c r="T299" s="153">
        <f t="shared" si="39"/>
        <v>-70</v>
      </c>
      <c r="U299" s="151"/>
      <c r="V299" s="151">
        <f t="shared" si="40"/>
        <v>0</v>
      </c>
    </row>
    <row r="300" spans="1:22" x14ac:dyDescent="0.25">
      <c r="A300" s="61"/>
      <c r="G300" s="18"/>
      <c r="H300" s="40">
        <v>295</v>
      </c>
      <c r="I300" s="41" t="str">
        <f t="shared" si="35"/>
        <v/>
      </c>
      <c r="J300" s="40">
        <f t="shared" si="41"/>
        <v>-7</v>
      </c>
      <c r="K300" s="40">
        <f t="shared" si="36"/>
        <v>-70</v>
      </c>
      <c r="L300" s="40"/>
      <c r="M300" s="42">
        <f t="shared" si="37"/>
        <v>0</v>
      </c>
      <c r="O300" s="150">
        <v>295</v>
      </c>
      <c r="P300" s="150"/>
      <c r="Q300" s="150"/>
      <c r="R300" s="151" t="str">
        <f t="shared" si="42"/>
        <v/>
      </c>
      <c r="S300" s="153">
        <f t="shared" si="38"/>
        <v>-7</v>
      </c>
      <c r="T300" s="153">
        <f t="shared" si="39"/>
        <v>-70</v>
      </c>
      <c r="U300" s="151"/>
      <c r="V300" s="151">
        <f t="shared" si="40"/>
        <v>0</v>
      </c>
    </row>
    <row r="301" spans="1:22" x14ac:dyDescent="0.25">
      <c r="A301" s="61"/>
      <c r="G301" s="18"/>
      <c r="H301" s="40">
        <v>296</v>
      </c>
      <c r="I301" s="41" t="str">
        <f t="shared" si="35"/>
        <v/>
      </c>
      <c r="J301" s="40">
        <f t="shared" si="41"/>
        <v>-7</v>
      </c>
      <c r="K301" s="40">
        <f t="shared" si="36"/>
        <v>-70</v>
      </c>
      <c r="L301" s="40"/>
      <c r="M301" s="42">
        <f t="shared" si="37"/>
        <v>0</v>
      </c>
      <c r="O301" s="150">
        <v>296</v>
      </c>
      <c r="P301" s="150"/>
      <c r="Q301" s="150"/>
      <c r="R301" s="151" t="str">
        <f t="shared" si="42"/>
        <v/>
      </c>
      <c r="S301" s="153">
        <f t="shared" si="38"/>
        <v>-7</v>
      </c>
      <c r="T301" s="153">
        <f t="shared" si="39"/>
        <v>-70</v>
      </c>
      <c r="U301" s="151"/>
      <c r="V301" s="151">
        <f t="shared" si="40"/>
        <v>0</v>
      </c>
    </row>
    <row r="302" spans="1:22" x14ac:dyDescent="0.25">
      <c r="A302" s="61"/>
      <c r="G302" s="18"/>
      <c r="H302" s="40">
        <v>297</v>
      </c>
      <c r="I302" s="41" t="str">
        <f t="shared" si="35"/>
        <v/>
      </c>
      <c r="J302" s="40">
        <f t="shared" si="41"/>
        <v>-7</v>
      </c>
      <c r="K302" s="40">
        <f t="shared" si="36"/>
        <v>-70</v>
      </c>
      <c r="L302" s="40"/>
      <c r="M302" s="42">
        <f t="shared" si="37"/>
        <v>0</v>
      </c>
      <c r="O302" s="150">
        <v>297</v>
      </c>
      <c r="P302" s="150"/>
      <c r="Q302" s="150"/>
      <c r="R302" s="151" t="str">
        <f t="shared" si="42"/>
        <v/>
      </c>
      <c r="S302" s="153">
        <f t="shared" si="38"/>
        <v>-7</v>
      </c>
      <c r="T302" s="153">
        <f t="shared" si="39"/>
        <v>-70</v>
      </c>
      <c r="U302" s="151"/>
      <c r="V302" s="151">
        <f t="shared" si="40"/>
        <v>0</v>
      </c>
    </row>
    <row r="303" spans="1:22" x14ac:dyDescent="0.25">
      <c r="A303" s="61"/>
      <c r="G303" s="18"/>
      <c r="H303" s="40">
        <v>298</v>
      </c>
      <c r="I303" s="41" t="str">
        <f t="shared" si="35"/>
        <v/>
      </c>
      <c r="J303" s="40">
        <f t="shared" si="41"/>
        <v>-7</v>
      </c>
      <c r="K303" s="40">
        <f t="shared" si="36"/>
        <v>-70</v>
      </c>
      <c r="L303" s="40"/>
      <c r="M303" s="42">
        <f t="shared" si="37"/>
        <v>0</v>
      </c>
      <c r="O303" s="150">
        <v>298</v>
      </c>
      <c r="P303" s="150"/>
      <c r="Q303" s="150"/>
      <c r="R303" s="151" t="str">
        <f t="shared" si="42"/>
        <v/>
      </c>
      <c r="S303" s="153">
        <f t="shared" si="38"/>
        <v>-7</v>
      </c>
      <c r="T303" s="153">
        <f t="shared" si="39"/>
        <v>-70</v>
      </c>
      <c r="U303" s="151"/>
      <c r="V303" s="151">
        <f t="shared" si="40"/>
        <v>0</v>
      </c>
    </row>
    <row r="304" spans="1:22" x14ac:dyDescent="0.25">
      <c r="A304" s="61"/>
      <c r="G304" s="18"/>
      <c r="H304" s="40">
        <v>299</v>
      </c>
      <c r="I304" s="41" t="str">
        <f t="shared" si="35"/>
        <v/>
      </c>
      <c r="J304" s="40">
        <f t="shared" si="41"/>
        <v>-7</v>
      </c>
      <c r="K304" s="40">
        <f t="shared" si="36"/>
        <v>-70</v>
      </c>
      <c r="L304" s="40"/>
      <c r="M304" s="42">
        <f t="shared" si="37"/>
        <v>0</v>
      </c>
      <c r="O304" s="150">
        <v>299</v>
      </c>
      <c r="P304" s="150"/>
      <c r="Q304" s="150"/>
      <c r="R304" s="151" t="str">
        <f t="shared" si="42"/>
        <v/>
      </c>
      <c r="S304" s="153">
        <f t="shared" si="38"/>
        <v>-7</v>
      </c>
      <c r="T304" s="153">
        <f t="shared" si="39"/>
        <v>-70</v>
      </c>
      <c r="U304" s="151"/>
      <c r="V304" s="151">
        <f t="shared" si="40"/>
        <v>0</v>
      </c>
    </row>
    <row r="305" spans="1:22" x14ac:dyDescent="0.25">
      <c r="A305" s="61"/>
      <c r="G305" s="18"/>
      <c r="H305" s="40">
        <v>300</v>
      </c>
      <c r="I305" s="41" t="str">
        <f t="shared" si="35"/>
        <v/>
      </c>
      <c r="J305" s="40">
        <f t="shared" si="41"/>
        <v>-7</v>
      </c>
      <c r="K305" s="40">
        <f t="shared" si="36"/>
        <v>-70</v>
      </c>
      <c r="L305" s="40"/>
      <c r="M305" s="42">
        <f t="shared" si="37"/>
        <v>0</v>
      </c>
      <c r="O305" s="150">
        <v>300</v>
      </c>
      <c r="P305" s="150"/>
      <c r="Q305" s="150"/>
      <c r="R305" s="151" t="str">
        <f t="shared" si="42"/>
        <v/>
      </c>
      <c r="S305" s="153">
        <f t="shared" si="38"/>
        <v>-7</v>
      </c>
      <c r="T305" s="153">
        <f t="shared" si="39"/>
        <v>-70</v>
      </c>
      <c r="U305" s="151"/>
      <c r="V305" s="151">
        <f t="shared" si="40"/>
        <v>0</v>
      </c>
    </row>
    <row r="306" spans="1:22" x14ac:dyDescent="0.25">
      <c r="A306" s="63"/>
      <c r="J306" s="64" t="e">
        <f t="shared" si="41"/>
        <v>#NUM!</v>
      </c>
      <c r="O306" s="155"/>
      <c r="P306" s="155"/>
      <c r="Q306" s="155"/>
      <c r="R306" s="156"/>
      <c r="S306" s="155"/>
      <c r="T306" s="155"/>
      <c r="U306" s="156"/>
      <c r="V306" s="156"/>
    </row>
    <row r="307" spans="1:22" x14ac:dyDescent="0.25">
      <c r="J307" s="64" t="e">
        <f t="shared" si="41"/>
        <v>#NUM!</v>
      </c>
      <c r="O307" s="155"/>
      <c r="P307" s="155"/>
      <c r="Q307" s="155"/>
      <c r="R307" s="156"/>
      <c r="S307" s="155"/>
      <c r="T307" s="155"/>
      <c r="U307" s="156"/>
      <c r="V307" s="156"/>
    </row>
    <row r="308" spans="1:22" x14ac:dyDescent="0.25">
      <c r="J308" s="64" t="e">
        <f t="shared" si="41"/>
        <v>#NUM!</v>
      </c>
      <c r="O308" s="155"/>
      <c r="P308" s="155"/>
      <c r="Q308" s="155"/>
      <c r="R308" s="156"/>
      <c r="S308" s="155"/>
      <c r="T308" s="155"/>
      <c r="U308" s="156"/>
      <c r="V308" s="156"/>
    </row>
    <row r="309" spans="1:22" x14ac:dyDescent="0.25">
      <c r="J309" s="64" t="e">
        <f t="shared" si="41"/>
        <v>#NUM!</v>
      </c>
      <c r="O309" s="155"/>
      <c r="P309" s="155"/>
      <c r="Q309" s="155"/>
      <c r="R309" s="156"/>
      <c r="S309" s="155"/>
      <c r="T309" s="155"/>
      <c r="U309" s="156"/>
      <c r="V309" s="156"/>
    </row>
    <row r="310" spans="1:22" x14ac:dyDescent="0.25">
      <c r="J310" s="64" t="e">
        <f t="shared" si="41"/>
        <v>#NUM!</v>
      </c>
      <c r="O310" s="155"/>
      <c r="P310" s="155"/>
      <c r="Q310" s="155"/>
      <c r="R310" s="156"/>
      <c r="S310" s="155"/>
      <c r="T310" s="155"/>
      <c r="U310" s="156"/>
      <c r="V310" s="156"/>
    </row>
    <row r="311" spans="1:22" x14ac:dyDescent="0.25">
      <c r="J311" s="64" t="e">
        <f t="shared" si="41"/>
        <v>#NUM!</v>
      </c>
      <c r="O311" s="155"/>
      <c r="P311" s="155"/>
      <c r="Q311" s="155"/>
      <c r="R311" s="156"/>
      <c r="S311" s="155"/>
      <c r="T311" s="155"/>
      <c r="U311" s="156"/>
      <c r="V311" s="156"/>
    </row>
    <row r="312" spans="1:22" x14ac:dyDescent="0.25">
      <c r="J312" s="64" t="e">
        <f t="shared" si="41"/>
        <v>#NUM!</v>
      </c>
      <c r="O312" s="155"/>
      <c r="P312" s="155"/>
      <c r="Q312" s="155"/>
      <c r="R312" s="156"/>
      <c r="S312" s="155"/>
      <c r="T312" s="155"/>
      <c r="U312" s="156"/>
      <c r="V312" s="156"/>
    </row>
    <row r="313" spans="1:22" x14ac:dyDescent="0.25">
      <c r="J313" s="64" t="e">
        <f t="shared" si="41"/>
        <v>#NUM!</v>
      </c>
      <c r="O313" s="155"/>
      <c r="P313" s="155"/>
      <c r="Q313" s="155"/>
      <c r="R313" s="156"/>
      <c r="S313" s="155"/>
      <c r="T313" s="155"/>
      <c r="U313" s="156"/>
      <c r="V313" s="156"/>
    </row>
    <row r="314" spans="1:22" x14ac:dyDescent="0.25">
      <c r="J314" s="64" t="e">
        <f t="shared" si="41"/>
        <v>#NUM!</v>
      </c>
      <c r="L314" s="66"/>
      <c r="O314" s="155"/>
      <c r="P314" s="155"/>
      <c r="Q314" s="155"/>
      <c r="R314" s="156"/>
      <c r="S314" s="155"/>
      <c r="T314" s="155"/>
      <c r="U314" s="156"/>
      <c r="V314" s="156"/>
    </row>
    <row r="315" spans="1:22" x14ac:dyDescent="0.25">
      <c r="J315" s="64" t="e">
        <f t="shared" si="41"/>
        <v>#NUM!</v>
      </c>
      <c r="L315" s="66"/>
      <c r="O315" s="155"/>
      <c r="P315" s="155"/>
      <c r="Q315" s="155"/>
      <c r="R315" s="156"/>
      <c r="S315" s="155"/>
      <c r="T315" s="155"/>
      <c r="U315" s="156"/>
      <c r="V315" s="156"/>
    </row>
    <row r="316" spans="1:22" x14ac:dyDescent="0.25">
      <c r="J316" s="64" t="e">
        <f t="shared" si="41"/>
        <v>#NUM!</v>
      </c>
      <c r="L316" s="66"/>
      <c r="O316" s="155"/>
      <c r="P316" s="155"/>
      <c r="Q316" s="155"/>
      <c r="R316" s="156"/>
      <c r="S316" s="155"/>
      <c r="T316" s="155"/>
      <c r="U316" s="156"/>
      <c r="V316" s="156"/>
    </row>
    <row r="317" spans="1:22" x14ac:dyDescent="0.25">
      <c r="J317" s="64" t="e">
        <f t="shared" si="41"/>
        <v>#NUM!</v>
      </c>
      <c r="L317" s="66"/>
      <c r="O317" s="155"/>
      <c r="P317" s="155"/>
      <c r="Q317" s="155"/>
      <c r="R317" s="156"/>
      <c r="S317" s="155"/>
      <c r="T317" s="155"/>
      <c r="U317" s="156"/>
      <c r="V317" s="156"/>
    </row>
    <row r="318" spans="1:22" x14ac:dyDescent="0.25">
      <c r="J318" s="64" t="e">
        <f t="shared" si="41"/>
        <v>#NUM!</v>
      </c>
      <c r="O318" s="155"/>
      <c r="P318" s="155"/>
      <c r="Q318" s="155"/>
      <c r="R318" s="156"/>
      <c r="S318" s="155"/>
      <c r="T318" s="155"/>
      <c r="U318" s="156"/>
      <c r="V318" s="156"/>
    </row>
    <row r="319" spans="1:22" x14ac:dyDescent="0.25">
      <c r="J319" s="64" t="e">
        <f t="shared" si="41"/>
        <v>#NUM!</v>
      </c>
    </row>
    <row r="320" spans="1:22" x14ac:dyDescent="0.25">
      <c r="J320" s="64" t="e">
        <f t="shared" si="41"/>
        <v>#NUM!</v>
      </c>
    </row>
    <row r="321" spans="10:10" x14ac:dyDescent="0.25">
      <c r="J321" s="64" t="e">
        <f t="shared" si="41"/>
        <v>#NUM!</v>
      </c>
    </row>
    <row r="322" spans="10:10" x14ac:dyDescent="0.25">
      <c r="J322" s="64" t="e">
        <f t="shared" si="41"/>
        <v>#NUM!</v>
      </c>
    </row>
    <row r="323" spans="10:10" x14ac:dyDescent="0.25">
      <c r="J323" s="64" t="e">
        <f t="shared" si="41"/>
        <v>#NUM!</v>
      </c>
    </row>
    <row r="324" spans="10:10" x14ac:dyDescent="0.25">
      <c r="J324" s="64" t="e">
        <f t="shared" si="41"/>
        <v>#NUM!</v>
      </c>
    </row>
    <row r="325" spans="10:10" x14ac:dyDescent="0.25">
      <c r="J325" s="64" t="e">
        <f t="shared" si="41"/>
        <v>#NUM!</v>
      </c>
    </row>
    <row r="326" spans="10:10" x14ac:dyDescent="0.25">
      <c r="J326" s="64" t="e">
        <f t="shared" si="41"/>
        <v>#NUM!</v>
      </c>
    </row>
    <row r="327" spans="10:10" x14ac:dyDescent="0.25">
      <c r="J327" s="64" t="e">
        <f t="shared" ref="J327:J374" si="43">INT(LOG($H$2,2))-ROUNDUP(LOG(H327,2),0)+IF(OR($H$2=1,$H$2=2,$H$2=4,$H$2=8,$H$2=16,$H$2=32,$H$2=64,$H$2=128,$H$2=256),0,1)</f>
        <v>#NUM!</v>
      </c>
    </row>
    <row r="328" spans="10:10" x14ac:dyDescent="0.25">
      <c r="J328" s="64" t="e">
        <f t="shared" si="43"/>
        <v>#NUM!</v>
      </c>
    </row>
    <row r="329" spans="10:10" x14ac:dyDescent="0.25">
      <c r="J329" s="64" t="e">
        <f t="shared" si="43"/>
        <v>#NUM!</v>
      </c>
    </row>
    <row r="330" spans="10:10" x14ac:dyDescent="0.25">
      <c r="J330" s="64" t="e">
        <f t="shared" si="43"/>
        <v>#NUM!</v>
      </c>
    </row>
    <row r="331" spans="10:10" x14ac:dyDescent="0.25">
      <c r="J331" s="64" t="e">
        <f t="shared" si="43"/>
        <v>#NUM!</v>
      </c>
    </row>
    <row r="332" spans="10:10" x14ac:dyDescent="0.25">
      <c r="J332" s="64" t="e">
        <f t="shared" si="43"/>
        <v>#NUM!</v>
      </c>
    </row>
    <row r="333" spans="10:10" x14ac:dyDescent="0.25">
      <c r="J333" s="64" t="e">
        <f t="shared" si="43"/>
        <v>#NUM!</v>
      </c>
    </row>
    <row r="334" spans="10:10" x14ac:dyDescent="0.25">
      <c r="J334" s="64" t="e">
        <f t="shared" si="43"/>
        <v>#NUM!</v>
      </c>
    </row>
    <row r="335" spans="10:10" x14ac:dyDescent="0.25">
      <c r="J335" s="64" t="e">
        <f t="shared" si="43"/>
        <v>#NUM!</v>
      </c>
    </row>
    <row r="336" spans="10:10" x14ac:dyDescent="0.25">
      <c r="J336" s="64" t="e">
        <f t="shared" si="43"/>
        <v>#NUM!</v>
      </c>
    </row>
    <row r="337" spans="10:10" x14ac:dyDescent="0.25">
      <c r="J337" s="64" t="e">
        <f t="shared" si="43"/>
        <v>#NUM!</v>
      </c>
    </row>
    <row r="338" spans="10:10" x14ac:dyDescent="0.25">
      <c r="J338" s="64" t="e">
        <f t="shared" si="43"/>
        <v>#NUM!</v>
      </c>
    </row>
    <row r="339" spans="10:10" x14ac:dyDescent="0.25">
      <c r="J339" s="64" t="e">
        <f t="shared" si="43"/>
        <v>#NUM!</v>
      </c>
    </row>
    <row r="340" spans="10:10" x14ac:dyDescent="0.25">
      <c r="J340" s="64" t="e">
        <f t="shared" si="43"/>
        <v>#NUM!</v>
      </c>
    </row>
    <row r="341" spans="10:10" x14ac:dyDescent="0.25">
      <c r="J341" s="64" t="e">
        <f t="shared" si="43"/>
        <v>#NUM!</v>
      </c>
    </row>
    <row r="342" spans="10:10" x14ac:dyDescent="0.25">
      <c r="J342" s="64" t="e">
        <f t="shared" si="43"/>
        <v>#NUM!</v>
      </c>
    </row>
    <row r="343" spans="10:10" x14ac:dyDescent="0.25">
      <c r="J343" s="64" t="e">
        <f t="shared" si="43"/>
        <v>#NUM!</v>
      </c>
    </row>
    <row r="344" spans="10:10" x14ac:dyDescent="0.25">
      <c r="J344" s="64" t="e">
        <f t="shared" si="43"/>
        <v>#NUM!</v>
      </c>
    </row>
    <row r="345" spans="10:10" x14ac:dyDescent="0.25">
      <c r="J345" s="64" t="e">
        <f t="shared" si="43"/>
        <v>#NUM!</v>
      </c>
    </row>
    <row r="346" spans="10:10" x14ac:dyDescent="0.25">
      <c r="J346" s="64" t="e">
        <f t="shared" si="43"/>
        <v>#NUM!</v>
      </c>
    </row>
    <row r="347" spans="10:10" x14ac:dyDescent="0.25">
      <c r="J347" s="64" t="e">
        <f t="shared" si="43"/>
        <v>#NUM!</v>
      </c>
    </row>
    <row r="348" spans="10:10" x14ac:dyDescent="0.25">
      <c r="J348" s="64" t="e">
        <f t="shared" si="43"/>
        <v>#NUM!</v>
      </c>
    </row>
    <row r="349" spans="10:10" x14ac:dyDescent="0.25">
      <c r="J349" s="64" t="e">
        <f t="shared" si="43"/>
        <v>#NUM!</v>
      </c>
    </row>
    <row r="350" spans="10:10" x14ac:dyDescent="0.25">
      <c r="J350" s="64" t="e">
        <f t="shared" si="43"/>
        <v>#NUM!</v>
      </c>
    </row>
    <row r="351" spans="10:10" x14ac:dyDescent="0.25">
      <c r="J351" s="64" t="e">
        <f t="shared" si="43"/>
        <v>#NUM!</v>
      </c>
    </row>
    <row r="352" spans="10:10" x14ac:dyDescent="0.25">
      <c r="J352" s="64" t="e">
        <f t="shared" si="43"/>
        <v>#NUM!</v>
      </c>
    </row>
    <row r="353" spans="10:10" x14ac:dyDescent="0.25">
      <c r="J353" s="64" t="e">
        <f t="shared" si="43"/>
        <v>#NUM!</v>
      </c>
    </row>
    <row r="354" spans="10:10" x14ac:dyDescent="0.25">
      <c r="J354" s="64" t="e">
        <f t="shared" si="43"/>
        <v>#NUM!</v>
      </c>
    </row>
    <row r="355" spans="10:10" x14ac:dyDescent="0.25">
      <c r="J355" s="64" t="e">
        <f t="shared" si="43"/>
        <v>#NUM!</v>
      </c>
    </row>
    <row r="356" spans="10:10" x14ac:dyDescent="0.25">
      <c r="J356" s="64" t="e">
        <f t="shared" si="43"/>
        <v>#NUM!</v>
      </c>
    </row>
    <row r="357" spans="10:10" x14ac:dyDescent="0.25">
      <c r="J357" s="64" t="e">
        <f t="shared" si="43"/>
        <v>#NUM!</v>
      </c>
    </row>
    <row r="358" spans="10:10" x14ac:dyDescent="0.25">
      <c r="J358" s="64" t="e">
        <f t="shared" si="43"/>
        <v>#NUM!</v>
      </c>
    </row>
    <row r="359" spans="10:10" x14ac:dyDescent="0.25">
      <c r="J359" s="64" t="e">
        <f t="shared" si="43"/>
        <v>#NUM!</v>
      </c>
    </row>
    <row r="360" spans="10:10" x14ac:dyDescent="0.25">
      <c r="J360" s="64" t="e">
        <f t="shared" si="43"/>
        <v>#NUM!</v>
      </c>
    </row>
    <row r="361" spans="10:10" x14ac:dyDescent="0.25">
      <c r="J361" s="64" t="e">
        <f t="shared" si="43"/>
        <v>#NUM!</v>
      </c>
    </row>
    <row r="362" spans="10:10" x14ac:dyDescent="0.25">
      <c r="J362" s="64" t="e">
        <f t="shared" si="43"/>
        <v>#NUM!</v>
      </c>
    </row>
    <row r="363" spans="10:10" x14ac:dyDescent="0.25">
      <c r="J363" s="64" t="e">
        <f t="shared" si="43"/>
        <v>#NUM!</v>
      </c>
    </row>
    <row r="364" spans="10:10" x14ac:dyDescent="0.25">
      <c r="J364" s="64" t="e">
        <f t="shared" si="43"/>
        <v>#NUM!</v>
      </c>
    </row>
    <row r="365" spans="10:10" x14ac:dyDescent="0.25">
      <c r="J365" s="64" t="e">
        <f t="shared" si="43"/>
        <v>#NUM!</v>
      </c>
    </row>
    <row r="366" spans="10:10" x14ac:dyDescent="0.25">
      <c r="J366" s="64" t="e">
        <f t="shared" si="43"/>
        <v>#NUM!</v>
      </c>
    </row>
    <row r="367" spans="10:10" x14ac:dyDescent="0.25">
      <c r="J367" s="64" t="e">
        <f t="shared" si="43"/>
        <v>#NUM!</v>
      </c>
    </row>
    <row r="368" spans="10:10" x14ac:dyDescent="0.25">
      <c r="J368" s="64" t="e">
        <f t="shared" si="43"/>
        <v>#NUM!</v>
      </c>
    </row>
    <row r="369" spans="10:10" x14ac:dyDescent="0.25">
      <c r="J369" s="64" t="e">
        <f t="shared" si="43"/>
        <v>#NUM!</v>
      </c>
    </row>
    <row r="370" spans="10:10" x14ac:dyDescent="0.25">
      <c r="J370" s="64" t="e">
        <f t="shared" si="43"/>
        <v>#NUM!</v>
      </c>
    </row>
    <row r="371" spans="10:10" x14ac:dyDescent="0.25">
      <c r="J371" s="64" t="e">
        <f t="shared" si="43"/>
        <v>#NUM!</v>
      </c>
    </row>
    <row r="372" spans="10:10" x14ac:dyDescent="0.25">
      <c r="J372" s="64" t="e">
        <f t="shared" si="43"/>
        <v>#NUM!</v>
      </c>
    </row>
    <row r="373" spans="10:10" x14ac:dyDescent="0.25">
      <c r="J373" s="64" t="e">
        <f t="shared" si="43"/>
        <v>#NUM!</v>
      </c>
    </row>
    <row r="374" spans="10:10" x14ac:dyDescent="0.25">
      <c r="J374" s="64" t="e">
        <f t="shared" si="43"/>
        <v>#NUM!</v>
      </c>
    </row>
  </sheetData>
  <mergeCells count="3">
    <mergeCell ref="C2:D2"/>
    <mergeCell ref="C3:D3"/>
    <mergeCell ref="O4:V4"/>
  </mergeCells>
  <conditionalFormatting sqref="J9:K305">
    <cfRule type="cellIs" dxfId="22" priority="1" operator="lessThanOrEqual">
      <formula>0</formula>
    </cfRule>
  </conditionalFormatting>
  <hyperlinks>
    <hyperlink ref="C2:D2" r:id="rId1" display="PABIANICE" xr:uid="{08E6F6E5-B83E-4BB6-8851-91CA25A73D4C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139A-D825-47F2-BA3F-B66672F668F8}">
  <sheetPr>
    <tabColor rgb="FF92D050"/>
  </sheetPr>
  <dimension ref="A1:AL318"/>
  <sheetViews>
    <sheetView topLeftCell="E1" workbookViewId="0">
      <selection activeCell="O1" sqref="O1:V1048576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43.710937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4" width="13.85546875" style="18" customWidth="1"/>
    <col min="15" max="15" width="13.85546875" style="145" customWidth="1"/>
    <col min="16" max="17" width="8.85546875" style="145"/>
    <col min="18" max="18" width="7.42578125" style="157" bestFit="1" customWidth="1"/>
    <col min="19" max="19" width="8.85546875" style="158"/>
    <col min="20" max="20" width="9.42578125" style="158" bestFit="1" customWidth="1"/>
    <col min="21" max="21" width="12.140625" style="159" customWidth="1"/>
    <col min="22" max="22" width="5.42578125" style="159" bestFit="1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26</v>
      </c>
      <c r="I1" s="20" t="s">
        <v>27</v>
      </c>
      <c r="J1" s="20" t="s">
        <v>28</v>
      </c>
      <c r="K1" s="21" t="s">
        <v>29</v>
      </c>
      <c r="L1" s="22"/>
      <c r="M1" s="22"/>
      <c r="O1" s="147" t="s">
        <v>30</v>
      </c>
      <c r="P1" s="148"/>
      <c r="Q1" s="148"/>
      <c r="R1" s="149"/>
      <c r="S1" s="147"/>
      <c r="T1" s="147" t="s">
        <v>31</v>
      </c>
      <c r="U1" s="150"/>
      <c r="V1" s="150"/>
    </row>
    <row r="2" spans="1:36" x14ac:dyDescent="0.25">
      <c r="A2" s="18"/>
      <c r="B2" s="24" t="s">
        <v>32</v>
      </c>
      <c r="C2" s="176" t="s">
        <v>62</v>
      </c>
      <c r="D2" s="176"/>
      <c r="E2" s="25"/>
      <c r="F2" s="25"/>
      <c r="G2" s="25"/>
      <c r="H2" s="26">
        <v>3</v>
      </c>
      <c r="I2" s="27">
        <v>50</v>
      </c>
      <c r="J2" s="27">
        <v>10</v>
      </c>
      <c r="K2" s="28">
        <f>3*H2^(1/3)</f>
        <v>4.3267487109222245</v>
      </c>
      <c r="L2" s="22"/>
      <c r="M2" s="22"/>
      <c r="O2" s="150">
        <v>4</v>
      </c>
      <c r="P2" s="148"/>
      <c r="Q2" s="148"/>
      <c r="R2" s="149"/>
      <c r="S2" s="150"/>
      <c r="T2" s="151">
        <f>3*O2^(1/3)</f>
        <v>4.7622031559045981</v>
      </c>
      <c r="U2" s="150"/>
      <c r="V2" s="150"/>
    </row>
    <row r="3" spans="1:36" x14ac:dyDescent="0.25">
      <c r="A3" s="18"/>
      <c r="B3" s="29" t="s">
        <v>34</v>
      </c>
      <c r="C3" s="177">
        <v>45019</v>
      </c>
      <c r="D3" s="177"/>
      <c r="E3" s="30"/>
      <c r="F3" s="30"/>
      <c r="G3" s="30"/>
      <c r="H3" s="22"/>
      <c r="I3" s="22"/>
      <c r="J3" s="31"/>
      <c r="K3" s="22"/>
      <c r="L3" s="22"/>
      <c r="M3" s="22"/>
      <c r="O3" s="150"/>
      <c r="P3" s="150"/>
      <c r="Q3" s="150"/>
      <c r="R3" s="150"/>
      <c r="S3" s="150"/>
      <c r="T3" s="150"/>
      <c r="U3" s="150"/>
      <c r="V3" s="15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  <c r="O4" s="178" t="s">
        <v>35</v>
      </c>
      <c r="P4" s="178"/>
      <c r="Q4" s="178"/>
      <c r="R4" s="178"/>
      <c r="S4" s="178"/>
      <c r="T4" s="178"/>
      <c r="U4" s="178"/>
      <c r="V4" s="178"/>
    </row>
    <row r="5" spans="1:36" ht="60" x14ac:dyDescent="0.25">
      <c r="A5" s="1" t="s">
        <v>36</v>
      </c>
      <c r="B5" s="33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32"/>
      <c r="H5" s="34" t="s">
        <v>42</v>
      </c>
      <c r="I5" s="35" t="s">
        <v>43</v>
      </c>
      <c r="J5" s="36" t="s">
        <v>44</v>
      </c>
      <c r="K5" s="35" t="s">
        <v>45</v>
      </c>
      <c r="L5" s="35" t="s">
        <v>46</v>
      </c>
      <c r="M5" s="34" t="s">
        <v>47</v>
      </c>
      <c r="O5" s="152" t="s">
        <v>42</v>
      </c>
      <c r="P5" s="152" t="s">
        <v>48</v>
      </c>
      <c r="Q5" s="152"/>
      <c r="R5" s="152" t="s">
        <v>43</v>
      </c>
      <c r="S5" s="152" t="s">
        <v>44</v>
      </c>
      <c r="T5" s="152" t="s">
        <v>45</v>
      </c>
      <c r="U5" s="152" t="s">
        <v>46</v>
      </c>
      <c r="V5" s="152" t="s">
        <v>47</v>
      </c>
    </row>
    <row r="6" spans="1:36" ht="14.45" customHeight="1" x14ac:dyDescent="0.25">
      <c r="A6" s="37">
        <f>M6</f>
        <v>82.980246132766666</v>
      </c>
      <c r="B6" s="38">
        <v>1</v>
      </c>
      <c r="C6" s="39" t="s">
        <v>16</v>
      </c>
      <c r="D6" s="39" t="s">
        <v>49</v>
      </c>
      <c r="E6" s="39"/>
      <c r="F6" s="39"/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2</v>
      </c>
      <c r="K6" s="40">
        <f t="shared" ref="K6:K69" si="0">J6*$J$2</f>
        <v>20</v>
      </c>
      <c r="L6" s="42">
        <f>3*K2</f>
        <v>12.980246132766673</v>
      </c>
      <c r="M6" s="42">
        <f t="shared" ref="M6:M69" si="1">IF(I6&lt;&gt;"",K6+I6+L6,0)</f>
        <v>82.980246132766666</v>
      </c>
      <c r="O6" s="150">
        <v>1</v>
      </c>
      <c r="P6" s="147" t="s">
        <v>16</v>
      </c>
      <c r="Q6" s="150"/>
      <c r="R6" s="151">
        <f>IF(O2=1,50,IF(O6&lt;$O$2+1,($I$2-($I$2-1)*(LOG(O6)/LOG($O$2))),""))</f>
        <v>50</v>
      </c>
      <c r="S6" s="150">
        <f t="shared" ref="S6:S69" si="2">INT(LOG($O$2,2))-ROUNDUP(LOG(O6,2),0)+IF(OR($O$2=1,$O$2=2,$O$2=4,$O$2=8,$O$2=16,$O$2=32,$O$2=64,$O$2=128,$O$2=256),0,1)</f>
        <v>2</v>
      </c>
      <c r="T6" s="150">
        <f t="shared" ref="T6:T69" si="3">S6*$J$2</f>
        <v>20</v>
      </c>
      <c r="U6" s="151">
        <f>3*T2</f>
        <v>14.286609467713795</v>
      </c>
      <c r="V6" s="151">
        <f t="shared" ref="V6:V69" si="4">IF(R6&lt;&gt;"",T6+R6+U6,0)</f>
        <v>84.286609467713788</v>
      </c>
    </row>
    <row r="7" spans="1:36" ht="14.45" customHeight="1" x14ac:dyDescent="0.25">
      <c r="A7" s="43">
        <f t="shared" ref="A7:A37" si="5">M7</f>
        <v>37.73793949684304</v>
      </c>
      <c r="B7" s="44">
        <v>2</v>
      </c>
      <c r="C7" s="45" t="s">
        <v>17</v>
      </c>
      <c r="D7" s="45" t="s">
        <v>63</v>
      </c>
      <c r="E7" s="45"/>
      <c r="F7" s="45"/>
      <c r="G7" s="32"/>
      <c r="H7" s="46">
        <v>2</v>
      </c>
      <c r="I7" s="47">
        <f t="shared" ref="I7:I69" si="6">IF(H7&lt;$H$2+1,($I$2-($I$2-1)*(LOG(H7)/LOG($H$2))),"")</f>
        <v>19.084442074998588</v>
      </c>
      <c r="J7" s="46">
        <f>INT(LOG($H$2,2))-ROUNDUP(LOG(H7,2),0)+IF(OR($H$2=1,$H$2=2,$H$2=4,$H$2=8,$H$2=16,$H$2=32,$H$2=64,$H$2=128,$H$2=256),0,1)</f>
        <v>1</v>
      </c>
      <c r="K7" s="46">
        <f t="shared" si="0"/>
        <v>10</v>
      </c>
      <c r="L7" s="48">
        <f>2*K2</f>
        <v>8.6534974218444489</v>
      </c>
      <c r="M7" s="48">
        <f t="shared" si="1"/>
        <v>37.73793949684304</v>
      </c>
      <c r="O7" s="150">
        <v>2</v>
      </c>
      <c r="P7" s="147" t="s">
        <v>17</v>
      </c>
      <c r="Q7" s="150"/>
      <c r="R7" s="151">
        <f t="shared" ref="R7:R70" si="7">IF(O7&lt;$O$2+1,($I$2-($I$2-1)*(LOG(O7)/LOG($O$2))),"")</f>
        <v>25.5</v>
      </c>
      <c r="S7" s="150">
        <f t="shared" si="2"/>
        <v>1</v>
      </c>
      <c r="T7" s="150">
        <f t="shared" si="3"/>
        <v>10</v>
      </c>
      <c r="U7" s="151">
        <f>2*T2</f>
        <v>9.5244063118091962</v>
      </c>
      <c r="V7" s="151">
        <f t="shared" si="4"/>
        <v>45.024406311809194</v>
      </c>
    </row>
    <row r="8" spans="1:36" ht="14.45" customHeight="1" x14ac:dyDescent="0.25">
      <c r="A8" s="37">
        <f t="shared" si="5"/>
        <v>5.3267487109222245</v>
      </c>
      <c r="B8" s="38">
        <v>3</v>
      </c>
      <c r="C8" s="39" t="s">
        <v>20</v>
      </c>
      <c r="D8" s="39" t="s">
        <v>53</v>
      </c>
      <c r="E8" s="39"/>
      <c r="F8" s="39"/>
      <c r="G8" s="32"/>
      <c r="H8" s="40">
        <v>3</v>
      </c>
      <c r="I8" s="41">
        <f t="shared" si="6"/>
        <v>1</v>
      </c>
      <c r="J8" s="40">
        <f>INT(LOG($H$2,2))-ROUNDUP(LOG(H8,2),0)+IF(OR($H$2=1,$H$2=2,$H$2=4,$H$2=8,$H$2=16,$H$2=32,$H$2=64,$H$2=128,$H$2=256),0,1)</f>
        <v>0</v>
      </c>
      <c r="K8" s="40">
        <f t="shared" si="0"/>
        <v>0</v>
      </c>
      <c r="L8" s="42">
        <f>K2</f>
        <v>4.3267487109222245</v>
      </c>
      <c r="M8" s="42">
        <f t="shared" si="1"/>
        <v>5.3267487109222245</v>
      </c>
      <c r="O8" s="150">
        <v>3</v>
      </c>
      <c r="P8" s="147" t="s">
        <v>20</v>
      </c>
      <c r="Q8" s="150"/>
      <c r="R8" s="151">
        <f t="shared" si="7"/>
        <v>11.168418732331673</v>
      </c>
      <c r="S8" s="153">
        <f t="shared" si="2"/>
        <v>0</v>
      </c>
      <c r="T8" s="153">
        <f t="shared" si="3"/>
        <v>0</v>
      </c>
      <c r="U8" s="151">
        <f>T2</f>
        <v>4.7622031559045981</v>
      </c>
      <c r="V8" s="151">
        <f t="shared" si="4"/>
        <v>15.930621888236271</v>
      </c>
    </row>
    <row r="9" spans="1:36" ht="14.45" customHeight="1" x14ac:dyDescent="0.25">
      <c r="A9" s="43">
        <f t="shared" si="5"/>
        <v>0</v>
      </c>
      <c r="B9" s="143"/>
      <c r="C9" s="144"/>
      <c r="D9" s="144"/>
      <c r="E9" s="45"/>
      <c r="F9" s="45"/>
      <c r="G9" s="32"/>
      <c r="H9" s="46">
        <v>4</v>
      </c>
      <c r="I9" s="47" t="str">
        <f t="shared" si="6"/>
        <v/>
      </c>
      <c r="J9" s="46">
        <f>INT(LOG($H$2,2))-ROUNDUP(LOG(H9,2),0)+IF(OR($H$2=1,$H$2=2,$H$2=4,$H$2=8,$H$2=16,$H$2=32,$H$2=64,$H$2=128,$H$2=256),0,1)</f>
        <v>0</v>
      </c>
      <c r="K9" s="46">
        <f t="shared" si="0"/>
        <v>0</v>
      </c>
      <c r="L9" s="48"/>
      <c r="M9" s="48">
        <f t="shared" si="1"/>
        <v>0</v>
      </c>
      <c r="O9" s="150">
        <v>4</v>
      </c>
      <c r="P9" s="154" t="s">
        <v>52</v>
      </c>
      <c r="Q9" s="150"/>
      <c r="R9" s="151">
        <f t="shared" si="7"/>
        <v>1</v>
      </c>
      <c r="S9" s="153">
        <f t="shared" si="2"/>
        <v>0</v>
      </c>
      <c r="T9" s="153">
        <f t="shared" si="3"/>
        <v>0</v>
      </c>
      <c r="U9" s="151"/>
      <c r="V9" s="151">
        <f t="shared" si="4"/>
        <v>1</v>
      </c>
      <c r="Z9" s="50"/>
      <c r="AA9" s="50"/>
      <c r="AG9" s="51"/>
      <c r="AH9" s="23" t="s">
        <v>54</v>
      </c>
      <c r="AI9" s="23">
        <v>23</v>
      </c>
    </row>
    <row r="10" spans="1:36" ht="14.45" customHeight="1" x14ac:dyDescent="0.25">
      <c r="A10" s="37">
        <f t="shared" si="5"/>
        <v>0</v>
      </c>
      <c r="B10" s="38" t="str">
        <f>IF(H10&gt;$H$2,"",(ROW()-5))</f>
        <v/>
      </c>
      <c r="C10" s="39"/>
      <c r="D10" s="39"/>
      <c r="E10" s="39"/>
      <c r="F10" s="39"/>
      <c r="G10" s="32"/>
      <c r="H10" s="40">
        <v>5</v>
      </c>
      <c r="I10" s="41" t="str">
        <f t="shared" si="6"/>
        <v/>
      </c>
      <c r="J10" s="40">
        <f t="shared" ref="J10:J70" si="8">INT(LOG($H$2,2))-ROUNDUP(LOG(H10,2),0)+IF(OR($H$2=1,$H$2=2,$H$2=4,$H$2=8,$H$2=16,$H$2=32,$H$2=64,$H$2=128,$H$2=256),0,1)</f>
        <v>-1</v>
      </c>
      <c r="K10" s="40">
        <f t="shared" si="0"/>
        <v>-10</v>
      </c>
      <c r="L10" s="40"/>
      <c r="M10" s="42">
        <f t="shared" si="1"/>
        <v>0</v>
      </c>
      <c r="O10" s="150">
        <v>5</v>
      </c>
      <c r="P10" s="154"/>
      <c r="Q10" s="150"/>
      <c r="R10" s="151" t="str">
        <f t="shared" si="7"/>
        <v/>
      </c>
      <c r="S10" s="153">
        <f t="shared" si="2"/>
        <v>-1</v>
      </c>
      <c r="T10" s="153">
        <f t="shared" si="3"/>
        <v>-10</v>
      </c>
      <c r="U10" s="151"/>
      <c r="V10" s="151">
        <f t="shared" si="4"/>
        <v>0</v>
      </c>
      <c r="Z10" s="50"/>
      <c r="AA10" s="50"/>
      <c r="AG10" s="51"/>
      <c r="AH10" s="23" t="s">
        <v>55</v>
      </c>
      <c r="AI10" s="23">
        <v>45</v>
      </c>
    </row>
    <row r="11" spans="1:36" ht="14.45" customHeight="1" x14ac:dyDescent="0.25">
      <c r="A11" s="43">
        <f t="shared" si="5"/>
        <v>0</v>
      </c>
      <c r="B11" s="44" t="str">
        <f t="shared" ref="B11:B37" si="9">IF(H11&gt;$H$2,"",(ROW()-5))</f>
        <v/>
      </c>
      <c r="C11" s="45"/>
      <c r="D11" s="45"/>
      <c r="E11" s="45"/>
      <c r="F11" s="45"/>
      <c r="G11" s="32"/>
      <c r="H11" s="46">
        <v>6</v>
      </c>
      <c r="I11" s="47" t="str">
        <f t="shared" si="6"/>
        <v/>
      </c>
      <c r="J11" s="46">
        <f t="shared" si="8"/>
        <v>-1</v>
      </c>
      <c r="K11" s="46">
        <f t="shared" si="0"/>
        <v>-10</v>
      </c>
      <c r="L11" s="46"/>
      <c r="M11" s="48">
        <f t="shared" si="1"/>
        <v>0</v>
      </c>
      <c r="O11" s="150">
        <v>6</v>
      </c>
      <c r="P11" s="150"/>
      <c r="Q11" s="150"/>
      <c r="R11" s="151" t="str">
        <f t="shared" si="7"/>
        <v/>
      </c>
      <c r="S11" s="153">
        <f t="shared" si="2"/>
        <v>-1</v>
      </c>
      <c r="T11" s="153">
        <f t="shared" si="3"/>
        <v>-10</v>
      </c>
      <c r="U11" s="151"/>
      <c r="V11" s="151">
        <f t="shared" si="4"/>
        <v>0</v>
      </c>
      <c r="Z11" s="50"/>
      <c r="AA11" s="50"/>
      <c r="AG11" s="51"/>
      <c r="AH11" s="23" t="s">
        <v>56</v>
      </c>
      <c r="AI11" s="23">
        <v>50</v>
      </c>
    </row>
    <row r="12" spans="1:36" ht="14.45" customHeight="1" x14ac:dyDescent="0.25">
      <c r="A12" s="37">
        <f t="shared" si="5"/>
        <v>0</v>
      </c>
      <c r="B12" s="38" t="str">
        <f t="shared" si="9"/>
        <v/>
      </c>
      <c r="C12" s="39"/>
      <c r="D12" s="39"/>
      <c r="E12" s="39"/>
      <c r="F12" s="39"/>
      <c r="G12" s="32"/>
      <c r="H12" s="40">
        <v>7</v>
      </c>
      <c r="I12" s="41" t="str">
        <f t="shared" si="6"/>
        <v/>
      </c>
      <c r="J12" s="40">
        <f t="shared" si="8"/>
        <v>-1</v>
      </c>
      <c r="K12" s="40">
        <f t="shared" si="0"/>
        <v>-10</v>
      </c>
      <c r="L12" s="40"/>
      <c r="M12" s="42">
        <f t="shared" si="1"/>
        <v>0</v>
      </c>
      <c r="O12" s="150">
        <v>7</v>
      </c>
      <c r="P12" s="150"/>
      <c r="Q12" s="150"/>
      <c r="R12" s="151" t="str">
        <f t="shared" si="7"/>
        <v/>
      </c>
      <c r="S12" s="153">
        <f t="shared" si="2"/>
        <v>-1</v>
      </c>
      <c r="T12" s="153">
        <f t="shared" si="3"/>
        <v>-10</v>
      </c>
      <c r="U12" s="151"/>
      <c r="V12" s="151">
        <f t="shared" si="4"/>
        <v>0</v>
      </c>
      <c r="Z12" s="50"/>
      <c r="AA12" s="50"/>
      <c r="AG12" s="51"/>
      <c r="AH12" s="23" t="s">
        <v>57</v>
      </c>
      <c r="AI12" s="23">
        <f>AI11-1</f>
        <v>49</v>
      </c>
    </row>
    <row r="13" spans="1:36" ht="14.45" customHeight="1" x14ac:dyDescent="0.25">
      <c r="A13" s="53">
        <f t="shared" si="5"/>
        <v>0</v>
      </c>
      <c r="B13" s="44" t="str">
        <f t="shared" si="9"/>
        <v/>
      </c>
      <c r="C13" s="45"/>
      <c r="D13" s="45"/>
      <c r="E13" s="45"/>
      <c r="F13" s="45"/>
      <c r="G13" s="32"/>
      <c r="H13" s="46">
        <v>8</v>
      </c>
      <c r="I13" s="47" t="str">
        <f t="shared" si="6"/>
        <v/>
      </c>
      <c r="J13" s="46">
        <f t="shared" si="8"/>
        <v>-1</v>
      </c>
      <c r="K13" s="46">
        <f t="shared" si="0"/>
        <v>-10</v>
      </c>
      <c r="L13" s="46"/>
      <c r="M13" s="48">
        <f t="shared" si="1"/>
        <v>0</v>
      </c>
      <c r="O13" s="150">
        <v>8</v>
      </c>
      <c r="P13" s="150"/>
      <c r="Q13" s="150"/>
      <c r="R13" s="151" t="str">
        <f t="shared" si="7"/>
        <v/>
      </c>
      <c r="S13" s="153">
        <f t="shared" si="2"/>
        <v>-1</v>
      </c>
      <c r="T13" s="153">
        <f t="shared" si="3"/>
        <v>-10</v>
      </c>
      <c r="U13" s="151"/>
      <c r="V13" s="151">
        <f t="shared" si="4"/>
        <v>0</v>
      </c>
      <c r="X13" s="49"/>
      <c r="AG13" s="51"/>
      <c r="AH13" s="23" t="s">
        <v>58</v>
      </c>
      <c r="AI13" s="23">
        <f>LOG(AI9)</f>
        <v>1.3617278360175928</v>
      </c>
    </row>
    <row r="14" spans="1:36" x14ac:dyDescent="0.25">
      <c r="A14" s="54">
        <f t="shared" si="5"/>
        <v>0</v>
      </c>
      <c r="B14" s="38" t="str">
        <f t="shared" si="9"/>
        <v/>
      </c>
      <c r="C14" s="39"/>
      <c r="D14" s="39"/>
      <c r="E14" s="39"/>
      <c r="F14" s="39"/>
      <c r="G14" s="32"/>
      <c r="H14" s="40">
        <v>9</v>
      </c>
      <c r="I14" s="41" t="str">
        <f t="shared" si="6"/>
        <v/>
      </c>
      <c r="J14" s="40">
        <f t="shared" si="8"/>
        <v>-2</v>
      </c>
      <c r="K14" s="40">
        <f t="shared" si="0"/>
        <v>-20</v>
      </c>
      <c r="L14" s="40"/>
      <c r="M14" s="42">
        <f t="shared" si="1"/>
        <v>0</v>
      </c>
      <c r="O14" s="150">
        <v>9</v>
      </c>
      <c r="P14" s="150"/>
      <c r="Q14" s="150"/>
      <c r="R14" s="151" t="str">
        <f t="shared" si="7"/>
        <v/>
      </c>
      <c r="S14" s="153">
        <f t="shared" si="2"/>
        <v>-2</v>
      </c>
      <c r="T14" s="153">
        <f t="shared" si="3"/>
        <v>-20</v>
      </c>
      <c r="U14" s="151"/>
      <c r="V14" s="151">
        <f t="shared" si="4"/>
        <v>0</v>
      </c>
      <c r="X14" s="55"/>
      <c r="Z14" s="50"/>
      <c r="AA14" s="50"/>
      <c r="AG14" s="51"/>
      <c r="AH14" s="23" t="s">
        <v>59</v>
      </c>
      <c r="AI14" s="23">
        <f>LOG(AI10)</f>
        <v>1.6532125137753437</v>
      </c>
    </row>
    <row r="15" spans="1:36" x14ac:dyDescent="0.25">
      <c r="A15" s="53">
        <f t="shared" si="5"/>
        <v>0</v>
      </c>
      <c r="B15" s="44" t="str">
        <f t="shared" si="9"/>
        <v/>
      </c>
      <c r="C15" s="45"/>
      <c r="D15" s="45"/>
      <c r="E15" s="45"/>
      <c r="F15" s="45"/>
      <c r="G15" s="32"/>
      <c r="H15" s="46">
        <v>10</v>
      </c>
      <c r="I15" s="47" t="str">
        <f t="shared" si="6"/>
        <v/>
      </c>
      <c r="J15" s="46">
        <f t="shared" si="8"/>
        <v>-2</v>
      </c>
      <c r="K15" s="46">
        <f t="shared" si="0"/>
        <v>-20</v>
      </c>
      <c r="L15" s="46"/>
      <c r="M15" s="48">
        <f t="shared" si="1"/>
        <v>0</v>
      </c>
      <c r="O15" s="150">
        <v>10</v>
      </c>
      <c r="P15" s="150"/>
      <c r="Q15" s="150"/>
      <c r="R15" s="151" t="str">
        <f t="shared" si="7"/>
        <v/>
      </c>
      <c r="S15" s="153">
        <f t="shared" si="2"/>
        <v>-2</v>
      </c>
      <c r="T15" s="153">
        <f t="shared" si="3"/>
        <v>-20</v>
      </c>
      <c r="U15" s="151"/>
      <c r="V15" s="151">
        <f t="shared" si="4"/>
        <v>0</v>
      </c>
      <c r="X15" s="49"/>
      <c r="Z15" s="50"/>
      <c r="AA15" s="50"/>
    </row>
    <row r="16" spans="1:36" x14ac:dyDescent="0.25">
      <c r="A16" s="54">
        <f t="shared" si="5"/>
        <v>0</v>
      </c>
      <c r="B16" s="38" t="str">
        <f t="shared" si="9"/>
        <v/>
      </c>
      <c r="C16" s="39"/>
      <c r="D16" s="39"/>
      <c r="E16" s="39"/>
      <c r="F16" s="39"/>
      <c r="G16" s="32"/>
      <c r="H16" s="40">
        <v>11</v>
      </c>
      <c r="I16" s="41" t="str">
        <f t="shared" si="6"/>
        <v/>
      </c>
      <c r="J16" s="40">
        <f t="shared" si="8"/>
        <v>-2</v>
      </c>
      <c r="K16" s="40">
        <f t="shared" si="0"/>
        <v>-20</v>
      </c>
      <c r="L16" s="40"/>
      <c r="M16" s="42">
        <f t="shared" si="1"/>
        <v>0</v>
      </c>
      <c r="O16" s="150">
        <v>11</v>
      </c>
      <c r="P16" s="150"/>
      <c r="Q16" s="150"/>
      <c r="R16" s="151" t="str">
        <f t="shared" si="7"/>
        <v/>
      </c>
      <c r="S16" s="153">
        <f t="shared" si="2"/>
        <v>-2</v>
      </c>
      <c r="T16" s="153">
        <f t="shared" si="3"/>
        <v>-20</v>
      </c>
      <c r="U16" s="151"/>
      <c r="V16" s="151">
        <f t="shared" si="4"/>
        <v>0</v>
      </c>
      <c r="Z16" s="50"/>
      <c r="AA16" s="50"/>
      <c r="AH16" s="57" t="s">
        <v>60</v>
      </c>
      <c r="AI16" s="23">
        <f>AI11-AI12*AI13/AI14</f>
        <v>9.6393909380186855</v>
      </c>
      <c r="AJ16" s="23" t="s">
        <v>61</v>
      </c>
    </row>
    <row r="17" spans="1:22" x14ac:dyDescent="0.25">
      <c r="A17" s="53">
        <f t="shared" si="5"/>
        <v>0</v>
      </c>
      <c r="B17" s="44" t="str">
        <f t="shared" si="9"/>
        <v/>
      </c>
      <c r="C17" s="45"/>
      <c r="D17" s="45"/>
      <c r="E17" s="45"/>
      <c r="F17" s="45"/>
      <c r="G17" s="32"/>
      <c r="H17" s="46">
        <v>12</v>
      </c>
      <c r="I17" s="47" t="str">
        <f t="shared" si="6"/>
        <v/>
      </c>
      <c r="J17" s="46">
        <f t="shared" si="8"/>
        <v>-2</v>
      </c>
      <c r="K17" s="46">
        <f t="shared" si="0"/>
        <v>-20</v>
      </c>
      <c r="L17" s="46"/>
      <c r="M17" s="48">
        <f t="shared" si="1"/>
        <v>0</v>
      </c>
      <c r="O17" s="150">
        <v>12</v>
      </c>
      <c r="P17" s="150"/>
      <c r="Q17" s="150"/>
      <c r="R17" s="151" t="str">
        <f t="shared" si="7"/>
        <v/>
      </c>
      <c r="S17" s="153">
        <f t="shared" si="2"/>
        <v>-2</v>
      </c>
      <c r="T17" s="153">
        <f t="shared" si="3"/>
        <v>-20</v>
      </c>
      <c r="U17" s="151"/>
      <c r="V17" s="151">
        <f t="shared" si="4"/>
        <v>0</v>
      </c>
    </row>
    <row r="18" spans="1:22" x14ac:dyDescent="0.25">
      <c r="A18" s="54">
        <f t="shared" si="5"/>
        <v>0</v>
      </c>
      <c r="B18" s="38" t="str">
        <f t="shared" si="9"/>
        <v/>
      </c>
      <c r="C18" s="39"/>
      <c r="D18" s="39"/>
      <c r="E18" s="39"/>
      <c r="F18" s="39"/>
      <c r="G18" s="32"/>
      <c r="H18" s="40">
        <v>13</v>
      </c>
      <c r="I18" s="41" t="str">
        <f t="shared" si="6"/>
        <v/>
      </c>
      <c r="J18" s="40">
        <f t="shared" si="8"/>
        <v>-2</v>
      </c>
      <c r="K18" s="40">
        <f t="shared" si="0"/>
        <v>-20</v>
      </c>
      <c r="L18" s="40"/>
      <c r="M18" s="42">
        <f t="shared" si="1"/>
        <v>0</v>
      </c>
      <c r="O18" s="150">
        <v>13</v>
      </c>
      <c r="P18" s="150"/>
      <c r="Q18" s="150"/>
      <c r="R18" s="151" t="str">
        <f t="shared" si="7"/>
        <v/>
      </c>
      <c r="S18" s="153">
        <f t="shared" si="2"/>
        <v>-2</v>
      </c>
      <c r="T18" s="153">
        <f t="shared" si="3"/>
        <v>-20</v>
      </c>
      <c r="U18" s="151"/>
      <c r="V18" s="151">
        <f t="shared" si="4"/>
        <v>0</v>
      </c>
    </row>
    <row r="19" spans="1:22" x14ac:dyDescent="0.25">
      <c r="A19" s="53">
        <f t="shared" si="5"/>
        <v>0</v>
      </c>
      <c r="B19" s="44" t="str">
        <f t="shared" si="9"/>
        <v/>
      </c>
      <c r="C19" s="45"/>
      <c r="D19" s="45"/>
      <c r="E19" s="45"/>
      <c r="F19" s="45"/>
      <c r="G19" s="32"/>
      <c r="H19" s="46">
        <v>14</v>
      </c>
      <c r="I19" s="47" t="str">
        <f t="shared" si="6"/>
        <v/>
      </c>
      <c r="J19" s="46">
        <f t="shared" si="8"/>
        <v>-2</v>
      </c>
      <c r="K19" s="46">
        <f t="shared" si="0"/>
        <v>-20</v>
      </c>
      <c r="L19" s="46"/>
      <c r="M19" s="48">
        <f t="shared" si="1"/>
        <v>0</v>
      </c>
      <c r="O19" s="150">
        <v>14</v>
      </c>
      <c r="P19" s="150"/>
      <c r="Q19" s="150"/>
      <c r="R19" s="151" t="str">
        <f t="shared" si="7"/>
        <v/>
      </c>
      <c r="S19" s="153">
        <f t="shared" si="2"/>
        <v>-2</v>
      </c>
      <c r="T19" s="153">
        <f t="shared" si="3"/>
        <v>-20</v>
      </c>
      <c r="U19" s="151"/>
      <c r="V19" s="151">
        <f t="shared" si="4"/>
        <v>0</v>
      </c>
    </row>
    <row r="20" spans="1:22" x14ac:dyDescent="0.25">
      <c r="A20" s="54">
        <f t="shared" si="5"/>
        <v>0</v>
      </c>
      <c r="B20" s="38" t="str">
        <f t="shared" si="9"/>
        <v/>
      </c>
      <c r="C20" s="39"/>
      <c r="D20" s="39"/>
      <c r="E20" s="39"/>
      <c r="F20" s="39"/>
      <c r="G20" s="32"/>
      <c r="H20" s="40">
        <v>15</v>
      </c>
      <c r="I20" s="41" t="str">
        <f t="shared" si="6"/>
        <v/>
      </c>
      <c r="J20" s="40">
        <f t="shared" si="8"/>
        <v>-2</v>
      </c>
      <c r="K20" s="40">
        <f t="shared" si="0"/>
        <v>-20</v>
      </c>
      <c r="L20" s="40"/>
      <c r="M20" s="42">
        <f t="shared" si="1"/>
        <v>0</v>
      </c>
      <c r="O20" s="150">
        <v>15</v>
      </c>
      <c r="P20" s="150"/>
      <c r="Q20" s="150"/>
      <c r="R20" s="151" t="str">
        <f t="shared" si="7"/>
        <v/>
      </c>
      <c r="S20" s="153">
        <f t="shared" si="2"/>
        <v>-2</v>
      </c>
      <c r="T20" s="153">
        <f t="shared" si="3"/>
        <v>-20</v>
      </c>
      <c r="U20" s="151"/>
      <c r="V20" s="151">
        <f t="shared" si="4"/>
        <v>0</v>
      </c>
    </row>
    <row r="21" spans="1:22" x14ac:dyDescent="0.25">
      <c r="A21" s="53">
        <f t="shared" si="5"/>
        <v>0</v>
      </c>
      <c r="B21" s="44" t="str">
        <f t="shared" si="9"/>
        <v/>
      </c>
      <c r="C21" s="45"/>
      <c r="D21" s="45"/>
      <c r="E21" s="45"/>
      <c r="F21" s="45"/>
      <c r="G21" s="32"/>
      <c r="H21" s="46">
        <v>16</v>
      </c>
      <c r="I21" s="47" t="str">
        <f t="shared" si="6"/>
        <v/>
      </c>
      <c r="J21" s="46">
        <f t="shared" si="8"/>
        <v>-2</v>
      </c>
      <c r="K21" s="46">
        <f t="shared" si="0"/>
        <v>-20</v>
      </c>
      <c r="L21" s="46"/>
      <c r="M21" s="48">
        <f t="shared" si="1"/>
        <v>0</v>
      </c>
      <c r="O21" s="150">
        <v>16</v>
      </c>
      <c r="P21" s="150"/>
      <c r="Q21" s="150"/>
      <c r="R21" s="151" t="str">
        <f t="shared" si="7"/>
        <v/>
      </c>
      <c r="S21" s="153">
        <f t="shared" si="2"/>
        <v>-2</v>
      </c>
      <c r="T21" s="153">
        <f t="shared" si="3"/>
        <v>-20</v>
      </c>
      <c r="U21" s="151"/>
      <c r="V21" s="151">
        <f t="shared" si="4"/>
        <v>0</v>
      </c>
    </row>
    <row r="22" spans="1:22" x14ac:dyDescent="0.25">
      <c r="A22" s="54">
        <f t="shared" si="5"/>
        <v>0</v>
      </c>
      <c r="B22" s="38" t="str">
        <f t="shared" si="9"/>
        <v/>
      </c>
      <c r="C22" s="39"/>
      <c r="D22" s="39"/>
      <c r="E22" s="39"/>
      <c r="F22" s="39"/>
      <c r="G22" s="32"/>
      <c r="H22" s="40">
        <v>17</v>
      </c>
      <c r="I22" s="41" t="str">
        <f t="shared" si="6"/>
        <v/>
      </c>
      <c r="J22" s="40">
        <f t="shared" si="8"/>
        <v>-3</v>
      </c>
      <c r="K22" s="40">
        <f t="shared" si="0"/>
        <v>-30</v>
      </c>
      <c r="L22" s="40"/>
      <c r="M22" s="42">
        <f t="shared" si="1"/>
        <v>0</v>
      </c>
      <c r="O22" s="150">
        <v>17</v>
      </c>
      <c r="P22" s="150"/>
      <c r="Q22" s="150"/>
      <c r="R22" s="151" t="str">
        <f t="shared" si="7"/>
        <v/>
      </c>
      <c r="S22" s="153">
        <f t="shared" si="2"/>
        <v>-3</v>
      </c>
      <c r="T22" s="153">
        <f t="shared" si="3"/>
        <v>-30</v>
      </c>
      <c r="U22" s="151"/>
      <c r="V22" s="151">
        <f t="shared" si="4"/>
        <v>0</v>
      </c>
    </row>
    <row r="23" spans="1:22" x14ac:dyDescent="0.25">
      <c r="A23" s="53">
        <f t="shared" si="5"/>
        <v>0</v>
      </c>
      <c r="B23" s="44" t="str">
        <f t="shared" si="9"/>
        <v/>
      </c>
      <c r="C23" s="45"/>
      <c r="D23" s="45"/>
      <c r="E23" s="45"/>
      <c r="F23" s="45"/>
      <c r="G23" s="32"/>
      <c r="H23" s="46">
        <v>18</v>
      </c>
      <c r="I23" s="47" t="str">
        <f t="shared" si="6"/>
        <v/>
      </c>
      <c r="J23" s="46">
        <f t="shared" si="8"/>
        <v>-3</v>
      </c>
      <c r="K23" s="46">
        <f t="shared" si="0"/>
        <v>-30</v>
      </c>
      <c r="L23" s="46"/>
      <c r="M23" s="48">
        <f t="shared" si="1"/>
        <v>0</v>
      </c>
      <c r="O23" s="150">
        <v>18</v>
      </c>
      <c r="P23" s="150"/>
      <c r="Q23" s="150"/>
      <c r="R23" s="151" t="str">
        <f t="shared" si="7"/>
        <v/>
      </c>
      <c r="S23" s="153">
        <f t="shared" si="2"/>
        <v>-3</v>
      </c>
      <c r="T23" s="153">
        <f t="shared" si="3"/>
        <v>-30</v>
      </c>
      <c r="U23" s="151"/>
      <c r="V23" s="151">
        <f t="shared" si="4"/>
        <v>0</v>
      </c>
    </row>
    <row r="24" spans="1:22" x14ac:dyDescent="0.25">
      <c r="A24" s="54">
        <f t="shared" si="5"/>
        <v>0</v>
      </c>
      <c r="B24" s="38" t="str">
        <f t="shared" si="9"/>
        <v/>
      </c>
      <c r="C24" s="39"/>
      <c r="D24" s="39"/>
      <c r="E24" s="39"/>
      <c r="F24" s="39"/>
      <c r="G24" s="32"/>
      <c r="H24" s="40">
        <v>19</v>
      </c>
      <c r="I24" s="41" t="str">
        <f t="shared" si="6"/>
        <v/>
      </c>
      <c r="J24" s="40">
        <f t="shared" si="8"/>
        <v>-3</v>
      </c>
      <c r="K24" s="40">
        <f t="shared" si="0"/>
        <v>-30</v>
      </c>
      <c r="L24" s="40"/>
      <c r="M24" s="42">
        <f t="shared" si="1"/>
        <v>0</v>
      </c>
      <c r="O24" s="150">
        <v>19</v>
      </c>
      <c r="P24" s="150"/>
      <c r="Q24" s="150"/>
      <c r="R24" s="151" t="str">
        <f t="shared" si="7"/>
        <v/>
      </c>
      <c r="S24" s="153">
        <f t="shared" si="2"/>
        <v>-3</v>
      </c>
      <c r="T24" s="153">
        <f t="shared" si="3"/>
        <v>-30</v>
      </c>
      <c r="U24" s="151"/>
      <c r="V24" s="151">
        <f t="shared" si="4"/>
        <v>0</v>
      </c>
    </row>
    <row r="25" spans="1:22" x14ac:dyDescent="0.25">
      <c r="A25" s="53">
        <f t="shared" si="5"/>
        <v>0</v>
      </c>
      <c r="B25" s="44" t="str">
        <f t="shared" si="9"/>
        <v/>
      </c>
      <c r="C25" s="45"/>
      <c r="D25" s="45"/>
      <c r="E25" s="45"/>
      <c r="F25" s="45"/>
      <c r="G25" s="32"/>
      <c r="H25" s="46">
        <v>20</v>
      </c>
      <c r="I25" s="47" t="str">
        <f t="shared" si="6"/>
        <v/>
      </c>
      <c r="J25" s="46">
        <f t="shared" si="8"/>
        <v>-3</v>
      </c>
      <c r="K25" s="46">
        <f t="shared" si="0"/>
        <v>-30</v>
      </c>
      <c r="L25" s="46"/>
      <c r="M25" s="48">
        <f t="shared" si="1"/>
        <v>0</v>
      </c>
      <c r="O25" s="150">
        <v>20</v>
      </c>
      <c r="P25" s="150"/>
      <c r="Q25" s="150"/>
      <c r="R25" s="151" t="str">
        <f t="shared" si="7"/>
        <v/>
      </c>
      <c r="S25" s="153">
        <f t="shared" si="2"/>
        <v>-3</v>
      </c>
      <c r="T25" s="153">
        <f t="shared" si="3"/>
        <v>-30</v>
      </c>
      <c r="U25" s="151"/>
      <c r="V25" s="151">
        <f t="shared" si="4"/>
        <v>0</v>
      </c>
    </row>
    <row r="26" spans="1:22" x14ac:dyDescent="0.25">
      <c r="A26" s="54">
        <f t="shared" si="5"/>
        <v>0</v>
      </c>
      <c r="B26" s="38" t="str">
        <f t="shared" si="9"/>
        <v/>
      </c>
      <c r="C26" s="39"/>
      <c r="D26" s="39"/>
      <c r="E26" s="39"/>
      <c r="F26" s="39"/>
      <c r="G26" s="32"/>
      <c r="H26" s="40">
        <v>21</v>
      </c>
      <c r="I26" s="41" t="str">
        <f t="shared" si="6"/>
        <v/>
      </c>
      <c r="J26" s="40">
        <f t="shared" si="8"/>
        <v>-3</v>
      </c>
      <c r="K26" s="40">
        <f t="shared" si="0"/>
        <v>-30</v>
      </c>
      <c r="L26" s="40"/>
      <c r="M26" s="42">
        <f t="shared" si="1"/>
        <v>0</v>
      </c>
      <c r="O26" s="150">
        <v>21</v>
      </c>
      <c r="P26" s="150"/>
      <c r="Q26" s="150"/>
      <c r="R26" s="151" t="str">
        <f t="shared" si="7"/>
        <v/>
      </c>
      <c r="S26" s="153">
        <f t="shared" si="2"/>
        <v>-3</v>
      </c>
      <c r="T26" s="153">
        <f t="shared" si="3"/>
        <v>-30</v>
      </c>
      <c r="U26" s="151"/>
      <c r="V26" s="151">
        <f t="shared" si="4"/>
        <v>0</v>
      </c>
    </row>
    <row r="27" spans="1:22" x14ac:dyDescent="0.25">
      <c r="A27" s="53">
        <f t="shared" si="5"/>
        <v>0</v>
      </c>
      <c r="B27" s="44" t="str">
        <f t="shared" si="9"/>
        <v/>
      </c>
      <c r="C27" s="45"/>
      <c r="D27" s="45"/>
      <c r="E27" s="45"/>
      <c r="F27" s="45"/>
      <c r="G27" s="32"/>
      <c r="H27" s="46">
        <v>22</v>
      </c>
      <c r="I27" s="47" t="str">
        <f t="shared" si="6"/>
        <v/>
      </c>
      <c r="J27" s="46">
        <f t="shared" si="8"/>
        <v>-3</v>
      </c>
      <c r="K27" s="46">
        <f t="shared" si="0"/>
        <v>-30</v>
      </c>
      <c r="L27" s="46"/>
      <c r="M27" s="48">
        <f t="shared" si="1"/>
        <v>0</v>
      </c>
      <c r="O27" s="150">
        <v>22</v>
      </c>
      <c r="P27" s="150"/>
      <c r="Q27" s="150"/>
      <c r="R27" s="151" t="str">
        <f t="shared" si="7"/>
        <v/>
      </c>
      <c r="S27" s="153">
        <f t="shared" si="2"/>
        <v>-3</v>
      </c>
      <c r="T27" s="153">
        <f t="shared" si="3"/>
        <v>-30</v>
      </c>
      <c r="U27" s="151"/>
      <c r="V27" s="151">
        <f t="shared" si="4"/>
        <v>0</v>
      </c>
    </row>
    <row r="28" spans="1:22" x14ac:dyDescent="0.25">
      <c r="A28" s="54">
        <f t="shared" si="5"/>
        <v>0</v>
      </c>
      <c r="B28" s="38" t="str">
        <f t="shared" si="9"/>
        <v/>
      </c>
      <c r="C28" s="39"/>
      <c r="D28" s="39"/>
      <c r="E28" s="39"/>
      <c r="F28" s="39"/>
      <c r="G28" s="32"/>
      <c r="H28" s="40">
        <v>23</v>
      </c>
      <c r="I28" s="41" t="str">
        <f t="shared" si="6"/>
        <v/>
      </c>
      <c r="J28" s="40">
        <f t="shared" si="8"/>
        <v>-3</v>
      </c>
      <c r="K28" s="40">
        <f t="shared" si="0"/>
        <v>-30</v>
      </c>
      <c r="L28" s="40"/>
      <c r="M28" s="42">
        <f t="shared" si="1"/>
        <v>0</v>
      </c>
      <c r="O28" s="150">
        <v>23</v>
      </c>
      <c r="P28" s="150"/>
      <c r="Q28" s="150"/>
      <c r="R28" s="151" t="str">
        <f t="shared" si="7"/>
        <v/>
      </c>
      <c r="S28" s="153">
        <f t="shared" si="2"/>
        <v>-3</v>
      </c>
      <c r="T28" s="153">
        <f t="shared" si="3"/>
        <v>-30</v>
      </c>
      <c r="U28" s="151"/>
      <c r="V28" s="151">
        <f t="shared" si="4"/>
        <v>0</v>
      </c>
    </row>
    <row r="29" spans="1:22" x14ac:dyDescent="0.25">
      <c r="A29" s="53">
        <f t="shared" si="5"/>
        <v>0</v>
      </c>
      <c r="B29" s="44" t="str">
        <f t="shared" si="9"/>
        <v/>
      </c>
      <c r="C29" s="45"/>
      <c r="D29" s="45"/>
      <c r="E29" s="45"/>
      <c r="F29" s="45"/>
      <c r="G29" s="18"/>
      <c r="H29" s="46">
        <v>24</v>
      </c>
      <c r="I29" s="47" t="str">
        <f t="shared" si="6"/>
        <v/>
      </c>
      <c r="J29" s="46">
        <f t="shared" si="8"/>
        <v>-3</v>
      </c>
      <c r="K29" s="46">
        <f t="shared" si="0"/>
        <v>-30</v>
      </c>
      <c r="L29" s="46"/>
      <c r="M29" s="48">
        <f t="shared" si="1"/>
        <v>0</v>
      </c>
      <c r="O29" s="150">
        <v>24</v>
      </c>
      <c r="P29" s="150"/>
      <c r="Q29" s="150"/>
      <c r="R29" s="151" t="str">
        <f t="shared" si="7"/>
        <v/>
      </c>
      <c r="S29" s="153">
        <f t="shared" si="2"/>
        <v>-3</v>
      </c>
      <c r="T29" s="153">
        <f t="shared" si="3"/>
        <v>-30</v>
      </c>
      <c r="U29" s="151"/>
      <c r="V29" s="151">
        <f t="shared" si="4"/>
        <v>0</v>
      </c>
    </row>
    <row r="30" spans="1:22" x14ac:dyDescent="0.25">
      <c r="A30" s="54">
        <f t="shared" si="5"/>
        <v>0</v>
      </c>
      <c r="B30" s="38" t="str">
        <f t="shared" si="9"/>
        <v/>
      </c>
      <c r="C30" s="39"/>
      <c r="D30" s="39"/>
      <c r="E30" s="39"/>
      <c r="F30" s="39"/>
      <c r="G30" s="18"/>
      <c r="H30" s="40">
        <v>25</v>
      </c>
      <c r="I30" s="41" t="str">
        <f t="shared" si="6"/>
        <v/>
      </c>
      <c r="J30" s="40">
        <f t="shared" si="8"/>
        <v>-3</v>
      </c>
      <c r="K30" s="40">
        <f t="shared" si="0"/>
        <v>-30</v>
      </c>
      <c r="L30" s="40"/>
      <c r="M30" s="42">
        <f t="shared" si="1"/>
        <v>0</v>
      </c>
      <c r="O30" s="150">
        <v>25</v>
      </c>
      <c r="P30" s="150"/>
      <c r="Q30" s="150"/>
      <c r="R30" s="151" t="str">
        <f t="shared" si="7"/>
        <v/>
      </c>
      <c r="S30" s="153">
        <f t="shared" si="2"/>
        <v>-3</v>
      </c>
      <c r="T30" s="153">
        <f t="shared" si="3"/>
        <v>-30</v>
      </c>
      <c r="U30" s="151"/>
      <c r="V30" s="151">
        <f t="shared" si="4"/>
        <v>0</v>
      </c>
    </row>
    <row r="31" spans="1:22" x14ac:dyDescent="0.25">
      <c r="A31" s="53">
        <f t="shared" si="5"/>
        <v>0</v>
      </c>
      <c r="B31" s="44" t="str">
        <f t="shared" si="9"/>
        <v/>
      </c>
      <c r="C31" s="45"/>
      <c r="D31" s="45"/>
      <c r="E31" s="45"/>
      <c r="F31" s="45"/>
      <c r="G31" s="18"/>
      <c r="H31" s="46">
        <v>26</v>
      </c>
      <c r="I31" s="47" t="str">
        <f t="shared" si="6"/>
        <v/>
      </c>
      <c r="J31" s="46">
        <f t="shared" si="8"/>
        <v>-3</v>
      </c>
      <c r="K31" s="46">
        <f t="shared" si="0"/>
        <v>-30</v>
      </c>
      <c r="L31" s="46"/>
      <c r="M31" s="48">
        <f t="shared" si="1"/>
        <v>0</v>
      </c>
      <c r="O31" s="150">
        <v>26</v>
      </c>
      <c r="P31" s="150"/>
      <c r="Q31" s="150"/>
      <c r="R31" s="151" t="str">
        <f t="shared" si="7"/>
        <v/>
      </c>
      <c r="S31" s="153">
        <f t="shared" si="2"/>
        <v>-3</v>
      </c>
      <c r="T31" s="153">
        <f t="shared" si="3"/>
        <v>-30</v>
      </c>
      <c r="U31" s="151"/>
      <c r="V31" s="151">
        <f t="shared" si="4"/>
        <v>0</v>
      </c>
    </row>
    <row r="32" spans="1:22" x14ac:dyDescent="0.25">
      <c r="A32" s="54">
        <f t="shared" si="5"/>
        <v>0</v>
      </c>
      <c r="B32" s="38" t="str">
        <f t="shared" si="9"/>
        <v/>
      </c>
      <c r="C32" s="39"/>
      <c r="D32" s="39"/>
      <c r="E32" s="39"/>
      <c r="F32" s="39"/>
      <c r="G32" s="18"/>
      <c r="H32" s="40">
        <v>27</v>
      </c>
      <c r="I32" s="41" t="str">
        <f t="shared" si="6"/>
        <v/>
      </c>
      <c r="J32" s="40">
        <f t="shared" si="8"/>
        <v>-3</v>
      </c>
      <c r="K32" s="40">
        <f t="shared" si="0"/>
        <v>-30</v>
      </c>
      <c r="L32" s="40"/>
      <c r="M32" s="42">
        <f t="shared" si="1"/>
        <v>0</v>
      </c>
      <c r="O32" s="150">
        <v>27</v>
      </c>
      <c r="P32" s="150"/>
      <c r="Q32" s="150"/>
      <c r="R32" s="151" t="str">
        <f t="shared" si="7"/>
        <v/>
      </c>
      <c r="S32" s="153">
        <f t="shared" si="2"/>
        <v>-3</v>
      </c>
      <c r="T32" s="153">
        <f t="shared" si="3"/>
        <v>-30</v>
      </c>
      <c r="U32" s="151"/>
      <c r="V32" s="151">
        <f t="shared" si="4"/>
        <v>0</v>
      </c>
    </row>
    <row r="33" spans="1:22" x14ac:dyDescent="0.25">
      <c r="A33" s="53">
        <f t="shared" si="5"/>
        <v>0</v>
      </c>
      <c r="B33" s="44" t="str">
        <f t="shared" si="9"/>
        <v/>
      </c>
      <c r="C33" s="45"/>
      <c r="D33" s="45"/>
      <c r="E33" s="45"/>
      <c r="F33" s="45"/>
      <c r="G33" s="18"/>
      <c r="H33" s="46">
        <v>28</v>
      </c>
      <c r="I33" s="47" t="str">
        <f t="shared" si="6"/>
        <v/>
      </c>
      <c r="J33" s="46">
        <f t="shared" si="8"/>
        <v>-3</v>
      </c>
      <c r="K33" s="46">
        <f t="shared" si="0"/>
        <v>-30</v>
      </c>
      <c r="L33" s="46"/>
      <c r="M33" s="48">
        <f t="shared" si="1"/>
        <v>0</v>
      </c>
      <c r="O33" s="150">
        <v>28</v>
      </c>
      <c r="P33" s="150"/>
      <c r="Q33" s="150"/>
      <c r="R33" s="151" t="str">
        <f t="shared" si="7"/>
        <v/>
      </c>
      <c r="S33" s="153">
        <f t="shared" si="2"/>
        <v>-3</v>
      </c>
      <c r="T33" s="153">
        <f t="shared" si="3"/>
        <v>-30</v>
      </c>
      <c r="U33" s="151"/>
      <c r="V33" s="151">
        <f t="shared" si="4"/>
        <v>0</v>
      </c>
    </row>
    <row r="34" spans="1:22" x14ac:dyDescent="0.25">
      <c r="A34" s="54">
        <f t="shared" si="5"/>
        <v>0</v>
      </c>
      <c r="B34" s="38" t="str">
        <f t="shared" si="9"/>
        <v/>
      </c>
      <c r="C34" s="39"/>
      <c r="D34" s="39"/>
      <c r="E34" s="39"/>
      <c r="F34" s="39"/>
      <c r="G34" s="18"/>
      <c r="H34" s="40">
        <v>29</v>
      </c>
      <c r="I34" s="41" t="str">
        <f t="shared" si="6"/>
        <v/>
      </c>
      <c r="J34" s="40">
        <f t="shared" si="8"/>
        <v>-3</v>
      </c>
      <c r="K34" s="40">
        <f t="shared" si="0"/>
        <v>-30</v>
      </c>
      <c r="L34" s="40"/>
      <c r="M34" s="42">
        <f t="shared" si="1"/>
        <v>0</v>
      </c>
      <c r="O34" s="150">
        <v>29</v>
      </c>
      <c r="P34" s="150"/>
      <c r="Q34" s="150"/>
      <c r="R34" s="151" t="str">
        <f t="shared" si="7"/>
        <v/>
      </c>
      <c r="S34" s="153">
        <f t="shared" si="2"/>
        <v>-3</v>
      </c>
      <c r="T34" s="153">
        <f t="shared" si="3"/>
        <v>-30</v>
      </c>
      <c r="U34" s="151"/>
      <c r="V34" s="151">
        <f t="shared" si="4"/>
        <v>0</v>
      </c>
    </row>
    <row r="35" spans="1:22" x14ac:dyDescent="0.25">
      <c r="A35" s="53">
        <f t="shared" si="5"/>
        <v>0</v>
      </c>
      <c r="B35" s="44" t="str">
        <f t="shared" si="9"/>
        <v/>
      </c>
      <c r="C35" s="45"/>
      <c r="D35" s="45"/>
      <c r="E35" s="45"/>
      <c r="F35" s="45"/>
      <c r="G35" s="18"/>
      <c r="H35" s="46">
        <v>30</v>
      </c>
      <c r="I35" s="47" t="str">
        <f t="shared" si="6"/>
        <v/>
      </c>
      <c r="J35" s="46">
        <f t="shared" si="8"/>
        <v>-3</v>
      </c>
      <c r="K35" s="46">
        <f t="shared" si="0"/>
        <v>-30</v>
      </c>
      <c r="L35" s="46"/>
      <c r="M35" s="48">
        <f t="shared" si="1"/>
        <v>0</v>
      </c>
      <c r="O35" s="150">
        <v>30</v>
      </c>
      <c r="P35" s="150"/>
      <c r="Q35" s="150"/>
      <c r="R35" s="151" t="str">
        <f t="shared" si="7"/>
        <v/>
      </c>
      <c r="S35" s="153">
        <f t="shared" si="2"/>
        <v>-3</v>
      </c>
      <c r="T35" s="153">
        <f t="shared" si="3"/>
        <v>-30</v>
      </c>
      <c r="U35" s="151"/>
      <c r="V35" s="151">
        <f t="shared" si="4"/>
        <v>0</v>
      </c>
    </row>
    <row r="36" spans="1:22" x14ac:dyDescent="0.25">
      <c r="A36" s="54">
        <f t="shared" si="5"/>
        <v>0</v>
      </c>
      <c r="B36" s="38" t="str">
        <f t="shared" si="9"/>
        <v/>
      </c>
      <c r="C36" s="39"/>
      <c r="D36" s="39"/>
      <c r="E36" s="39"/>
      <c r="F36" s="39"/>
      <c r="G36" s="18"/>
      <c r="H36" s="40">
        <v>31</v>
      </c>
      <c r="I36" s="41" t="str">
        <f t="shared" si="6"/>
        <v/>
      </c>
      <c r="J36" s="40">
        <f t="shared" si="8"/>
        <v>-3</v>
      </c>
      <c r="K36" s="40">
        <f t="shared" si="0"/>
        <v>-30</v>
      </c>
      <c r="L36" s="40"/>
      <c r="M36" s="42">
        <f t="shared" si="1"/>
        <v>0</v>
      </c>
      <c r="O36" s="150">
        <v>31</v>
      </c>
      <c r="P36" s="150"/>
      <c r="Q36" s="150"/>
      <c r="R36" s="151" t="str">
        <f t="shared" si="7"/>
        <v/>
      </c>
      <c r="S36" s="153">
        <f t="shared" si="2"/>
        <v>-3</v>
      </c>
      <c r="T36" s="153">
        <f t="shared" si="3"/>
        <v>-30</v>
      </c>
      <c r="U36" s="151"/>
      <c r="V36" s="151">
        <f t="shared" si="4"/>
        <v>0</v>
      </c>
    </row>
    <row r="37" spans="1:22" x14ac:dyDescent="0.25">
      <c r="A37" s="53">
        <f t="shared" si="5"/>
        <v>0</v>
      </c>
      <c r="B37" s="44" t="str">
        <f t="shared" si="9"/>
        <v/>
      </c>
      <c r="C37" s="45"/>
      <c r="D37" s="45"/>
      <c r="E37" s="45"/>
      <c r="F37" s="45"/>
      <c r="G37" s="18"/>
      <c r="H37" s="46">
        <v>32</v>
      </c>
      <c r="I37" s="47" t="str">
        <f t="shared" si="6"/>
        <v/>
      </c>
      <c r="J37" s="46">
        <f t="shared" si="8"/>
        <v>-3</v>
      </c>
      <c r="K37" s="46">
        <f t="shared" si="0"/>
        <v>-30</v>
      </c>
      <c r="L37" s="46"/>
      <c r="M37" s="48">
        <f t="shared" si="1"/>
        <v>0</v>
      </c>
      <c r="O37" s="150">
        <v>32</v>
      </c>
      <c r="P37" s="150"/>
      <c r="Q37" s="150"/>
      <c r="R37" s="151" t="str">
        <f t="shared" si="7"/>
        <v/>
      </c>
      <c r="S37" s="153">
        <f t="shared" si="2"/>
        <v>-3</v>
      </c>
      <c r="T37" s="153">
        <f t="shared" si="3"/>
        <v>-30</v>
      </c>
      <c r="U37" s="151"/>
      <c r="V37" s="151">
        <f t="shared" si="4"/>
        <v>0</v>
      </c>
    </row>
    <row r="38" spans="1:22" x14ac:dyDescent="0.25">
      <c r="A38" s="54"/>
      <c r="B38" s="38" t="str">
        <f t="shared" ref="B38:B65" si="10">IF(H38&gt;$H$2,"",(ROW()-5))</f>
        <v/>
      </c>
      <c r="C38" s="39"/>
      <c r="D38" s="39"/>
      <c r="E38" s="39"/>
      <c r="F38" s="39"/>
      <c r="G38" s="18"/>
      <c r="H38" s="40">
        <v>33</v>
      </c>
      <c r="I38" s="41" t="str">
        <f t="shared" si="6"/>
        <v/>
      </c>
      <c r="J38" s="40">
        <f t="shared" si="8"/>
        <v>-4</v>
      </c>
      <c r="K38" s="40">
        <f t="shared" si="0"/>
        <v>-40</v>
      </c>
      <c r="L38" s="40"/>
      <c r="M38" s="42">
        <f t="shared" si="1"/>
        <v>0</v>
      </c>
      <c r="O38" s="150">
        <v>33</v>
      </c>
      <c r="P38" s="150"/>
      <c r="Q38" s="150"/>
      <c r="R38" s="151" t="str">
        <f t="shared" si="7"/>
        <v/>
      </c>
      <c r="S38" s="153">
        <f t="shared" si="2"/>
        <v>-4</v>
      </c>
      <c r="T38" s="153">
        <f t="shared" si="3"/>
        <v>-40</v>
      </c>
      <c r="U38" s="151"/>
      <c r="V38" s="151">
        <f t="shared" si="4"/>
        <v>0</v>
      </c>
    </row>
    <row r="39" spans="1:22" x14ac:dyDescent="0.25">
      <c r="A39" s="53"/>
      <c r="B39" s="44" t="str">
        <f t="shared" si="10"/>
        <v/>
      </c>
      <c r="C39" s="45"/>
      <c r="D39" s="45"/>
      <c r="E39" s="45"/>
      <c r="F39" s="45"/>
      <c r="G39" s="18"/>
      <c r="H39" s="46">
        <v>34</v>
      </c>
      <c r="I39" s="47" t="str">
        <f t="shared" si="6"/>
        <v/>
      </c>
      <c r="J39" s="46">
        <f t="shared" si="8"/>
        <v>-4</v>
      </c>
      <c r="K39" s="46">
        <f t="shared" si="0"/>
        <v>-40</v>
      </c>
      <c r="L39" s="46"/>
      <c r="M39" s="48">
        <f t="shared" si="1"/>
        <v>0</v>
      </c>
      <c r="O39" s="150">
        <v>34</v>
      </c>
      <c r="P39" s="150"/>
      <c r="Q39" s="150"/>
      <c r="R39" s="151" t="str">
        <f t="shared" si="7"/>
        <v/>
      </c>
      <c r="S39" s="153">
        <f t="shared" si="2"/>
        <v>-4</v>
      </c>
      <c r="T39" s="153">
        <f t="shared" si="3"/>
        <v>-40</v>
      </c>
      <c r="U39" s="151"/>
      <c r="V39" s="151">
        <f t="shared" si="4"/>
        <v>0</v>
      </c>
    </row>
    <row r="40" spans="1:22" x14ac:dyDescent="0.25">
      <c r="A40" s="54"/>
      <c r="B40" s="38" t="str">
        <f t="shared" si="10"/>
        <v/>
      </c>
      <c r="C40" s="39"/>
      <c r="D40" s="39"/>
      <c r="E40" s="39"/>
      <c r="F40" s="39"/>
      <c r="G40" s="18"/>
      <c r="H40" s="40">
        <v>35</v>
      </c>
      <c r="I40" s="41" t="str">
        <f t="shared" si="6"/>
        <v/>
      </c>
      <c r="J40" s="40">
        <f t="shared" si="8"/>
        <v>-4</v>
      </c>
      <c r="K40" s="40">
        <f t="shared" si="0"/>
        <v>-40</v>
      </c>
      <c r="L40" s="40"/>
      <c r="M40" s="42">
        <f t="shared" si="1"/>
        <v>0</v>
      </c>
      <c r="O40" s="150">
        <v>35</v>
      </c>
      <c r="P40" s="150"/>
      <c r="Q40" s="150"/>
      <c r="R40" s="151" t="str">
        <f t="shared" si="7"/>
        <v/>
      </c>
      <c r="S40" s="153">
        <f t="shared" si="2"/>
        <v>-4</v>
      </c>
      <c r="T40" s="153">
        <f t="shared" si="3"/>
        <v>-40</v>
      </c>
      <c r="U40" s="151"/>
      <c r="V40" s="151">
        <f t="shared" si="4"/>
        <v>0</v>
      </c>
    </row>
    <row r="41" spans="1:22" x14ac:dyDescent="0.25">
      <c r="A41" s="53"/>
      <c r="B41" s="44" t="str">
        <f t="shared" si="10"/>
        <v/>
      </c>
      <c r="C41" s="45"/>
      <c r="D41" s="45"/>
      <c r="E41" s="45"/>
      <c r="F41" s="45"/>
      <c r="G41" s="18"/>
      <c r="H41" s="46">
        <v>36</v>
      </c>
      <c r="I41" s="47" t="str">
        <f t="shared" si="6"/>
        <v/>
      </c>
      <c r="J41" s="46">
        <f t="shared" si="8"/>
        <v>-4</v>
      </c>
      <c r="K41" s="46">
        <f t="shared" si="0"/>
        <v>-40</v>
      </c>
      <c r="L41" s="46"/>
      <c r="M41" s="48">
        <f t="shared" si="1"/>
        <v>0</v>
      </c>
      <c r="O41" s="150">
        <v>36</v>
      </c>
      <c r="P41" s="150"/>
      <c r="Q41" s="150"/>
      <c r="R41" s="151" t="str">
        <f t="shared" si="7"/>
        <v/>
      </c>
      <c r="S41" s="153">
        <f t="shared" si="2"/>
        <v>-4</v>
      </c>
      <c r="T41" s="153">
        <f t="shared" si="3"/>
        <v>-40</v>
      </c>
      <c r="U41" s="151"/>
      <c r="V41" s="151">
        <f t="shared" si="4"/>
        <v>0</v>
      </c>
    </row>
    <row r="42" spans="1:22" x14ac:dyDescent="0.25">
      <c r="A42" s="54"/>
      <c r="B42" s="38" t="str">
        <f t="shared" si="10"/>
        <v/>
      </c>
      <c r="C42" s="39"/>
      <c r="D42" s="39"/>
      <c r="E42" s="39"/>
      <c r="F42" s="39"/>
      <c r="G42" s="18"/>
      <c r="H42" s="40">
        <v>37</v>
      </c>
      <c r="I42" s="41" t="str">
        <f t="shared" si="6"/>
        <v/>
      </c>
      <c r="J42" s="40">
        <f t="shared" si="8"/>
        <v>-4</v>
      </c>
      <c r="K42" s="40">
        <f t="shared" si="0"/>
        <v>-40</v>
      </c>
      <c r="L42" s="40"/>
      <c r="M42" s="42">
        <f t="shared" si="1"/>
        <v>0</v>
      </c>
      <c r="O42" s="150">
        <v>37</v>
      </c>
      <c r="P42" s="150"/>
      <c r="Q42" s="150"/>
      <c r="R42" s="151" t="str">
        <f t="shared" si="7"/>
        <v/>
      </c>
      <c r="S42" s="153">
        <f t="shared" si="2"/>
        <v>-4</v>
      </c>
      <c r="T42" s="153">
        <f t="shared" si="3"/>
        <v>-40</v>
      </c>
      <c r="U42" s="151"/>
      <c r="V42" s="151">
        <f t="shared" si="4"/>
        <v>0</v>
      </c>
    </row>
    <row r="43" spans="1:22" x14ac:dyDescent="0.25">
      <c r="A43" s="53"/>
      <c r="B43" s="44" t="str">
        <f t="shared" si="10"/>
        <v/>
      </c>
      <c r="C43" s="45"/>
      <c r="D43" s="45"/>
      <c r="E43" s="45"/>
      <c r="F43" s="45"/>
      <c r="G43" s="18"/>
      <c r="H43" s="46">
        <v>38</v>
      </c>
      <c r="I43" s="47" t="str">
        <f t="shared" si="6"/>
        <v/>
      </c>
      <c r="J43" s="46">
        <f t="shared" si="8"/>
        <v>-4</v>
      </c>
      <c r="K43" s="46">
        <f t="shared" si="0"/>
        <v>-40</v>
      </c>
      <c r="L43" s="46"/>
      <c r="M43" s="48">
        <f t="shared" si="1"/>
        <v>0</v>
      </c>
      <c r="O43" s="150">
        <v>38</v>
      </c>
      <c r="P43" s="150"/>
      <c r="Q43" s="150"/>
      <c r="R43" s="151" t="str">
        <f t="shared" si="7"/>
        <v/>
      </c>
      <c r="S43" s="153">
        <f t="shared" si="2"/>
        <v>-4</v>
      </c>
      <c r="T43" s="153">
        <f t="shared" si="3"/>
        <v>-40</v>
      </c>
      <c r="U43" s="151"/>
      <c r="V43" s="151">
        <f t="shared" si="4"/>
        <v>0</v>
      </c>
    </row>
    <row r="44" spans="1:22" x14ac:dyDescent="0.25">
      <c r="A44" s="54"/>
      <c r="B44" s="38" t="str">
        <f t="shared" si="10"/>
        <v/>
      </c>
      <c r="C44" s="39"/>
      <c r="D44" s="39"/>
      <c r="E44" s="39"/>
      <c r="F44" s="39"/>
      <c r="G44" s="18"/>
      <c r="H44" s="40">
        <v>39</v>
      </c>
      <c r="I44" s="41" t="str">
        <f t="shared" si="6"/>
        <v/>
      </c>
      <c r="J44" s="40">
        <f t="shared" si="8"/>
        <v>-4</v>
      </c>
      <c r="K44" s="40">
        <f t="shared" si="0"/>
        <v>-40</v>
      </c>
      <c r="L44" s="40"/>
      <c r="M44" s="42">
        <f t="shared" si="1"/>
        <v>0</v>
      </c>
      <c r="O44" s="150">
        <v>39</v>
      </c>
      <c r="P44" s="150"/>
      <c r="Q44" s="150"/>
      <c r="R44" s="151" t="str">
        <f t="shared" si="7"/>
        <v/>
      </c>
      <c r="S44" s="153">
        <f t="shared" si="2"/>
        <v>-4</v>
      </c>
      <c r="T44" s="153">
        <f t="shared" si="3"/>
        <v>-40</v>
      </c>
      <c r="U44" s="151"/>
      <c r="V44" s="151">
        <f t="shared" si="4"/>
        <v>0</v>
      </c>
    </row>
    <row r="45" spans="1:22" x14ac:dyDescent="0.25">
      <c r="A45" s="53"/>
      <c r="B45" s="44" t="str">
        <f t="shared" si="10"/>
        <v/>
      </c>
      <c r="C45" s="45"/>
      <c r="D45" s="45"/>
      <c r="E45" s="45"/>
      <c r="F45" s="45"/>
      <c r="G45" s="18"/>
      <c r="H45" s="46">
        <v>40</v>
      </c>
      <c r="I45" s="47" t="str">
        <f t="shared" si="6"/>
        <v/>
      </c>
      <c r="J45" s="46">
        <f t="shared" si="8"/>
        <v>-4</v>
      </c>
      <c r="K45" s="46">
        <f t="shared" si="0"/>
        <v>-40</v>
      </c>
      <c r="L45" s="46"/>
      <c r="M45" s="48">
        <f t="shared" si="1"/>
        <v>0</v>
      </c>
      <c r="O45" s="150">
        <v>40</v>
      </c>
      <c r="P45" s="150"/>
      <c r="Q45" s="150"/>
      <c r="R45" s="151" t="str">
        <f t="shared" si="7"/>
        <v/>
      </c>
      <c r="S45" s="153">
        <f t="shared" si="2"/>
        <v>-4</v>
      </c>
      <c r="T45" s="153">
        <f t="shared" si="3"/>
        <v>-40</v>
      </c>
      <c r="U45" s="151"/>
      <c r="V45" s="151">
        <f t="shared" si="4"/>
        <v>0</v>
      </c>
    </row>
    <row r="46" spans="1:22" x14ac:dyDescent="0.25">
      <c r="A46" s="54"/>
      <c r="B46" s="38" t="str">
        <f t="shared" si="10"/>
        <v/>
      </c>
      <c r="C46" s="39"/>
      <c r="D46" s="39"/>
      <c r="E46" s="39"/>
      <c r="F46" s="39"/>
      <c r="G46" s="18"/>
      <c r="H46" s="40">
        <v>41</v>
      </c>
      <c r="I46" s="41" t="str">
        <f t="shared" si="6"/>
        <v/>
      </c>
      <c r="J46" s="40">
        <f t="shared" si="8"/>
        <v>-4</v>
      </c>
      <c r="K46" s="40">
        <f t="shared" si="0"/>
        <v>-40</v>
      </c>
      <c r="L46" s="40"/>
      <c r="M46" s="42">
        <f t="shared" si="1"/>
        <v>0</v>
      </c>
      <c r="O46" s="150">
        <v>41</v>
      </c>
      <c r="P46" s="150"/>
      <c r="Q46" s="150"/>
      <c r="R46" s="151" t="str">
        <f t="shared" si="7"/>
        <v/>
      </c>
      <c r="S46" s="153">
        <f t="shared" si="2"/>
        <v>-4</v>
      </c>
      <c r="T46" s="153">
        <f t="shared" si="3"/>
        <v>-40</v>
      </c>
      <c r="U46" s="151"/>
      <c r="V46" s="151">
        <f t="shared" si="4"/>
        <v>0</v>
      </c>
    </row>
    <row r="47" spans="1:22" x14ac:dyDescent="0.25">
      <c r="A47" s="53"/>
      <c r="B47" s="44" t="str">
        <f t="shared" si="10"/>
        <v/>
      </c>
      <c r="C47" s="45"/>
      <c r="D47" s="45"/>
      <c r="E47" s="45"/>
      <c r="F47" s="45"/>
      <c r="G47" s="18"/>
      <c r="H47" s="46">
        <v>42</v>
      </c>
      <c r="I47" s="47" t="str">
        <f t="shared" si="6"/>
        <v/>
      </c>
      <c r="J47" s="46">
        <f t="shared" si="8"/>
        <v>-4</v>
      </c>
      <c r="K47" s="46">
        <f t="shared" si="0"/>
        <v>-40</v>
      </c>
      <c r="L47" s="46"/>
      <c r="M47" s="48">
        <f t="shared" si="1"/>
        <v>0</v>
      </c>
      <c r="O47" s="150">
        <v>42</v>
      </c>
      <c r="P47" s="150"/>
      <c r="Q47" s="150"/>
      <c r="R47" s="151" t="str">
        <f t="shared" si="7"/>
        <v/>
      </c>
      <c r="S47" s="153">
        <f t="shared" si="2"/>
        <v>-4</v>
      </c>
      <c r="T47" s="153">
        <f t="shared" si="3"/>
        <v>-40</v>
      </c>
      <c r="U47" s="151"/>
      <c r="V47" s="151">
        <f t="shared" si="4"/>
        <v>0</v>
      </c>
    </row>
    <row r="48" spans="1:22" x14ac:dyDescent="0.25">
      <c r="A48" s="54"/>
      <c r="B48" s="38" t="str">
        <f t="shared" si="10"/>
        <v/>
      </c>
      <c r="C48" s="39"/>
      <c r="D48" s="39"/>
      <c r="E48" s="39"/>
      <c r="F48" s="39"/>
      <c r="G48" s="18"/>
      <c r="H48" s="40">
        <v>43</v>
      </c>
      <c r="I48" s="41" t="str">
        <f t="shared" si="6"/>
        <v/>
      </c>
      <c r="J48" s="40">
        <f t="shared" si="8"/>
        <v>-4</v>
      </c>
      <c r="K48" s="40">
        <f t="shared" si="0"/>
        <v>-40</v>
      </c>
      <c r="L48" s="40"/>
      <c r="M48" s="42">
        <f t="shared" si="1"/>
        <v>0</v>
      </c>
      <c r="O48" s="150">
        <v>43</v>
      </c>
      <c r="P48" s="150"/>
      <c r="Q48" s="150"/>
      <c r="R48" s="151" t="str">
        <f t="shared" si="7"/>
        <v/>
      </c>
      <c r="S48" s="153">
        <f t="shared" si="2"/>
        <v>-4</v>
      </c>
      <c r="T48" s="153">
        <f t="shared" si="3"/>
        <v>-40</v>
      </c>
      <c r="U48" s="151"/>
      <c r="V48" s="151">
        <f t="shared" si="4"/>
        <v>0</v>
      </c>
    </row>
    <row r="49" spans="1:22" x14ac:dyDescent="0.25">
      <c r="A49" s="53"/>
      <c r="B49" s="44" t="str">
        <f t="shared" si="10"/>
        <v/>
      </c>
      <c r="C49" s="45"/>
      <c r="D49" s="45"/>
      <c r="E49" s="45"/>
      <c r="F49" s="45"/>
      <c r="G49" s="18"/>
      <c r="H49" s="46">
        <v>44</v>
      </c>
      <c r="I49" s="47" t="str">
        <f t="shared" si="6"/>
        <v/>
      </c>
      <c r="J49" s="46">
        <f t="shared" si="8"/>
        <v>-4</v>
      </c>
      <c r="K49" s="46">
        <f t="shared" si="0"/>
        <v>-40</v>
      </c>
      <c r="L49" s="46"/>
      <c r="M49" s="48">
        <f t="shared" si="1"/>
        <v>0</v>
      </c>
      <c r="O49" s="150">
        <v>44</v>
      </c>
      <c r="P49" s="150"/>
      <c r="Q49" s="150"/>
      <c r="R49" s="151" t="str">
        <f t="shared" si="7"/>
        <v/>
      </c>
      <c r="S49" s="153">
        <f t="shared" si="2"/>
        <v>-4</v>
      </c>
      <c r="T49" s="153">
        <f t="shared" si="3"/>
        <v>-40</v>
      </c>
      <c r="U49" s="151"/>
      <c r="V49" s="151">
        <f t="shared" si="4"/>
        <v>0</v>
      </c>
    </row>
    <row r="50" spans="1:22" x14ac:dyDescent="0.25">
      <c r="A50" s="54"/>
      <c r="B50" s="38" t="str">
        <f t="shared" si="10"/>
        <v/>
      </c>
      <c r="C50" s="39"/>
      <c r="D50" s="39"/>
      <c r="E50" s="39"/>
      <c r="F50" s="39"/>
      <c r="G50" s="18"/>
      <c r="H50" s="40">
        <v>45</v>
      </c>
      <c r="I50" s="41" t="str">
        <f t="shared" si="6"/>
        <v/>
      </c>
      <c r="J50" s="40">
        <f t="shared" si="8"/>
        <v>-4</v>
      </c>
      <c r="K50" s="40">
        <f t="shared" si="0"/>
        <v>-40</v>
      </c>
      <c r="L50" s="40"/>
      <c r="M50" s="42">
        <f t="shared" si="1"/>
        <v>0</v>
      </c>
      <c r="O50" s="150">
        <v>45</v>
      </c>
      <c r="P50" s="150"/>
      <c r="Q50" s="150"/>
      <c r="R50" s="151" t="str">
        <f t="shared" si="7"/>
        <v/>
      </c>
      <c r="S50" s="153">
        <f t="shared" si="2"/>
        <v>-4</v>
      </c>
      <c r="T50" s="153">
        <f t="shared" si="3"/>
        <v>-40</v>
      </c>
      <c r="U50" s="151"/>
      <c r="V50" s="151">
        <f t="shared" si="4"/>
        <v>0</v>
      </c>
    </row>
    <row r="51" spans="1:22" x14ac:dyDescent="0.25">
      <c r="A51" s="53"/>
      <c r="B51" s="44" t="str">
        <f t="shared" si="10"/>
        <v/>
      </c>
      <c r="C51" s="45"/>
      <c r="D51" s="45"/>
      <c r="E51" s="45"/>
      <c r="F51" s="45"/>
      <c r="G51" s="18"/>
      <c r="H51" s="46">
        <v>46</v>
      </c>
      <c r="I51" s="47" t="str">
        <f t="shared" si="6"/>
        <v/>
      </c>
      <c r="J51" s="46">
        <f t="shared" si="8"/>
        <v>-4</v>
      </c>
      <c r="K51" s="46">
        <f t="shared" si="0"/>
        <v>-40</v>
      </c>
      <c r="L51" s="46"/>
      <c r="M51" s="48">
        <f t="shared" si="1"/>
        <v>0</v>
      </c>
      <c r="O51" s="150">
        <v>46</v>
      </c>
      <c r="P51" s="150"/>
      <c r="Q51" s="150"/>
      <c r="R51" s="151" t="str">
        <f t="shared" si="7"/>
        <v/>
      </c>
      <c r="S51" s="153">
        <f t="shared" si="2"/>
        <v>-4</v>
      </c>
      <c r="T51" s="153">
        <f t="shared" si="3"/>
        <v>-40</v>
      </c>
      <c r="U51" s="151"/>
      <c r="V51" s="151">
        <f t="shared" si="4"/>
        <v>0</v>
      </c>
    </row>
    <row r="52" spans="1:22" x14ac:dyDescent="0.25">
      <c r="A52" s="54"/>
      <c r="B52" s="38" t="str">
        <f t="shared" si="10"/>
        <v/>
      </c>
      <c r="C52" s="39"/>
      <c r="D52" s="39"/>
      <c r="E52" s="39"/>
      <c r="F52" s="39"/>
      <c r="G52" s="18"/>
      <c r="H52" s="40">
        <v>47</v>
      </c>
      <c r="I52" s="41" t="str">
        <f t="shared" si="6"/>
        <v/>
      </c>
      <c r="J52" s="40">
        <f t="shared" si="8"/>
        <v>-4</v>
      </c>
      <c r="K52" s="40">
        <f t="shared" si="0"/>
        <v>-40</v>
      </c>
      <c r="L52" s="40"/>
      <c r="M52" s="42">
        <f t="shared" si="1"/>
        <v>0</v>
      </c>
      <c r="O52" s="150">
        <v>47</v>
      </c>
      <c r="P52" s="150"/>
      <c r="Q52" s="150"/>
      <c r="R52" s="151" t="str">
        <f t="shared" si="7"/>
        <v/>
      </c>
      <c r="S52" s="153">
        <f t="shared" si="2"/>
        <v>-4</v>
      </c>
      <c r="T52" s="153">
        <f t="shared" si="3"/>
        <v>-40</v>
      </c>
      <c r="U52" s="151"/>
      <c r="V52" s="151">
        <f t="shared" si="4"/>
        <v>0</v>
      </c>
    </row>
    <row r="53" spans="1:22" x14ac:dyDescent="0.25">
      <c r="A53" s="53"/>
      <c r="B53" s="44" t="str">
        <f t="shared" si="10"/>
        <v/>
      </c>
      <c r="C53" s="45"/>
      <c r="D53" s="45"/>
      <c r="E53" s="45"/>
      <c r="F53" s="45"/>
      <c r="G53" s="18"/>
      <c r="H53" s="46">
        <v>48</v>
      </c>
      <c r="I53" s="47" t="str">
        <f t="shared" si="6"/>
        <v/>
      </c>
      <c r="J53" s="46">
        <f t="shared" si="8"/>
        <v>-4</v>
      </c>
      <c r="K53" s="46">
        <f t="shared" si="0"/>
        <v>-40</v>
      </c>
      <c r="L53" s="46"/>
      <c r="M53" s="48">
        <f t="shared" si="1"/>
        <v>0</v>
      </c>
      <c r="O53" s="150">
        <v>48</v>
      </c>
      <c r="P53" s="150"/>
      <c r="Q53" s="150"/>
      <c r="R53" s="151" t="str">
        <f t="shared" si="7"/>
        <v/>
      </c>
      <c r="S53" s="153">
        <f t="shared" si="2"/>
        <v>-4</v>
      </c>
      <c r="T53" s="153">
        <f t="shared" si="3"/>
        <v>-40</v>
      </c>
      <c r="U53" s="151"/>
      <c r="V53" s="151">
        <f t="shared" si="4"/>
        <v>0</v>
      </c>
    </row>
    <row r="54" spans="1:22" x14ac:dyDescent="0.25">
      <c r="A54" s="54"/>
      <c r="B54" s="38" t="str">
        <f t="shared" si="10"/>
        <v/>
      </c>
      <c r="C54" s="39"/>
      <c r="D54" s="39"/>
      <c r="E54" s="39"/>
      <c r="F54" s="39"/>
      <c r="G54" s="18"/>
      <c r="H54" s="40">
        <v>49</v>
      </c>
      <c r="I54" s="41" t="str">
        <f t="shared" si="6"/>
        <v/>
      </c>
      <c r="J54" s="40">
        <f t="shared" si="8"/>
        <v>-4</v>
      </c>
      <c r="K54" s="40">
        <f t="shared" si="0"/>
        <v>-40</v>
      </c>
      <c r="L54" s="40"/>
      <c r="M54" s="42">
        <f t="shared" si="1"/>
        <v>0</v>
      </c>
      <c r="O54" s="150">
        <v>49</v>
      </c>
      <c r="P54" s="150"/>
      <c r="Q54" s="150"/>
      <c r="R54" s="151" t="str">
        <f t="shared" si="7"/>
        <v/>
      </c>
      <c r="S54" s="153">
        <f t="shared" si="2"/>
        <v>-4</v>
      </c>
      <c r="T54" s="153">
        <f t="shared" si="3"/>
        <v>-40</v>
      </c>
      <c r="U54" s="151"/>
      <c r="V54" s="151">
        <f t="shared" si="4"/>
        <v>0</v>
      </c>
    </row>
    <row r="55" spans="1:22" x14ac:dyDescent="0.25">
      <c r="A55" s="53"/>
      <c r="B55" s="44" t="str">
        <f t="shared" si="10"/>
        <v/>
      </c>
      <c r="C55" s="45"/>
      <c r="D55" s="45"/>
      <c r="E55" s="45"/>
      <c r="F55" s="45"/>
      <c r="G55" s="18"/>
      <c r="H55" s="46">
        <v>50</v>
      </c>
      <c r="I55" s="47" t="str">
        <f t="shared" si="6"/>
        <v/>
      </c>
      <c r="J55" s="46">
        <f t="shared" si="8"/>
        <v>-4</v>
      </c>
      <c r="K55" s="46">
        <f t="shared" si="0"/>
        <v>-40</v>
      </c>
      <c r="L55" s="46"/>
      <c r="M55" s="48">
        <f t="shared" si="1"/>
        <v>0</v>
      </c>
      <c r="O55" s="150">
        <v>50</v>
      </c>
      <c r="P55" s="150"/>
      <c r="Q55" s="150"/>
      <c r="R55" s="151" t="str">
        <f t="shared" si="7"/>
        <v/>
      </c>
      <c r="S55" s="153">
        <f t="shared" si="2"/>
        <v>-4</v>
      </c>
      <c r="T55" s="153">
        <f t="shared" si="3"/>
        <v>-40</v>
      </c>
      <c r="U55" s="151"/>
      <c r="V55" s="151">
        <f t="shared" si="4"/>
        <v>0</v>
      </c>
    </row>
    <row r="56" spans="1:22" x14ac:dyDescent="0.25">
      <c r="A56" s="54"/>
      <c r="B56" s="38" t="str">
        <f t="shared" si="10"/>
        <v/>
      </c>
      <c r="C56" s="39"/>
      <c r="D56" s="39"/>
      <c r="E56" s="39"/>
      <c r="F56" s="39"/>
      <c r="G56" s="18"/>
      <c r="H56" s="40">
        <v>51</v>
      </c>
      <c r="I56" s="41" t="str">
        <f t="shared" si="6"/>
        <v/>
      </c>
      <c r="J56" s="40">
        <f t="shared" si="8"/>
        <v>-4</v>
      </c>
      <c r="K56" s="40">
        <f t="shared" si="0"/>
        <v>-40</v>
      </c>
      <c r="L56" s="40"/>
      <c r="M56" s="42">
        <f t="shared" si="1"/>
        <v>0</v>
      </c>
      <c r="O56" s="150">
        <v>51</v>
      </c>
      <c r="P56" s="150"/>
      <c r="Q56" s="150"/>
      <c r="R56" s="151" t="str">
        <f t="shared" si="7"/>
        <v/>
      </c>
      <c r="S56" s="153">
        <f t="shared" si="2"/>
        <v>-4</v>
      </c>
      <c r="T56" s="153">
        <f t="shared" si="3"/>
        <v>-40</v>
      </c>
      <c r="U56" s="151"/>
      <c r="V56" s="151">
        <f t="shared" si="4"/>
        <v>0</v>
      </c>
    </row>
    <row r="57" spans="1:22" x14ac:dyDescent="0.25">
      <c r="A57" s="53"/>
      <c r="B57" s="44" t="str">
        <f t="shared" si="10"/>
        <v/>
      </c>
      <c r="C57" s="45"/>
      <c r="D57" s="45"/>
      <c r="E57" s="45"/>
      <c r="F57" s="45"/>
      <c r="G57" s="18"/>
      <c r="H57" s="46">
        <v>52</v>
      </c>
      <c r="I57" s="47" t="str">
        <f t="shared" si="6"/>
        <v/>
      </c>
      <c r="J57" s="46">
        <f t="shared" si="8"/>
        <v>-4</v>
      </c>
      <c r="K57" s="46">
        <f t="shared" si="0"/>
        <v>-40</v>
      </c>
      <c r="L57" s="46"/>
      <c r="M57" s="48">
        <f t="shared" si="1"/>
        <v>0</v>
      </c>
      <c r="O57" s="150">
        <v>52</v>
      </c>
      <c r="P57" s="150"/>
      <c r="Q57" s="150"/>
      <c r="R57" s="151" t="str">
        <f t="shared" si="7"/>
        <v/>
      </c>
      <c r="S57" s="153">
        <f t="shared" si="2"/>
        <v>-4</v>
      </c>
      <c r="T57" s="153">
        <f t="shared" si="3"/>
        <v>-40</v>
      </c>
      <c r="U57" s="151"/>
      <c r="V57" s="151">
        <f t="shared" si="4"/>
        <v>0</v>
      </c>
    </row>
    <row r="58" spans="1:22" x14ac:dyDescent="0.25">
      <c r="A58" s="54"/>
      <c r="B58" s="38" t="str">
        <f t="shared" si="10"/>
        <v/>
      </c>
      <c r="C58" s="39"/>
      <c r="D58" s="39"/>
      <c r="E58" s="39"/>
      <c r="F58" s="39"/>
      <c r="G58" s="18"/>
      <c r="H58" s="40">
        <v>53</v>
      </c>
      <c r="I58" s="41" t="str">
        <f t="shared" si="6"/>
        <v/>
      </c>
      <c r="J58" s="40">
        <f t="shared" si="8"/>
        <v>-4</v>
      </c>
      <c r="K58" s="40">
        <f t="shared" si="0"/>
        <v>-40</v>
      </c>
      <c r="L58" s="40"/>
      <c r="M58" s="42">
        <f t="shared" si="1"/>
        <v>0</v>
      </c>
      <c r="O58" s="150">
        <v>53</v>
      </c>
      <c r="P58" s="150"/>
      <c r="Q58" s="150"/>
      <c r="R58" s="151" t="str">
        <f t="shared" si="7"/>
        <v/>
      </c>
      <c r="S58" s="153">
        <f t="shared" si="2"/>
        <v>-4</v>
      </c>
      <c r="T58" s="153">
        <f t="shared" si="3"/>
        <v>-40</v>
      </c>
      <c r="U58" s="151"/>
      <c r="V58" s="151">
        <f t="shared" si="4"/>
        <v>0</v>
      </c>
    </row>
    <row r="59" spans="1:22" x14ac:dyDescent="0.25">
      <c r="A59" s="53"/>
      <c r="B59" s="44" t="str">
        <f t="shared" si="10"/>
        <v/>
      </c>
      <c r="C59" s="45"/>
      <c r="D59" s="45"/>
      <c r="E59" s="45"/>
      <c r="F59" s="45"/>
      <c r="G59" s="18"/>
      <c r="H59" s="46">
        <v>54</v>
      </c>
      <c r="I59" s="47" t="str">
        <f t="shared" si="6"/>
        <v/>
      </c>
      <c r="J59" s="46">
        <f t="shared" si="8"/>
        <v>-4</v>
      </c>
      <c r="K59" s="46">
        <f t="shared" si="0"/>
        <v>-40</v>
      </c>
      <c r="L59" s="46"/>
      <c r="M59" s="48">
        <f t="shared" si="1"/>
        <v>0</v>
      </c>
      <c r="O59" s="150">
        <v>54</v>
      </c>
      <c r="P59" s="150"/>
      <c r="Q59" s="150"/>
      <c r="R59" s="151" t="str">
        <f t="shared" si="7"/>
        <v/>
      </c>
      <c r="S59" s="153">
        <f t="shared" si="2"/>
        <v>-4</v>
      </c>
      <c r="T59" s="153">
        <f t="shared" si="3"/>
        <v>-40</v>
      </c>
      <c r="U59" s="151"/>
      <c r="V59" s="151">
        <f t="shared" si="4"/>
        <v>0</v>
      </c>
    </row>
    <row r="60" spans="1:22" x14ac:dyDescent="0.25">
      <c r="A60" s="54"/>
      <c r="B60" s="38" t="str">
        <f t="shared" si="10"/>
        <v/>
      </c>
      <c r="C60" s="39"/>
      <c r="D60" s="39"/>
      <c r="E60" s="39"/>
      <c r="F60" s="39"/>
      <c r="G60" s="18"/>
      <c r="H60" s="40">
        <v>55</v>
      </c>
      <c r="I60" s="41" t="str">
        <f t="shared" si="6"/>
        <v/>
      </c>
      <c r="J60" s="40">
        <f t="shared" si="8"/>
        <v>-4</v>
      </c>
      <c r="K60" s="40">
        <f t="shared" si="0"/>
        <v>-40</v>
      </c>
      <c r="L60" s="40"/>
      <c r="M60" s="42">
        <f t="shared" si="1"/>
        <v>0</v>
      </c>
      <c r="O60" s="150">
        <v>55</v>
      </c>
      <c r="P60" s="150"/>
      <c r="Q60" s="150"/>
      <c r="R60" s="151" t="str">
        <f t="shared" si="7"/>
        <v/>
      </c>
      <c r="S60" s="153">
        <f t="shared" si="2"/>
        <v>-4</v>
      </c>
      <c r="T60" s="153">
        <f t="shared" si="3"/>
        <v>-40</v>
      </c>
      <c r="U60" s="151"/>
      <c r="V60" s="151">
        <f t="shared" si="4"/>
        <v>0</v>
      </c>
    </row>
    <row r="61" spans="1:22" x14ac:dyDescent="0.25">
      <c r="A61" s="53"/>
      <c r="B61" s="44" t="str">
        <f t="shared" si="10"/>
        <v/>
      </c>
      <c r="C61" s="45"/>
      <c r="D61" s="45"/>
      <c r="E61" s="45"/>
      <c r="F61" s="45"/>
      <c r="G61" s="18"/>
      <c r="H61" s="46">
        <v>56</v>
      </c>
      <c r="I61" s="47" t="str">
        <f t="shared" si="6"/>
        <v/>
      </c>
      <c r="J61" s="46">
        <f t="shared" si="8"/>
        <v>-4</v>
      </c>
      <c r="K61" s="46">
        <f t="shared" si="0"/>
        <v>-40</v>
      </c>
      <c r="L61" s="46"/>
      <c r="M61" s="48">
        <f t="shared" si="1"/>
        <v>0</v>
      </c>
      <c r="O61" s="150">
        <v>56</v>
      </c>
      <c r="P61" s="150"/>
      <c r="Q61" s="150"/>
      <c r="R61" s="151" t="str">
        <f t="shared" si="7"/>
        <v/>
      </c>
      <c r="S61" s="153">
        <f t="shared" si="2"/>
        <v>-4</v>
      </c>
      <c r="T61" s="153">
        <f t="shared" si="3"/>
        <v>-40</v>
      </c>
      <c r="U61" s="151"/>
      <c r="V61" s="151">
        <f t="shared" si="4"/>
        <v>0</v>
      </c>
    </row>
    <row r="62" spans="1:22" x14ac:dyDescent="0.25">
      <c r="A62" s="54"/>
      <c r="B62" s="38" t="str">
        <f t="shared" si="10"/>
        <v/>
      </c>
      <c r="C62" s="39"/>
      <c r="D62" s="39"/>
      <c r="E62" s="39"/>
      <c r="F62" s="39"/>
      <c r="G62" s="18"/>
      <c r="H62" s="40">
        <v>57</v>
      </c>
      <c r="I62" s="41" t="str">
        <f t="shared" si="6"/>
        <v/>
      </c>
      <c r="J62" s="40">
        <f t="shared" si="8"/>
        <v>-4</v>
      </c>
      <c r="K62" s="40">
        <f t="shared" si="0"/>
        <v>-40</v>
      </c>
      <c r="L62" s="40"/>
      <c r="M62" s="42">
        <f t="shared" si="1"/>
        <v>0</v>
      </c>
      <c r="O62" s="150">
        <v>57</v>
      </c>
      <c r="P62" s="150"/>
      <c r="Q62" s="150"/>
      <c r="R62" s="151" t="str">
        <f t="shared" si="7"/>
        <v/>
      </c>
      <c r="S62" s="153">
        <f t="shared" si="2"/>
        <v>-4</v>
      </c>
      <c r="T62" s="153">
        <f t="shared" si="3"/>
        <v>-40</v>
      </c>
      <c r="U62" s="151"/>
      <c r="V62" s="151">
        <f t="shared" si="4"/>
        <v>0</v>
      </c>
    </row>
    <row r="63" spans="1:22" x14ac:dyDescent="0.25">
      <c r="A63" s="53"/>
      <c r="B63" s="44" t="str">
        <f t="shared" si="10"/>
        <v/>
      </c>
      <c r="C63" s="45"/>
      <c r="D63" s="45"/>
      <c r="E63" s="45"/>
      <c r="F63" s="45"/>
      <c r="G63" s="18"/>
      <c r="H63" s="46">
        <v>58</v>
      </c>
      <c r="I63" s="47" t="str">
        <f t="shared" si="6"/>
        <v/>
      </c>
      <c r="J63" s="46">
        <f t="shared" si="8"/>
        <v>-4</v>
      </c>
      <c r="K63" s="46">
        <f t="shared" si="0"/>
        <v>-40</v>
      </c>
      <c r="L63" s="46"/>
      <c r="M63" s="48">
        <f t="shared" si="1"/>
        <v>0</v>
      </c>
      <c r="O63" s="150">
        <v>58</v>
      </c>
      <c r="P63" s="150"/>
      <c r="Q63" s="150"/>
      <c r="R63" s="151" t="str">
        <f t="shared" si="7"/>
        <v/>
      </c>
      <c r="S63" s="153">
        <f t="shared" si="2"/>
        <v>-4</v>
      </c>
      <c r="T63" s="153">
        <f t="shared" si="3"/>
        <v>-40</v>
      </c>
      <c r="U63" s="151"/>
      <c r="V63" s="151">
        <f t="shared" si="4"/>
        <v>0</v>
      </c>
    </row>
    <row r="64" spans="1:22" x14ac:dyDescent="0.25">
      <c r="A64" s="54"/>
      <c r="B64" s="38" t="str">
        <f t="shared" si="10"/>
        <v/>
      </c>
      <c r="C64" s="39"/>
      <c r="D64" s="39"/>
      <c r="E64" s="39"/>
      <c r="F64" s="39"/>
      <c r="G64" s="18"/>
      <c r="H64" s="40">
        <v>59</v>
      </c>
      <c r="I64" s="41" t="str">
        <f t="shared" si="6"/>
        <v/>
      </c>
      <c r="J64" s="40">
        <f t="shared" si="8"/>
        <v>-4</v>
      </c>
      <c r="K64" s="40">
        <f t="shared" si="0"/>
        <v>-40</v>
      </c>
      <c r="L64" s="40"/>
      <c r="M64" s="42">
        <f t="shared" si="1"/>
        <v>0</v>
      </c>
      <c r="O64" s="150">
        <v>59</v>
      </c>
      <c r="P64" s="150"/>
      <c r="Q64" s="150"/>
      <c r="R64" s="151" t="str">
        <f t="shared" si="7"/>
        <v/>
      </c>
      <c r="S64" s="153">
        <f t="shared" si="2"/>
        <v>-4</v>
      </c>
      <c r="T64" s="153">
        <f t="shared" si="3"/>
        <v>-40</v>
      </c>
      <c r="U64" s="151"/>
      <c r="V64" s="151">
        <f t="shared" si="4"/>
        <v>0</v>
      </c>
    </row>
    <row r="65" spans="1:22" x14ac:dyDescent="0.25">
      <c r="A65" s="53"/>
      <c r="B65" s="44" t="str">
        <f t="shared" si="10"/>
        <v/>
      </c>
      <c r="C65" s="45"/>
      <c r="D65" s="45"/>
      <c r="E65" s="45"/>
      <c r="F65" s="45"/>
      <c r="G65" s="18"/>
      <c r="H65" s="46">
        <v>60</v>
      </c>
      <c r="I65" s="47" t="str">
        <f t="shared" si="6"/>
        <v/>
      </c>
      <c r="J65" s="46">
        <f t="shared" si="8"/>
        <v>-4</v>
      </c>
      <c r="K65" s="46">
        <f t="shared" si="0"/>
        <v>-40</v>
      </c>
      <c r="L65" s="46"/>
      <c r="M65" s="48">
        <f t="shared" si="1"/>
        <v>0</v>
      </c>
      <c r="O65" s="150">
        <v>60</v>
      </c>
      <c r="P65" s="150"/>
      <c r="Q65" s="150"/>
      <c r="R65" s="151" t="str">
        <f t="shared" si="7"/>
        <v/>
      </c>
      <c r="S65" s="153">
        <f t="shared" si="2"/>
        <v>-4</v>
      </c>
      <c r="T65" s="153">
        <f t="shared" si="3"/>
        <v>-40</v>
      </c>
      <c r="U65" s="151"/>
      <c r="V65" s="151">
        <f t="shared" si="4"/>
        <v>0</v>
      </c>
    </row>
    <row r="66" spans="1:22" x14ac:dyDescent="0.25">
      <c r="A66" s="61"/>
      <c r="B66" s="38"/>
      <c r="G66" s="18"/>
      <c r="H66" s="40">
        <v>61</v>
      </c>
      <c r="I66" s="41" t="str">
        <f t="shared" si="6"/>
        <v/>
      </c>
      <c r="J66" s="40">
        <f t="shared" si="8"/>
        <v>-4</v>
      </c>
      <c r="K66" s="40">
        <f t="shared" si="0"/>
        <v>-40</v>
      </c>
      <c r="L66" s="40"/>
      <c r="M66" s="42">
        <f t="shared" si="1"/>
        <v>0</v>
      </c>
      <c r="O66" s="150">
        <v>61</v>
      </c>
      <c r="P66" s="150"/>
      <c r="Q66" s="150"/>
      <c r="R66" s="151" t="str">
        <f t="shared" si="7"/>
        <v/>
      </c>
      <c r="S66" s="153">
        <f t="shared" si="2"/>
        <v>-4</v>
      </c>
      <c r="T66" s="153">
        <f t="shared" si="3"/>
        <v>-40</v>
      </c>
      <c r="U66" s="151"/>
      <c r="V66" s="151">
        <f t="shared" si="4"/>
        <v>0</v>
      </c>
    </row>
    <row r="67" spans="1:22" x14ac:dyDescent="0.25">
      <c r="A67" s="61"/>
      <c r="B67" s="44"/>
      <c r="G67" s="18"/>
      <c r="H67" s="40">
        <v>62</v>
      </c>
      <c r="I67" s="41" t="str">
        <f t="shared" si="6"/>
        <v/>
      </c>
      <c r="J67" s="40">
        <f t="shared" si="8"/>
        <v>-4</v>
      </c>
      <c r="K67" s="40">
        <f t="shared" si="0"/>
        <v>-40</v>
      </c>
      <c r="L67" s="40"/>
      <c r="M67" s="42">
        <f t="shared" si="1"/>
        <v>0</v>
      </c>
      <c r="O67" s="150">
        <v>62</v>
      </c>
      <c r="P67" s="150"/>
      <c r="Q67" s="150"/>
      <c r="R67" s="151" t="str">
        <f t="shared" si="7"/>
        <v/>
      </c>
      <c r="S67" s="153">
        <f t="shared" si="2"/>
        <v>-4</v>
      </c>
      <c r="T67" s="153">
        <f t="shared" si="3"/>
        <v>-40</v>
      </c>
      <c r="U67" s="151"/>
      <c r="V67" s="151">
        <f t="shared" si="4"/>
        <v>0</v>
      </c>
    </row>
    <row r="68" spans="1:22" x14ac:dyDescent="0.25">
      <c r="A68" s="61"/>
      <c r="B68" s="38"/>
      <c r="G68" s="18"/>
      <c r="H68" s="40">
        <v>63</v>
      </c>
      <c r="I68" s="41" t="str">
        <f t="shared" si="6"/>
        <v/>
      </c>
      <c r="J68" s="40">
        <f t="shared" si="8"/>
        <v>-4</v>
      </c>
      <c r="K68" s="40">
        <f t="shared" si="0"/>
        <v>-40</v>
      </c>
      <c r="L68" s="40"/>
      <c r="M68" s="42">
        <f t="shared" si="1"/>
        <v>0</v>
      </c>
      <c r="O68" s="150">
        <v>63</v>
      </c>
      <c r="P68" s="150"/>
      <c r="Q68" s="150"/>
      <c r="R68" s="151" t="str">
        <f t="shared" si="7"/>
        <v/>
      </c>
      <c r="S68" s="153">
        <f t="shared" si="2"/>
        <v>-4</v>
      </c>
      <c r="T68" s="153">
        <f t="shared" si="3"/>
        <v>-40</v>
      </c>
      <c r="U68" s="151"/>
      <c r="V68" s="151">
        <f t="shared" si="4"/>
        <v>0</v>
      </c>
    </row>
    <row r="69" spans="1:22" x14ac:dyDescent="0.25">
      <c r="A69" s="61"/>
      <c r="B69" s="44"/>
      <c r="G69" s="18"/>
      <c r="H69" s="40">
        <v>64</v>
      </c>
      <c r="I69" s="41" t="str">
        <f t="shared" si="6"/>
        <v/>
      </c>
      <c r="J69" s="40">
        <f t="shared" si="8"/>
        <v>-4</v>
      </c>
      <c r="K69" s="40">
        <f t="shared" si="0"/>
        <v>-40</v>
      </c>
      <c r="L69" s="40"/>
      <c r="M69" s="42">
        <f t="shared" si="1"/>
        <v>0</v>
      </c>
      <c r="O69" s="150">
        <v>64</v>
      </c>
      <c r="P69" s="150"/>
      <c r="Q69" s="150"/>
      <c r="R69" s="151" t="str">
        <f t="shared" si="7"/>
        <v/>
      </c>
      <c r="S69" s="153">
        <f t="shared" si="2"/>
        <v>-4</v>
      </c>
      <c r="T69" s="153">
        <f t="shared" si="3"/>
        <v>-40</v>
      </c>
      <c r="U69" s="151"/>
      <c r="V69" s="151">
        <f t="shared" si="4"/>
        <v>0</v>
      </c>
    </row>
    <row r="70" spans="1:22" x14ac:dyDescent="0.25">
      <c r="A70" s="61"/>
      <c r="G70" s="18"/>
      <c r="H70" s="40">
        <v>65</v>
      </c>
      <c r="I70" s="41" t="str">
        <f t="shared" ref="I70:I133" si="11">IF(H70&lt;$H$2+1,($I$2-($I$2-1)*(LOG(H70)/LOG($H$2))),"")</f>
        <v/>
      </c>
      <c r="J70" s="40">
        <f t="shared" si="8"/>
        <v>-5</v>
      </c>
      <c r="K70" s="40">
        <f t="shared" ref="K70:K133" si="12">J70*$J$2</f>
        <v>-50</v>
      </c>
      <c r="L70" s="40"/>
      <c r="M70" s="42">
        <f t="shared" ref="M70:M133" si="13">IF(I70&lt;&gt;"",K70+I70+L70,0)</f>
        <v>0</v>
      </c>
      <c r="O70" s="150">
        <v>65</v>
      </c>
      <c r="P70" s="150"/>
      <c r="Q70" s="150"/>
      <c r="R70" s="151" t="str">
        <f t="shared" si="7"/>
        <v/>
      </c>
      <c r="S70" s="153">
        <f t="shared" ref="S70:S133" si="14">INT(LOG($O$2,2))-ROUNDUP(LOG(O70,2),0)+IF(OR($O$2=1,$O$2=2,$O$2=4,$O$2=8,$O$2=16,$O$2=32,$O$2=64,$O$2=128,$O$2=256),0,1)</f>
        <v>-5</v>
      </c>
      <c r="T70" s="153">
        <f t="shared" ref="T70:T133" si="15">S70*$J$2</f>
        <v>-50</v>
      </c>
      <c r="U70" s="151"/>
      <c r="V70" s="151">
        <f t="shared" ref="V70:V133" si="16">IF(R70&lt;&gt;"",T70+R70+U70,0)</f>
        <v>0</v>
      </c>
    </row>
    <row r="71" spans="1:22" x14ac:dyDescent="0.25">
      <c r="A71" s="61"/>
      <c r="G71" s="18"/>
      <c r="H71" s="40">
        <v>66</v>
      </c>
      <c r="I71" s="41" t="str">
        <f t="shared" si="11"/>
        <v/>
      </c>
      <c r="J71" s="40">
        <f t="shared" ref="J71:J134" si="17">INT(LOG($H$2,2))-ROUNDUP(LOG(H71,2),0)+IF(OR($H$2=1,$H$2=2,$H$2=4,$H$2=8,$H$2=16,$H$2=32,$H$2=64,$H$2=128,$H$2=256),0,1)</f>
        <v>-5</v>
      </c>
      <c r="K71" s="40">
        <f t="shared" si="12"/>
        <v>-50</v>
      </c>
      <c r="L71" s="40"/>
      <c r="M71" s="42">
        <f t="shared" si="13"/>
        <v>0</v>
      </c>
      <c r="O71" s="150">
        <v>66</v>
      </c>
      <c r="P71" s="150"/>
      <c r="Q71" s="150"/>
      <c r="R71" s="151" t="str">
        <f t="shared" ref="R71:R134" si="18">IF(O71&lt;$O$2+1,($I$2-($I$2-1)*(LOG(O71)/LOG($O$2))),"")</f>
        <v/>
      </c>
      <c r="S71" s="153">
        <f t="shared" si="14"/>
        <v>-5</v>
      </c>
      <c r="T71" s="153">
        <f t="shared" si="15"/>
        <v>-50</v>
      </c>
      <c r="U71" s="151"/>
      <c r="V71" s="151">
        <f t="shared" si="16"/>
        <v>0</v>
      </c>
    </row>
    <row r="72" spans="1:22" x14ac:dyDescent="0.25">
      <c r="A72" s="61"/>
      <c r="G72" s="18"/>
      <c r="H72" s="40">
        <v>67</v>
      </c>
      <c r="I72" s="41" t="str">
        <f t="shared" si="11"/>
        <v/>
      </c>
      <c r="J72" s="40">
        <f t="shared" si="17"/>
        <v>-5</v>
      </c>
      <c r="K72" s="40">
        <f t="shared" si="12"/>
        <v>-50</v>
      </c>
      <c r="L72" s="40"/>
      <c r="M72" s="42">
        <f t="shared" si="13"/>
        <v>0</v>
      </c>
      <c r="O72" s="150">
        <v>67</v>
      </c>
      <c r="P72" s="150"/>
      <c r="Q72" s="150"/>
      <c r="R72" s="151" t="str">
        <f t="shared" si="18"/>
        <v/>
      </c>
      <c r="S72" s="153">
        <f t="shared" si="14"/>
        <v>-5</v>
      </c>
      <c r="T72" s="153">
        <f t="shared" si="15"/>
        <v>-50</v>
      </c>
      <c r="U72" s="151"/>
      <c r="V72" s="151">
        <f t="shared" si="16"/>
        <v>0</v>
      </c>
    </row>
    <row r="73" spans="1:22" x14ac:dyDescent="0.25">
      <c r="A73" s="61"/>
      <c r="G73" s="18"/>
      <c r="H73" s="40">
        <v>68</v>
      </c>
      <c r="I73" s="41" t="str">
        <f t="shared" si="11"/>
        <v/>
      </c>
      <c r="J73" s="40">
        <f t="shared" si="17"/>
        <v>-5</v>
      </c>
      <c r="K73" s="40">
        <f t="shared" si="12"/>
        <v>-50</v>
      </c>
      <c r="L73" s="40"/>
      <c r="M73" s="42">
        <f t="shared" si="13"/>
        <v>0</v>
      </c>
      <c r="O73" s="150">
        <v>68</v>
      </c>
      <c r="P73" s="150"/>
      <c r="Q73" s="150"/>
      <c r="R73" s="151" t="str">
        <f t="shared" si="18"/>
        <v/>
      </c>
      <c r="S73" s="153">
        <f t="shared" si="14"/>
        <v>-5</v>
      </c>
      <c r="T73" s="153">
        <f t="shared" si="15"/>
        <v>-50</v>
      </c>
      <c r="U73" s="151"/>
      <c r="V73" s="151">
        <f t="shared" si="16"/>
        <v>0</v>
      </c>
    </row>
    <row r="74" spans="1:22" x14ac:dyDescent="0.25">
      <c r="A74" s="61"/>
      <c r="G74" s="18"/>
      <c r="H74" s="40">
        <v>69</v>
      </c>
      <c r="I74" s="41" t="str">
        <f t="shared" si="11"/>
        <v/>
      </c>
      <c r="J74" s="40">
        <f t="shared" si="17"/>
        <v>-5</v>
      </c>
      <c r="K74" s="40">
        <f t="shared" si="12"/>
        <v>-50</v>
      </c>
      <c r="L74" s="40"/>
      <c r="M74" s="42">
        <f t="shared" si="13"/>
        <v>0</v>
      </c>
      <c r="O74" s="150">
        <v>69</v>
      </c>
      <c r="P74" s="150"/>
      <c r="Q74" s="150"/>
      <c r="R74" s="151" t="str">
        <f t="shared" si="18"/>
        <v/>
      </c>
      <c r="S74" s="153">
        <f t="shared" si="14"/>
        <v>-5</v>
      </c>
      <c r="T74" s="153">
        <f t="shared" si="15"/>
        <v>-50</v>
      </c>
      <c r="U74" s="151"/>
      <c r="V74" s="151">
        <f t="shared" si="16"/>
        <v>0</v>
      </c>
    </row>
    <row r="75" spans="1:22" x14ac:dyDescent="0.25">
      <c r="A75" s="61"/>
      <c r="G75" s="18"/>
      <c r="H75" s="40">
        <v>70</v>
      </c>
      <c r="I75" s="41" t="str">
        <f t="shared" si="11"/>
        <v/>
      </c>
      <c r="J75" s="40">
        <f t="shared" si="17"/>
        <v>-5</v>
      </c>
      <c r="K75" s="40">
        <f t="shared" si="12"/>
        <v>-50</v>
      </c>
      <c r="L75" s="40"/>
      <c r="M75" s="42">
        <f t="shared" si="13"/>
        <v>0</v>
      </c>
      <c r="O75" s="150">
        <v>70</v>
      </c>
      <c r="P75" s="150"/>
      <c r="Q75" s="150"/>
      <c r="R75" s="151" t="str">
        <f t="shared" si="18"/>
        <v/>
      </c>
      <c r="S75" s="153">
        <f t="shared" si="14"/>
        <v>-5</v>
      </c>
      <c r="T75" s="153">
        <f t="shared" si="15"/>
        <v>-50</v>
      </c>
      <c r="U75" s="151"/>
      <c r="V75" s="151">
        <f t="shared" si="16"/>
        <v>0</v>
      </c>
    </row>
    <row r="76" spans="1:22" x14ac:dyDescent="0.25">
      <c r="A76" s="61"/>
      <c r="G76" s="18"/>
      <c r="H76" s="40">
        <v>71</v>
      </c>
      <c r="I76" s="41" t="str">
        <f t="shared" si="11"/>
        <v/>
      </c>
      <c r="J76" s="40">
        <f t="shared" si="17"/>
        <v>-5</v>
      </c>
      <c r="K76" s="40">
        <f t="shared" si="12"/>
        <v>-50</v>
      </c>
      <c r="L76" s="40"/>
      <c r="M76" s="42">
        <f t="shared" si="13"/>
        <v>0</v>
      </c>
      <c r="O76" s="150">
        <v>71</v>
      </c>
      <c r="P76" s="150"/>
      <c r="Q76" s="150"/>
      <c r="R76" s="151" t="str">
        <f t="shared" si="18"/>
        <v/>
      </c>
      <c r="S76" s="153">
        <f t="shared" si="14"/>
        <v>-5</v>
      </c>
      <c r="T76" s="153">
        <f t="shared" si="15"/>
        <v>-50</v>
      </c>
      <c r="U76" s="151"/>
      <c r="V76" s="151">
        <f t="shared" si="16"/>
        <v>0</v>
      </c>
    </row>
    <row r="77" spans="1:22" x14ac:dyDescent="0.25">
      <c r="A77" s="61"/>
      <c r="G77" s="18"/>
      <c r="H77" s="40">
        <v>72</v>
      </c>
      <c r="I77" s="41" t="str">
        <f t="shared" si="11"/>
        <v/>
      </c>
      <c r="J77" s="40">
        <f t="shared" si="17"/>
        <v>-5</v>
      </c>
      <c r="K77" s="40">
        <f t="shared" si="12"/>
        <v>-50</v>
      </c>
      <c r="L77" s="40"/>
      <c r="M77" s="42">
        <f t="shared" si="13"/>
        <v>0</v>
      </c>
      <c r="O77" s="150">
        <v>72</v>
      </c>
      <c r="P77" s="150"/>
      <c r="Q77" s="150"/>
      <c r="R77" s="151" t="str">
        <f t="shared" si="18"/>
        <v/>
      </c>
      <c r="S77" s="153">
        <f t="shared" si="14"/>
        <v>-5</v>
      </c>
      <c r="T77" s="153">
        <f t="shared" si="15"/>
        <v>-50</v>
      </c>
      <c r="U77" s="151"/>
      <c r="V77" s="151">
        <f t="shared" si="16"/>
        <v>0</v>
      </c>
    </row>
    <row r="78" spans="1:22" x14ac:dyDescent="0.25">
      <c r="A78" s="61"/>
      <c r="G78" s="18"/>
      <c r="H78" s="40">
        <v>73</v>
      </c>
      <c r="I78" s="41" t="str">
        <f t="shared" si="11"/>
        <v/>
      </c>
      <c r="J78" s="40">
        <f t="shared" si="17"/>
        <v>-5</v>
      </c>
      <c r="K78" s="40">
        <f t="shared" si="12"/>
        <v>-50</v>
      </c>
      <c r="L78" s="40"/>
      <c r="M78" s="42">
        <f t="shared" si="13"/>
        <v>0</v>
      </c>
      <c r="O78" s="150">
        <v>73</v>
      </c>
      <c r="P78" s="150"/>
      <c r="Q78" s="150"/>
      <c r="R78" s="151" t="str">
        <f t="shared" si="18"/>
        <v/>
      </c>
      <c r="S78" s="153">
        <f t="shared" si="14"/>
        <v>-5</v>
      </c>
      <c r="T78" s="153">
        <f t="shared" si="15"/>
        <v>-50</v>
      </c>
      <c r="U78" s="151"/>
      <c r="V78" s="151">
        <f t="shared" si="16"/>
        <v>0</v>
      </c>
    </row>
    <row r="79" spans="1:22" x14ac:dyDescent="0.25">
      <c r="A79" s="61"/>
      <c r="G79" s="18"/>
      <c r="H79" s="40">
        <v>74</v>
      </c>
      <c r="I79" s="41" t="str">
        <f t="shared" si="11"/>
        <v/>
      </c>
      <c r="J79" s="40">
        <f t="shared" si="17"/>
        <v>-5</v>
      </c>
      <c r="K79" s="40">
        <f t="shared" si="12"/>
        <v>-50</v>
      </c>
      <c r="L79" s="40"/>
      <c r="M79" s="42">
        <f t="shared" si="13"/>
        <v>0</v>
      </c>
      <c r="O79" s="150">
        <v>74</v>
      </c>
      <c r="P79" s="150"/>
      <c r="Q79" s="150"/>
      <c r="R79" s="151" t="str">
        <f t="shared" si="18"/>
        <v/>
      </c>
      <c r="S79" s="153">
        <f t="shared" si="14"/>
        <v>-5</v>
      </c>
      <c r="T79" s="153">
        <f t="shared" si="15"/>
        <v>-50</v>
      </c>
      <c r="U79" s="151"/>
      <c r="V79" s="151">
        <f t="shared" si="16"/>
        <v>0</v>
      </c>
    </row>
    <row r="80" spans="1:22" x14ac:dyDescent="0.25">
      <c r="A80" s="61"/>
      <c r="G80" s="18"/>
      <c r="H80" s="40">
        <v>75</v>
      </c>
      <c r="I80" s="41" t="str">
        <f t="shared" si="11"/>
        <v/>
      </c>
      <c r="J80" s="40">
        <f t="shared" si="17"/>
        <v>-5</v>
      </c>
      <c r="K80" s="40">
        <f t="shared" si="12"/>
        <v>-50</v>
      </c>
      <c r="L80" s="40"/>
      <c r="M80" s="42">
        <f t="shared" si="13"/>
        <v>0</v>
      </c>
      <c r="O80" s="150">
        <v>75</v>
      </c>
      <c r="P80" s="150"/>
      <c r="Q80" s="150"/>
      <c r="R80" s="151" t="str">
        <f t="shared" si="18"/>
        <v/>
      </c>
      <c r="S80" s="153">
        <f t="shared" si="14"/>
        <v>-5</v>
      </c>
      <c r="T80" s="153">
        <f t="shared" si="15"/>
        <v>-50</v>
      </c>
      <c r="U80" s="151"/>
      <c r="V80" s="151">
        <f t="shared" si="16"/>
        <v>0</v>
      </c>
    </row>
    <row r="81" spans="1:22" x14ac:dyDescent="0.25">
      <c r="A81" s="61"/>
      <c r="G81" s="18"/>
      <c r="H81" s="40">
        <v>76</v>
      </c>
      <c r="I81" s="41" t="str">
        <f t="shared" si="11"/>
        <v/>
      </c>
      <c r="J81" s="40">
        <f t="shared" si="17"/>
        <v>-5</v>
      </c>
      <c r="K81" s="40">
        <f t="shared" si="12"/>
        <v>-50</v>
      </c>
      <c r="L81" s="40"/>
      <c r="M81" s="42">
        <f t="shared" si="13"/>
        <v>0</v>
      </c>
      <c r="O81" s="150">
        <v>76</v>
      </c>
      <c r="P81" s="150"/>
      <c r="Q81" s="150"/>
      <c r="R81" s="151" t="str">
        <f t="shared" si="18"/>
        <v/>
      </c>
      <c r="S81" s="153">
        <f t="shared" si="14"/>
        <v>-5</v>
      </c>
      <c r="T81" s="153">
        <f t="shared" si="15"/>
        <v>-50</v>
      </c>
      <c r="U81" s="151"/>
      <c r="V81" s="151">
        <f t="shared" si="16"/>
        <v>0</v>
      </c>
    </row>
    <row r="82" spans="1:22" x14ac:dyDescent="0.25">
      <c r="A82" s="61"/>
      <c r="G82" s="18"/>
      <c r="H82" s="40">
        <v>77</v>
      </c>
      <c r="I82" s="41" t="str">
        <f t="shared" si="11"/>
        <v/>
      </c>
      <c r="J82" s="40">
        <f t="shared" si="17"/>
        <v>-5</v>
      </c>
      <c r="K82" s="40">
        <f t="shared" si="12"/>
        <v>-50</v>
      </c>
      <c r="L82" s="40"/>
      <c r="M82" s="42">
        <f t="shared" si="13"/>
        <v>0</v>
      </c>
      <c r="O82" s="150">
        <v>77</v>
      </c>
      <c r="P82" s="150"/>
      <c r="Q82" s="150"/>
      <c r="R82" s="151" t="str">
        <f t="shared" si="18"/>
        <v/>
      </c>
      <c r="S82" s="153">
        <f t="shared" si="14"/>
        <v>-5</v>
      </c>
      <c r="T82" s="153">
        <f t="shared" si="15"/>
        <v>-50</v>
      </c>
      <c r="U82" s="151"/>
      <c r="V82" s="151">
        <f t="shared" si="16"/>
        <v>0</v>
      </c>
    </row>
    <row r="83" spans="1:22" x14ac:dyDescent="0.25">
      <c r="A83" s="61"/>
      <c r="G83" s="18"/>
      <c r="H83" s="40">
        <v>78</v>
      </c>
      <c r="I83" s="41" t="str">
        <f t="shared" si="11"/>
        <v/>
      </c>
      <c r="J83" s="40">
        <f t="shared" si="17"/>
        <v>-5</v>
      </c>
      <c r="K83" s="40">
        <f t="shared" si="12"/>
        <v>-50</v>
      </c>
      <c r="L83" s="40"/>
      <c r="M83" s="42">
        <f t="shared" si="13"/>
        <v>0</v>
      </c>
      <c r="O83" s="150">
        <v>78</v>
      </c>
      <c r="P83" s="150"/>
      <c r="Q83" s="150"/>
      <c r="R83" s="151" t="str">
        <f t="shared" si="18"/>
        <v/>
      </c>
      <c r="S83" s="153">
        <f t="shared" si="14"/>
        <v>-5</v>
      </c>
      <c r="T83" s="153">
        <f t="shared" si="15"/>
        <v>-50</v>
      </c>
      <c r="U83" s="151"/>
      <c r="V83" s="151">
        <f t="shared" si="16"/>
        <v>0</v>
      </c>
    </row>
    <row r="84" spans="1:22" x14ac:dyDescent="0.25">
      <c r="A84" s="61"/>
      <c r="G84" s="18"/>
      <c r="H84" s="40">
        <v>79</v>
      </c>
      <c r="I84" s="41" t="str">
        <f t="shared" si="11"/>
        <v/>
      </c>
      <c r="J84" s="40">
        <f t="shared" si="17"/>
        <v>-5</v>
      </c>
      <c r="K84" s="40">
        <f t="shared" si="12"/>
        <v>-50</v>
      </c>
      <c r="L84" s="40"/>
      <c r="M84" s="42">
        <f t="shared" si="13"/>
        <v>0</v>
      </c>
      <c r="O84" s="150">
        <v>79</v>
      </c>
      <c r="P84" s="150"/>
      <c r="Q84" s="150"/>
      <c r="R84" s="151" t="str">
        <f t="shared" si="18"/>
        <v/>
      </c>
      <c r="S84" s="153">
        <f t="shared" si="14"/>
        <v>-5</v>
      </c>
      <c r="T84" s="153">
        <f t="shared" si="15"/>
        <v>-50</v>
      </c>
      <c r="U84" s="151"/>
      <c r="V84" s="151">
        <f t="shared" si="16"/>
        <v>0</v>
      </c>
    </row>
    <row r="85" spans="1:22" x14ac:dyDescent="0.25">
      <c r="A85" s="61"/>
      <c r="G85" s="18"/>
      <c r="H85" s="40">
        <v>80</v>
      </c>
      <c r="I85" s="41" t="str">
        <f t="shared" si="11"/>
        <v/>
      </c>
      <c r="J85" s="40">
        <f t="shared" si="17"/>
        <v>-5</v>
      </c>
      <c r="K85" s="40">
        <f t="shared" si="12"/>
        <v>-50</v>
      </c>
      <c r="L85" s="40"/>
      <c r="M85" s="42">
        <f t="shared" si="13"/>
        <v>0</v>
      </c>
      <c r="O85" s="150">
        <v>80</v>
      </c>
      <c r="P85" s="150"/>
      <c r="Q85" s="150"/>
      <c r="R85" s="151" t="str">
        <f t="shared" si="18"/>
        <v/>
      </c>
      <c r="S85" s="153">
        <f t="shared" si="14"/>
        <v>-5</v>
      </c>
      <c r="T85" s="153">
        <f t="shared" si="15"/>
        <v>-50</v>
      </c>
      <c r="U85" s="151"/>
      <c r="V85" s="151">
        <f t="shared" si="16"/>
        <v>0</v>
      </c>
    </row>
    <row r="86" spans="1:22" x14ac:dyDescent="0.25">
      <c r="A86" s="61"/>
      <c r="G86" s="18"/>
      <c r="H86" s="40">
        <v>81</v>
      </c>
      <c r="I86" s="41" t="str">
        <f t="shared" si="11"/>
        <v/>
      </c>
      <c r="J86" s="40">
        <f t="shared" si="17"/>
        <v>-5</v>
      </c>
      <c r="K86" s="40">
        <f t="shared" si="12"/>
        <v>-50</v>
      </c>
      <c r="L86" s="40"/>
      <c r="M86" s="42">
        <f t="shared" si="13"/>
        <v>0</v>
      </c>
      <c r="O86" s="150">
        <v>81</v>
      </c>
      <c r="P86" s="150"/>
      <c r="Q86" s="150"/>
      <c r="R86" s="151" t="str">
        <f t="shared" si="18"/>
        <v/>
      </c>
      <c r="S86" s="153">
        <f t="shared" si="14"/>
        <v>-5</v>
      </c>
      <c r="T86" s="153">
        <f t="shared" si="15"/>
        <v>-50</v>
      </c>
      <c r="U86" s="151"/>
      <c r="V86" s="151">
        <f t="shared" si="16"/>
        <v>0</v>
      </c>
    </row>
    <row r="87" spans="1:22" x14ac:dyDescent="0.25">
      <c r="A87" s="61"/>
      <c r="G87" s="18"/>
      <c r="H87" s="40">
        <v>82</v>
      </c>
      <c r="I87" s="41" t="str">
        <f t="shared" si="11"/>
        <v/>
      </c>
      <c r="J87" s="40">
        <f t="shared" si="17"/>
        <v>-5</v>
      </c>
      <c r="K87" s="40">
        <f t="shared" si="12"/>
        <v>-50</v>
      </c>
      <c r="L87" s="40"/>
      <c r="M87" s="42">
        <f t="shared" si="13"/>
        <v>0</v>
      </c>
      <c r="O87" s="150">
        <v>82</v>
      </c>
      <c r="P87" s="150"/>
      <c r="Q87" s="150"/>
      <c r="R87" s="151" t="str">
        <f t="shared" si="18"/>
        <v/>
      </c>
      <c r="S87" s="153">
        <f t="shared" si="14"/>
        <v>-5</v>
      </c>
      <c r="T87" s="153">
        <f t="shared" si="15"/>
        <v>-50</v>
      </c>
      <c r="U87" s="151"/>
      <c r="V87" s="151">
        <f t="shared" si="16"/>
        <v>0</v>
      </c>
    </row>
    <row r="88" spans="1:22" x14ac:dyDescent="0.25">
      <c r="A88" s="61"/>
      <c r="G88" s="18"/>
      <c r="H88" s="40">
        <v>83</v>
      </c>
      <c r="I88" s="41" t="str">
        <f t="shared" si="11"/>
        <v/>
      </c>
      <c r="J88" s="40">
        <f t="shared" si="17"/>
        <v>-5</v>
      </c>
      <c r="K88" s="40">
        <f t="shared" si="12"/>
        <v>-50</v>
      </c>
      <c r="L88" s="40"/>
      <c r="M88" s="42">
        <f t="shared" si="13"/>
        <v>0</v>
      </c>
      <c r="O88" s="150">
        <v>83</v>
      </c>
      <c r="P88" s="150"/>
      <c r="Q88" s="150"/>
      <c r="R88" s="151" t="str">
        <f t="shared" si="18"/>
        <v/>
      </c>
      <c r="S88" s="153">
        <f t="shared" si="14"/>
        <v>-5</v>
      </c>
      <c r="T88" s="153">
        <f t="shared" si="15"/>
        <v>-50</v>
      </c>
      <c r="U88" s="151"/>
      <c r="V88" s="151">
        <f t="shared" si="16"/>
        <v>0</v>
      </c>
    </row>
    <row r="89" spans="1:22" x14ac:dyDescent="0.25">
      <c r="A89" s="61"/>
      <c r="G89" s="18"/>
      <c r="H89" s="40">
        <v>84</v>
      </c>
      <c r="I89" s="41" t="str">
        <f t="shared" si="11"/>
        <v/>
      </c>
      <c r="J89" s="40">
        <f t="shared" si="17"/>
        <v>-5</v>
      </c>
      <c r="K89" s="40">
        <f t="shared" si="12"/>
        <v>-50</v>
      </c>
      <c r="L89" s="40"/>
      <c r="M89" s="42">
        <f t="shared" si="13"/>
        <v>0</v>
      </c>
      <c r="O89" s="150">
        <v>84</v>
      </c>
      <c r="P89" s="150"/>
      <c r="Q89" s="150"/>
      <c r="R89" s="151" t="str">
        <f t="shared" si="18"/>
        <v/>
      </c>
      <c r="S89" s="153">
        <f t="shared" si="14"/>
        <v>-5</v>
      </c>
      <c r="T89" s="153">
        <f t="shared" si="15"/>
        <v>-50</v>
      </c>
      <c r="U89" s="151"/>
      <c r="V89" s="151">
        <f t="shared" si="16"/>
        <v>0</v>
      </c>
    </row>
    <row r="90" spans="1:22" x14ac:dyDescent="0.25">
      <c r="A90" s="61"/>
      <c r="G90" s="18"/>
      <c r="H90" s="40">
        <v>85</v>
      </c>
      <c r="I90" s="41" t="str">
        <f t="shared" si="11"/>
        <v/>
      </c>
      <c r="J90" s="40">
        <f t="shared" si="17"/>
        <v>-5</v>
      </c>
      <c r="K90" s="40">
        <f t="shared" si="12"/>
        <v>-50</v>
      </c>
      <c r="L90" s="40"/>
      <c r="M90" s="42">
        <f t="shared" si="13"/>
        <v>0</v>
      </c>
      <c r="O90" s="150">
        <v>85</v>
      </c>
      <c r="P90" s="150"/>
      <c r="Q90" s="150"/>
      <c r="R90" s="151" t="str">
        <f t="shared" si="18"/>
        <v/>
      </c>
      <c r="S90" s="153">
        <f t="shared" si="14"/>
        <v>-5</v>
      </c>
      <c r="T90" s="153">
        <f t="shared" si="15"/>
        <v>-50</v>
      </c>
      <c r="U90" s="151"/>
      <c r="V90" s="151">
        <f t="shared" si="16"/>
        <v>0</v>
      </c>
    </row>
    <row r="91" spans="1:22" x14ac:dyDescent="0.25">
      <c r="A91" s="61"/>
      <c r="G91" s="18"/>
      <c r="H91" s="40">
        <v>86</v>
      </c>
      <c r="I91" s="41" t="str">
        <f t="shared" si="11"/>
        <v/>
      </c>
      <c r="J91" s="40">
        <f t="shared" si="17"/>
        <v>-5</v>
      </c>
      <c r="K91" s="40">
        <f t="shared" si="12"/>
        <v>-50</v>
      </c>
      <c r="L91" s="40"/>
      <c r="M91" s="42">
        <f t="shared" si="13"/>
        <v>0</v>
      </c>
      <c r="O91" s="150">
        <v>86</v>
      </c>
      <c r="P91" s="150"/>
      <c r="Q91" s="150"/>
      <c r="R91" s="151" t="str">
        <f t="shared" si="18"/>
        <v/>
      </c>
      <c r="S91" s="153">
        <f t="shared" si="14"/>
        <v>-5</v>
      </c>
      <c r="T91" s="153">
        <f t="shared" si="15"/>
        <v>-50</v>
      </c>
      <c r="U91" s="151"/>
      <c r="V91" s="151">
        <f t="shared" si="16"/>
        <v>0</v>
      </c>
    </row>
    <row r="92" spans="1:22" x14ac:dyDescent="0.25">
      <c r="A92" s="61"/>
      <c r="G92" s="18"/>
      <c r="H92" s="40">
        <v>87</v>
      </c>
      <c r="I92" s="41" t="str">
        <f t="shared" si="11"/>
        <v/>
      </c>
      <c r="J92" s="40">
        <f t="shared" si="17"/>
        <v>-5</v>
      </c>
      <c r="K92" s="40">
        <f t="shared" si="12"/>
        <v>-50</v>
      </c>
      <c r="L92" s="40"/>
      <c r="M92" s="42">
        <f t="shared" si="13"/>
        <v>0</v>
      </c>
      <c r="O92" s="150">
        <v>87</v>
      </c>
      <c r="P92" s="150"/>
      <c r="Q92" s="150"/>
      <c r="R92" s="151" t="str">
        <f t="shared" si="18"/>
        <v/>
      </c>
      <c r="S92" s="153">
        <f t="shared" si="14"/>
        <v>-5</v>
      </c>
      <c r="T92" s="153">
        <f t="shared" si="15"/>
        <v>-50</v>
      </c>
      <c r="U92" s="151"/>
      <c r="V92" s="151">
        <f t="shared" si="16"/>
        <v>0</v>
      </c>
    </row>
    <row r="93" spans="1:22" x14ac:dyDescent="0.25">
      <c r="A93" s="61"/>
      <c r="G93" s="18"/>
      <c r="H93" s="40">
        <v>88</v>
      </c>
      <c r="I93" s="41" t="str">
        <f t="shared" si="11"/>
        <v/>
      </c>
      <c r="J93" s="40">
        <f t="shared" si="17"/>
        <v>-5</v>
      </c>
      <c r="K93" s="40">
        <f t="shared" si="12"/>
        <v>-50</v>
      </c>
      <c r="L93" s="40"/>
      <c r="M93" s="42">
        <f t="shared" si="13"/>
        <v>0</v>
      </c>
      <c r="O93" s="150">
        <v>88</v>
      </c>
      <c r="P93" s="150"/>
      <c r="Q93" s="150"/>
      <c r="R93" s="151" t="str">
        <f t="shared" si="18"/>
        <v/>
      </c>
      <c r="S93" s="153">
        <f t="shared" si="14"/>
        <v>-5</v>
      </c>
      <c r="T93" s="153">
        <f t="shared" si="15"/>
        <v>-50</v>
      </c>
      <c r="U93" s="151"/>
      <c r="V93" s="151">
        <f t="shared" si="16"/>
        <v>0</v>
      </c>
    </row>
    <row r="94" spans="1:22" x14ac:dyDescent="0.25">
      <c r="A94" s="61"/>
      <c r="G94" s="18"/>
      <c r="H94" s="40">
        <v>89</v>
      </c>
      <c r="I94" s="41" t="str">
        <f t="shared" si="11"/>
        <v/>
      </c>
      <c r="J94" s="40">
        <f t="shared" si="17"/>
        <v>-5</v>
      </c>
      <c r="K94" s="40">
        <f t="shared" si="12"/>
        <v>-50</v>
      </c>
      <c r="L94" s="40"/>
      <c r="M94" s="42">
        <f t="shared" si="13"/>
        <v>0</v>
      </c>
      <c r="O94" s="150">
        <v>89</v>
      </c>
      <c r="P94" s="150"/>
      <c r="Q94" s="150"/>
      <c r="R94" s="151" t="str">
        <f t="shared" si="18"/>
        <v/>
      </c>
      <c r="S94" s="153">
        <f t="shared" si="14"/>
        <v>-5</v>
      </c>
      <c r="T94" s="153">
        <f t="shared" si="15"/>
        <v>-50</v>
      </c>
      <c r="U94" s="151"/>
      <c r="V94" s="151">
        <f t="shared" si="16"/>
        <v>0</v>
      </c>
    </row>
    <row r="95" spans="1:22" x14ac:dyDescent="0.25">
      <c r="A95" s="61"/>
      <c r="G95" s="18"/>
      <c r="H95" s="40">
        <v>90</v>
      </c>
      <c r="I95" s="41" t="str">
        <f t="shared" si="11"/>
        <v/>
      </c>
      <c r="J95" s="40">
        <f t="shared" si="17"/>
        <v>-5</v>
      </c>
      <c r="K95" s="40">
        <f t="shared" si="12"/>
        <v>-50</v>
      </c>
      <c r="L95" s="40"/>
      <c r="M95" s="42">
        <f t="shared" si="13"/>
        <v>0</v>
      </c>
      <c r="O95" s="150">
        <v>90</v>
      </c>
      <c r="P95" s="150"/>
      <c r="Q95" s="150"/>
      <c r="R95" s="151" t="str">
        <f t="shared" si="18"/>
        <v/>
      </c>
      <c r="S95" s="153">
        <f t="shared" si="14"/>
        <v>-5</v>
      </c>
      <c r="T95" s="153">
        <f t="shared" si="15"/>
        <v>-50</v>
      </c>
      <c r="U95" s="151"/>
      <c r="V95" s="151">
        <f t="shared" si="16"/>
        <v>0</v>
      </c>
    </row>
    <row r="96" spans="1:22" x14ac:dyDescent="0.25">
      <c r="A96" s="61"/>
      <c r="G96" s="18"/>
      <c r="H96" s="40">
        <v>91</v>
      </c>
      <c r="I96" s="41" t="str">
        <f t="shared" si="11"/>
        <v/>
      </c>
      <c r="J96" s="40">
        <f t="shared" si="17"/>
        <v>-5</v>
      </c>
      <c r="K96" s="40">
        <f t="shared" si="12"/>
        <v>-50</v>
      </c>
      <c r="L96" s="40"/>
      <c r="M96" s="42">
        <f t="shared" si="13"/>
        <v>0</v>
      </c>
      <c r="O96" s="150">
        <v>91</v>
      </c>
      <c r="P96" s="150"/>
      <c r="Q96" s="150"/>
      <c r="R96" s="151" t="str">
        <f t="shared" si="18"/>
        <v/>
      </c>
      <c r="S96" s="153">
        <f t="shared" si="14"/>
        <v>-5</v>
      </c>
      <c r="T96" s="153">
        <f t="shared" si="15"/>
        <v>-50</v>
      </c>
      <c r="U96" s="151"/>
      <c r="V96" s="151">
        <f t="shared" si="16"/>
        <v>0</v>
      </c>
    </row>
    <row r="97" spans="1:22" x14ac:dyDescent="0.25">
      <c r="A97" s="61"/>
      <c r="G97" s="18"/>
      <c r="H97" s="40">
        <v>92</v>
      </c>
      <c r="I97" s="41" t="str">
        <f t="shared" si="11"/>
        <v/>
      </c>
      <c r="J97" s="40">
        <f t="shared" si="17"/>
        <v>-5</v>
      </c>
      <c r="K97" s="40">
        <f t="shared" si="12"/>
        <v>-50</v>
      </c>
      <c r="L97" s="40"/>
      <c r="M97" s="42">
        <f t="shared" si="13"/>
        <v>0</v>
      </c>
      <c r="O97" s="150">
        <v>92</v>
      </c>
      <c r="P97" s="150"/>
      <c r="Q97" s="150"/>
      <c r="R97" s="151" t="str">
        <f t="shared" si="18"/>
        <v/>
      </c>
      <c r="S97" s="153">
        <f t="shared" si="14"/>
        <v>-5</v>
      </c>
      <c r="T97" s="153">
        <f t="shared" si="15"/>
        <v>-50</v>
      </c>
      <c r="U97" s="151"/>
      <c r="V97" s="151">
        <f t="shared" si="16"/>
        <v>0</v>
      </c>
    </row>
    <row r="98" spans="1:22" x14ac:dyDescent="0.25">
      <c r="A98" s="61"/>
      <c r="G98" s="18"/>
      <c r="H98" s="40">
        <v>93</v>
      </c>
      <c r="I98" s="41" t="str">
        <f t="shared" si="11"/>
        <v/>
      </c>
      <c r="J98" s="40">
        <f t="shared" si="17"/>
        <v>-5</v>
      </c>
      <c r="K98" s="40">
        <f t="shared" si="12"/>
        <v>-50</v>
      </c>
      <c r="L98" s="40"/>
      <c r="M98" s="42">
        <f t="shared" si="13"/>
        <v>0</v>
      </c>
      <c r="O98" s="150">
        <v>93</v>
      </c>
      <c r="P98" s="150"/>
      <c r="Q98" s="150"/>
      <c r="R98" s="151" t="str">
        <f t="shared" si="18"/>
        <v/>
      </c>
      <c r="S98" s="153">
        <f t="shared" si="14"/>
        <v>-5</v>
      </c>
      <c r="T98" s="153">
        <f t="shared" si="15"/>
        <v>-50</v>
      </c>
      <c r="U98" s="151"/>
      <c r="V98" s="151">
        <f t="shared" si="16"/>
        <v>0</v>
      </c>
    </row>
    <row r="99" spans="1:22" x14ac:dyDescent="0.25">
      <c r="A99" s="61"/>
      <c r="G99" s="18"/>
      <c r="H99" s="40">
        <v>94</v>
      </c>
      <c r="I99" s="41" t="str">
        <f t="shared" si="11"/>
        <v/>
      </c>
      <c r="J99" s="40">
        <f t="shared" si="17"/>
        <v>-5</v>
      </c>
      <c r="K99" s="40">
        <f t="shared" si="12"/>
        <v>-50</v>
      </c>
      <c r="L99" s="40"/>
      <c r="M99" s="42">
        <f t="shared" si="13"/>
        <v>0</v>
      </c>
      <c r="O99" s="150">
        <v>94</v>
      </c>
      <c r="P99" s="150"/>
      <c r="Q99" s="150"/>
      <c r="R99" s="151" t="str">
        <f t="shared" si="18"/>
        <v/>
      </c>
      <c r="S99" s="153">
        <f t="shared" si="14"/>
        <v>-5</v>
      </c>
      <c r="T99" s="153">
        <f t="shared" si="15"/>
        <v>-50</v>
      </c>
      <c r="U99" s="151"/>
      <c r="V99" s="151">
        <f t="shared" si="16"/>
        <v>0</v>
      </c>
    </row>
    <row r="100" spans="1:22" x14ac:dyDescent="0.25">
      <c r="A100" s="61"/>
      <c r="G100" s="18"/>
      <c r="H100" s="40">
        <v>95</v>
      </c>
      <c r="I100" s="41" t="str">
        <f t="shared" si="11"/>
        <v/>
      </c>
      <c r="J100" s="40">
        <f t="shared" si="17"/>
        <v>-5</v>
      </c>
      <c r="K100" s="40">
        <f t="shared" si="12"/>
        <v>-50</v>
      </c>
      <c r="L100" s="40"/>
      <c r="M100" s="42">
        <f t="shared" si="13"/>
        <v>0</v>
      </c>
      <c r="O100" s="150">
        <v>95</v>
      </c>
      <c r="P100" s="150"/>
      <c r="Q100" s="150"/>
      <c r="R100" s="151" t="str">
        <f t="shared" si="18"/>
        <v/>
      </c>
      <c r="S100" s="153">
        <f t="shared" si="14"/>
        <v>-5</v>
      </c>
      <c r="T100" s="153">
        <f t="shared" si="15"/>
        <v>-50</v>
      </c>
      <c r="U100" s="151"/>
      <c r="V100" s="151">
        <f t="shared" si="16"/>
        <v>0</v>
      </c>
    </row>
    <row r="101" spans="1:22" x14ac:dyDescent="0.25">
      <c r="A101" s="61"/>
      <c r="G101" s="18"/>
      <c r="H101" s="40">
        <v>96</v>
      </c>
      <c r="I101" s="41" t="str">
        <f t="shared" si="11"/>
        <v/>
      </c>
      <c r="J101" s="40">
        <f t="shared" si="17"/>
        <v>-5</v>
      </c>
      <c r="K101" s="40">
        <f t="shared" si="12"/>
        <v>-50</v>
      </c>
      <c r="L101" s="40"/>
      <c r="M101" s="42">
        <f t="shared" si="13"/>
        <v>0</v>
      </c>
      <c r="O101" s="150">
        <v>96</v>
      </c>
      <c r="P101" s="150"/>
      <c r="Q101" s="150"/>
      <c r="R101" s="151" t="str">
        <f t="shared" si="18"/>
        <v/>
      </c>
      <c r="S101" s="153">
        <f t="shared" si="14"/>
        <v>-5</v>
      </c>
      <c r="T101" s="153">
        <f t="shared" si="15"/>
        <v>-50</v>
      </c>
      <c r="U101" s="151"/>
      <c r="V101" s="151">
        <f t="shared" si="16"/>
        <v>0</v>
      </c>
    </row>
    <row r="102" spans="1:22" x14ac:dyDescent="0.25">
      <c r="A102" s="61"/>
      <c r="G102" s="18"/>
      <c r="H102" s="40">
        <v>97</v>
      </c>
      <c r="I102" s="41" t="str">
        <f t="shared" si="11"/>
        <v/>
      </c>
      <c r="J102" s="40">
        <f t="shared" si="17"/>
        <v>-5</v>
      </c>
      <c r="K102" s="40">
        <f t="shared" si="12"/>
        <v>-50</v>
      </c>
      <c r="L102" s="40"/>
      <c r="M102" s="42">
        <f t="shared" si="13"/>
        <v>0</v>
      </c>
      <c r="O102" s="150">
        <v>97</v>
      </c>
      <c r="P102" s="150"/>
      <c r="Q102" s="150"/>
      <c r="R102" s="151" t="str">
        <f t="shared" si="18"/>
        <v/>
      </c>
      <c r="S102" s="153">
        <f t="shared" si="14"/>
        <v>-5</v>
      </c>
      <c r="T102" s="153">
        <f t="shared" si="15"/>
        <v>-50</v>
      </c>
      <c r="U102" s="151"/>
      <c r="V102" s="151">
        <f t="shared" si="16"/>
        <v>0</v>
      </c>
    </row>
    <row r="103" spans="1:22" x14ac:dyDescent="0.25">
      <c r="A103" s="61"/>
      <c r="G103" s="18"/>
      <c r="H103" s="40">
        <v>98</v>
      </c>
      <c r="I103" s="41" t="str">
        <f t="shared" si="11"/>
        <v/>
      </c>
      <c r="J103" s="40">
        <f t="shared" si="17"/>
        <v>-5</v>
      </c>
      <c r="K103" s="40">
        <f t="shared" si="12"/>
        <v>-50</v>
      </c>
      <c r="L103" s="40"/>
      <c r="M103" s="42">
        <f t="shared" si="13"/>
        <v>0</v>
      </c>
      <c r="O103" s="150">
        <v>98</v>
      </c>
      <c r="P103" s="150"/>
      <c r="Q103" s="150"/>
      <c r="R103" s="151" t="str">
        <f t="shared" si="18"/>
        <v/>
      </c>
      <c r="S103" s="153">
        <f t="shared" si="14"/>
        <v>-5</v>
      </c>
      <c r="T103" s="153">
        <f t="shared" si="15"/>
        <v>-50</v>
      </c>
      <c r="U103" s="151"/>
      <c r="V103" s="151">
        <f t="shared" si="16"/>
        <v>0</v>
      </c>
    </row>
    <row r="104" spans="1:22" x14ac:dyDescent="0.25">
      <c r="A104" s="61"/>
      <c r="G104" s="18"/>
      <c r="H104" s="40">
        <v>99</v>
      </c>
      <c r="I104" s="41" t="str">
        <f t="shared" si="11"/>
        <v/>
      </c>
      <c r="J104" s="40">
        <f t="shared" si="17"/>
        <v>-5</v>
      </c>
      <c r="K104" s="40">
        <f t="shared" si="12"/>
        <v>-50</v>
      </c>
      <c r="L104" s="40"/>
      <c r="M104" s="42">
        <f t="shared" si="13"/>
        <v>0</v>
      </c>
      <c r="O104" s="150">
        <v>99</v>
      </c>
      <c r="P104" s="150"/>
      <c r="Q104" s="150"/>
      <c r="R104" s="151" t="str">
        <f t="shared" si="18"/>
        <v/>
      </c>
      <c r="S104" s="153">
        <f t="shared" si="14"/>
        <v>-5</v>
      </c>
      <c r="T104" s="153">
        <f t="shared" si="15"/>
        <v>-50</v>
      </c>
      <c r="U104" s="151"/>
      <c r="V104" s="151">
        <f t="shared" si="16"/>
        <v>0</v>
      </c>
    </row>
    <row r="105" spans="1:22" x14ac:dyDescent="0.25">
      <c r="A105" s="61"/>
      <c r="G105" s="18"/>
      <c r="H105" s="40">
        <v>100</v>
      </c>
      <c r="I105" s="41" t="str">
        <f t="shared" si="11"/>
        <v/>
      </c>
      <c r="J105" s="40">
        <f t="shared" si="17"/>
        <v>-5</v>
      </c>
      <c r="K105" s="40">
        <f t="shared" si="12"/>
        <v>-50</v>
      </c>
      <c r="L105" s="40"/>
      <c r="M105" s="42">
        <f t="shared" si="13"/>
        <v>0</v>
      </c>
      <c r="O105" s="150">
        <v>100</v>
      </c>
      <c r="P105" s="150"/>
      <c r="Q105" s="150"/>
      <c r="R105" s="151" t="str">
        <f t="shared" si="18"/>
        <v/>
      </c>
      <c r="S105" s="153">
        <f t="shared" si="14"/>
        <v>-5</v>
      </c>
      <c r="T105" s="153">
        <f t="shared" si="15"/>
        <v>-50</v>
      </c>
      <c r="U105" s="151"/>
      <c r="V105" s="151">
        <f t="shared" si="16"/>
        <v>0</v>
      </c>
    </row>
    <row r="106" spans="1:22" x14ac:dyDescent="0.25">
      <c r="A106" s="61"/>
      <c r="G106" s="18"/>
      <c r="H106" s="40">
        <v>101</v>
      </c>
      <c r="I106" s="41" t="str">
        <f t="shared" si="11"/>
        <v/>
      </c>
      <c r="J106" s="40">
        <f t="shared" si="17"/>
        <v>-5</v>
      </c>
      <c r="K106" s="40">
        <f t="shared" si="12"/>
        <v>-50</v>
      </c>
      <c r="L106" s="40"/>
      <c r="M106" s="42">
        <f t="shared" si="13"/>
        <v>0</v>
      </c>
      <c r="O106" s="150">
        <v>101</v>
      </c>
      <c r="P106" s="150"/>
      <c r="Q106" s="150"/>
      <c r="R106" s="151" t="str">
        <f t="shared" si="18"/>
        <v/>
      </c>
      <c r="S106" s="153">
        <f t="shared" si="14"/>
        <v>-5</v>
      </c>
      <c r="T106" s="153">
        <f t="shared" si="15"/>
        <v>-50</v>
      </c>
      <c r="U106" s="151"/>
      <c r="V106" s="151">
        <f t="shared" si="16"/>
        <v>0</v>
      </c>
    </row>
    <row r="107" spans="1:22" x14ac:dyDescent="0.25">
      <c r="A107" s="61"/>
      <c r="G107" s="18"/>
      <c r="H107" s="40">
        <v>102</v>
      </c>
      <c r="I107" s="41" t="str">
        <f t="shared" si="11"/>
        <v/>
      </c>
      <c r="J107" s="40">
        <f t="shared" si="17"/>
        <v>-5</v>
      </c>
      <c r="K107" s="40">
        <f t="shared" si="12"/>
        <v>-50</v>
      </c>
      <c r="L107" s="40"/>
      <c r="M107" s="42">
        <f t="shared" si="13"/>
        <v>0</v>
      </c>
      <c r="O107" s="150">
        <v>102</v>
      </c>
      <c r="P107" s="150"/>
      <c r="Q107" s="150"/>
      <c r="R107" s="151" t="str">
        <f t="shared" si="18"/>
        <v/>
      </c>
      <c r="S107" s="153">
        <f t="shared" si="14"/>
        <v>-5</v>
      </c>
      <c r="T107" s="153">
        <f t="shared" si="15"/>
        <v>-50</v>
      </c>
      <c r="U107" s="151"/>
      <c r="V107" s="151">
        <f t="shared" si="16"/>
        <v>0</v>
      </c>
    </row>
    <row r="108" spans="1:22" x14ac:dyDescent="0.25">
      <c r="A108" s="61"/>
      <c r="G108" s="18"/>
      <c r="H108" s="40">
        <v>103</v>
      </c>
      <c r="I108" s="41" t="str">
        <f t="shared" si="11"/>
        <v/>
      </c>
      <c r="J108" s="40">
        <f t="shared" si="17"/>
        <v>-5</v>
      </c>
      <c r="K108" s="40">
        <f t="shared" si="12"/>
        <v>-50</v>
      </c>
      <c r="L108" s="40"/>
      <c r="M108" s="42">
        <f t="shared" si="13"/>
        <v>0</v>
      </c>
      <c r="O108" s="150">
        <v>103</v>
      </c>
      <c r="P108" s="150"/>
      <c r="Q108" s="150"/>
      <c r="R108" s="151" t="str">
        <f t="shared" si="18"/>
        <v/>
      </c>
      <c r="S108" s="153">
        <f t="shared" si="14"/>
        <v>-5</v>
      </c>
      <c r="T108" s="153">
        <f t="shared" si="15"/>
        <v>-50</v>
      </c>
      <c r="U108" s="151"/>
      <c r="V108" s="151">
        <f t="shared" si="16"/>
        <v>0</v>
      </c>
    </row>
    <row r="109" spans="1:22" x14ac:dyDescent="0.25">
      <c r="A109" s="61"/>
      <c r="G109" s="18"/>
      <c r="H109" s="40">
        <v>104</v>
      </c>
      <c r="I109" s="41" t="str">
        <f t="shared" si="11"/>
        <v/>
      </c>
      <c r="J109" s="40">
        <f t="shared" si="17"/>
        <v>-5</v>
      </c>
      <c r="K109" s="40">
        <f t="shared" si="12"/>
        <v>-50</v>
      </c>
      <c r="L109" s="40"/>
      <c r="M109" s="42">
        <f t="shared" si="13"/>
        <v>0</v>
      </c>
      <c r="O109" s="150">
        <v>104</v>
      </c>
      <c r="P109" s="150"/>
      <c r="Q109" s="150"/>
      <c r="R109" s="151" t="str">
        <f t="shared" si="18"/>
        <v/>
      </c>
      <c r="S109" s="153">
        <f t="shared" si="14"/>
        <v>-5</v>
      </c>
      <c r="T109" s="153">
        <f t="shared" si="15"/>
        <v>-50</v>
      </c>
      <c r="U109" s="151"/>
      <c r="V109" s="151">
        <f t="shared" si="16"/>
        <v>0</v>
      </c>
    </row>
    <row r="110" spans="1:22" x14ac:dyDescent="0.25">
      <c r="A110" s="61"/>
      <c r="G110" s="18"/>
      <c r="H110" s="40">
        <v>105</v>
      </c>
      <c r="I110" s="41" t="str">
        <f t="shared" si="11"/>
        <v/>
      </c>
      <c r="J110" s="40">
        <f t="shared" si="17"/>
        <v>-5</v>
      </c>
      <c r="K110" s="40">
        <f t="shared" si="12"/>
        <v>-50</v>
      </c>
      <c r="L110" s="40"/>
      <c r="M110" s="42">
        <f t="shared" si="13"/>
        <v>0</v>
      </c>
      <c r="O110" s="150">
        <v>105</v>
      </c>
      <c r="P110" s="150"/>
      <c r="Q110" s="150"/>
      <c r="R110" s="151" t="str">
        <f t="shared" si="18"/>
        <v/>
      </c>
      <c r="S110" s="153">
        <f t="shared" si="14"/>
        <v>-5</v>
      </c>
      <c r="T110" s="153">
        <f t="shared" si="15"/>
        <v>-50</v>
      </c>
      <c r="U110" s="151"/>
      <c r="V110" s="151">
        <f t="shared" si="16"/>
        <v>0</v>
      </c>
    </row>
    <row r="111" spans="1:22" x14ac:dyDescent="0.25">
      <c r="A111" s="61"/>
      <c r="G111" s="18"/>
      <c r="H111" s="40">
        <v>106</v>
      </c>
      <c r="I111" s="41" t="str">
        <f t="shared" si="11"/>
        <v/>
      </c>
      <c r="J111" s="40">
        <f t="shared" si="17"/>
        <v>-5</v>
      </c>
      <c r="K111" s="40">
        <f t="shared" si="12"/>
        <v>-50</v>
      </c>
      <c r="L111" s="40"/>
      <c r="M111" s="42">
        <f t="shared" si="13"/>
        <v>0</v>
      </c>
      <c r="O111" s="150">
        <v>106</v>
      </c>
      <c r="P111" s="150"/>
      <c r="Q111" s="150"/>
      <c r="R111" s="151" t="str">
        <f t="shared" si="18"/>
        <v/>
      </c>
      <c r="S111" s="153">
        <f t="shared" si="14"/>
        <v>-5</v>
      </c>
      <c r="T111" s="153">
        <f t="shared" si="15"/>
        <v>-50</v>
      </c>
      <c r="U111" s="151"/>
      <c r="V111" s="151">
        <f t="shared" si="16"/>
        <v>0</v>
      </c>
    </row>
    <row r="112" spans="1:22" x14ac:dyDescent="0.25">
      <c r="A112" s="61"/>
      <c r="G112" s="18"/>
      <c r="H112" s="40">
        <v>107</v>
      </c>
      <c r="I112" s="41" t="str">
        <f t="shared" si="11"/>
        <v/>
      </c>
      <c r="J112" s="40">
        <f t="shared" si="17"/>
        <v>-5</v>
      </c>
      <c r="K112" s="40">
        <f t="shared" si="12"/>
        <v>-50</v>
      </c>
      <c r="L112" s="40"/>
      <c r="M112" s="42">
        <f t="shared" si="13"/>
        <v>0</v>
      </c>
      <c r="O112" s="150">
        <v>107</v>
      </c>
      <c r="P112" s="150"/>
      <c r="Q112" s="150"/>
      <c r="R112" s="151" t="str">
        <f t="shared" si="18"/>
        <v/>
      </c>
      <c r="S112" s="153">
        <f t="shared" si="14"/>
        <v>-5</v>
      </c>
      <c r="T112" s="153">
        <f t="shared" si="15"/>
        <v>-50</v>
      </c>
      <c r="U112" s="151"/>
      <c r="V112" s="151">
        <f t="shared" si="16"/>
        <v>0</v>
      </c>
    </row>
    <row r="113" spans="1:22" x14ac:dyDescent="0.25">
      <c r="A113" s="61"/>
      <c r="G113" s="18"/>
      <c r="H113" s="40">
        <v>108</v>
      </c>
      <c r="I113" s="41" t="str">
        <f t="shared" si="11"/>
        <v/>
      </c>
      <c r="J113" s="40">
        <f t="shared" si="17"/>
        <v>-5</v>
      </c>
      <c r="K113" s="40">
        <f t="shared" si="12"/>
        <v>-50</v>
      </c>
      <c r="L113" s="40"/>
      <c r="M113" s="42">
        <f t="shared" si="13"/>
        <v>0</v>
      </c>
      <c r="O113" s="150">
        <v>108</v>
      </c>
      <c r="P113" s="150"/>
      <c r="Q113" s="150"/>
      <c r="R113" s="151" t="str">
        <f t="shared" si="18"/>
        <v/>
      </c>
      <c r="S113" s="153">
        <f t="shared" si="14"/>
        <v>-5</v>
      </c>
      <c r="T113" s="153">
        <f t="shared" si="15"/>
        <v>-50</v>
      </c>
      <c r="U113" s="151"/>
      <c r="V113" s="151">
        <f t="shared" si="16"/>
        <v>0</v>
      </c>
    </row>
    <row r="114" spans="1:22" x14ac:dyDescent="0.25">
      <c r="A114" s="61"/>
      <c r="G114" s="18"/>
      <c r="H114" s="40">
        <v>109</v>
      </c>
      <c r="I114" s="41" t="str">
        <f t="shared" si="11"/>
        <v/>
      </c>
      <c r="J114" s="40">
        <f t="shared" si="17"/>
        <v>-5</v>
      </c>
      <c r="K114" s="40">
        <f t="shared" si="12"/>
        <v>-50</v>
      </c>
      <c r="L114" s="40"/>
      <c r="M114" s="42">
        <f t="shared" si="13"/>
        <v>0</v>
      </c>
      <c r="O114" s="150">
        <v>109</v>
      </c>
      <c r="P114" s="150"/>
      <c r="Q114" s="150"/>
      <c r="R114" s="151" t="str">
        <f t="shared" si="18"/>
        <v/>
      </c>
      <c r="S114" s="153">
        <f t="shared" si="14"/>
        <v>-5</v>
      </c>
      <c r="T114" s="153">
        <f t="shared" si="15"/>
        <v>-50</v>
      </c>
      <c r="U114" s="151"/>
      <c r="V114" s="151">
        <f t="shared" si="16"/>
        <v>0</v>
      </c>
    </row>
    <row r="115" spans="1:22" x14ac:dyDescent="0.25">
      <c r="A115" s="61"/>
      <c r="G115" s="18"/>
      <c r="H115" s="40">
        <v>110</v>
      </c>
      <c r="I115" s="41" t="str">
        <f t="shared" si="11"/>
        <v/>
      </c>
      <c r="J115" s="40">
        <f t="shared" si="17"/>
        <v>-5</v>
      </c>
      <c r="K115" s="40">
        <f t="shared" si="12"/>
        <v>-50</v>
      </c>
      <c r="L115" s="40"/>
      <c r="M115" s="42">
        <f t="shared" si="13"/>
        <v>0</v>
      </c>
      <c r="O115" s="150">
        <v>110</v>
      </c>
      <c r="P115" s="150"/>
      <c r="Q115" s="150"/>
      <c r="R115" s="151" t="str">
        <f t="shared" si="18"/>
        <v/>
      </c>
      <c r="S115" s="153">
        <f t="shared" si="14"/>
        <v>-5</v>
      </c>
      <c r="T115" s="153">
        <f t="shared" si="15"/>
        <v>-50</v>
      </c>
      <c r="U115" s="151"/>
      <c r="V115" s="151">
        <f t="shared" si="16"/>
        <v>0</v>
      </c>
    </row>
    <row r="116" spans="1:22" x14ac:dyDescent="0.25">
      <c r="A116" s="61"/>
      <c r="G116" s="18"/>
      <c r="H116" s="40">
        <v>111</v>
      </c>
      <c r="I116" s="41" t="str">
        <f t="shared" si="11"/>
        <v/>
      </c>
      <c r="J116" s="40">
        <f t="shared" si="17"/>
        <v>-5</v>
      </c>
      <c r="K116" s="40">
        <f t="shared" si="12"/>
        <v>-50</v>
      </c>
      <c r="L116" s="40"/>
      <c r="M116" s="42">
        <f t="shared" si="13"/>
        <v>0</v>
      </c>
      <c r="O116" s="150">
        <v>111</v>
      </c>
      <c r="P116" s="150"/>
      <c r="Q116" s="150"/>
      <c r="R116" s="151" t="str">
        <f t="shared" si="18"/>
        <v/>
      </c>
      <c r="S116" s="153">
        <f t="shared" si="14"/>
        <v>-5</v>
      </c>
      <c r="T116" s="153">
        <f t="shared" si="15"/>
        <v>-50</v>
      </c>
      <c r="U116" s="151"/>
      <c r="V116" s="151">
        <f t="shared" si="16"/>
        <v>0</v>
      </c>
    </row>
    <row r="117" spans="1:22" x14ac:dyDescent="0.25">
      <c r="A117" s="61"/>
      <c r="G117" s="18"/>
      <c r="H117" s="40">
        <v>112</v>
      </c>
      <c r="I117" s="41" t="str">
        <f t="shared" si="11"/>
        <v/>
      </c>
      <c r="J117" s="40">
        <f t="shared" si="17"/>
        <v>-5</v>
      </c>
      <c r="K117" s="40">
        <f t="shared" si="12"/>
        <v>-50</v>
      </c>
      <c r="L117" s="40"/>
      <c r="M117" s="42">
        <f t="shared" si="13"/>
        <v>0</v>
      </c>
      <c r="O117" s="150">
        <v>112</v>
      </c>
      <c r="P117" s="150"/>
      <c r="Q117" s="150"/>
      <c r="R117" s="151" t="str">
        <f t="shared" si="18"/>
        <v/>
      </c>
      <c r="S117" s="153">
        <f t="shared" si="14"/>
        <v>-5</v>
      </c>
      <c r="T117" s="153">
        <f t="shared" si="15"/>
        <v>-50</v>
      </c>
      <c r="U117" s="151"/>
      <c r="V117" s="151">
        <f t="shared" si="16"/>
        <v>0</v>
      </c>
    </row>
    <row r="118" spans="1:22" x14ac:dyDescent="0.25">
      <c r="A118" s="61"/>
      <c r="G118" s="18"/>
      <c r="H118" s="40">
        <v>113</v>
      </c>
      <c r="I118" s="41" t="str">
        <f t="shared" si="11"/>
        <v/>
      </c>
      <c r="J118" s="40">
        <f t="shared" si="17"/>
        <v>-5</v>
      </c>
      <c r="K118" s="40">
        <f t="shared" si="12"/>
        <v>-50</v>
      </c>
      <c r="L118" s="40"/>
      <c r="M118" s="42">
        <f t="shared" si="13"/>
        <v>0</v>
      </c>
      <c r="O118" s="150">
        <v>113</v>
      </c>
      <c r="P118" s="150"/>
      <c r="Q118" s="150"/>
      <c r="R118" s="151" t="str">
        <f t="shared" si="18"/>
        <v/>
      </c>
      <c r="S118" s="153">
        <f t="shared" si="14"/>
        <v>-5</v>
      </c>
      <c r="T118" s="153">
        <f t="shared" si="15"/>
        <v>-50</v>
      </c>
      <c r="U118" s="151"/>
      <c r="V118" s="151">
        <f t="shared" si="16"/>
        <v>0</v>
      </c>
    </row>
    <row r="119" spans="1:22" x14ac:dyDescent="0.25">
      <c r="A119" s="61"/>
      <c r="G119" s="18"/>
      <c r="H119" s="40">
        <v>114</v>
      </c>
      <c r="I119" s="41" t="str">
        <f t="shared" si="11"/>
        <v/>
      </c>
      <c r="J119" s="40">
        <f t="shared" si="17"/>
        <v>-5</v>
      </c>
      <c r="K119" s="40">
        <f t="shared" si="12"/>
        <v>-50</v>
      </c>
      <c r="L119" s="40"/>
      <c r="M119" s="42">
        <f t="shared" si="13"/>
        <v>0</v>
      </c>
      <c r="O119" s="150">
        <v>114</v>
      </c>
      <c r="P119" s="150"/>
      <c r="Q119" s="150"/>
      <c r="R119" s="151" t="str">
        <f t="shared" si="18"/>
        <v/>
      </c>
      <c r="S119" s="153">
        <f t="shared" si="14"/>
        <v>-5</v>
      </c>
      <c r="T119" s="153">
        <f t="shared" si="15"/>
        <v>-50</v>
      </c>
      <c r="U119" s="151"/>
      <c r="V119" s="151">
        <f t="shared" si="16"/>
        <v>0</v>
      </c>
    </row>
    <row r="120" spans="1:22" x14ac:dyDescent="0.25">
      <c r="A120" s="61"/>
      <c r="G120" s="18"/>
      <c r="H120" s="40">
        <v>115</v>
      </c>
      <c r="I120" s="41" t="str">
        <f t="shared" si="11"/>
        <v/>
      </c>
      <c r="J120" s="40">
        <f t="shared" si="17"/>
        <v>-5</v>
      </c>
      <c r="K120" s="40">
        <f t="shared" si="12"/>
        <v>-50</v>
      </c>
      <c r="L120" s="40"/>
      <c r="M120" s="42">
        <f t="shared" si="13"/>
        <v>0</v>
      </c>
      <c r="O120" s="150">
        <v>115</v>
      </c>
      <c r="P120" s="150"/>
      <c r="Q120" s="150"/>
      <c r="R120" s="151" t="str">
        <f t="shared" si="18"/>
        <v/>
      </c>
      <c r="S120" s="153">
        <f t="shared" si="14"/>
        <v>-5</v>
      </c>
      <c r="T120" s="153">
        <f t="shared" si="15"/>
        <v>-50</v>
      </c>
      <c r="U120" s="151"/>
      <c r="V120" s="151">
        <f t="shared" si="16"/>
        <v>0</v>
      </c>
    </row>
    <row r="121" spans="1:22" x14ac:dyDescent="0.25">
      <c r="A121" s="61"/>
      <c r="G121" s="18"/>
      <c r="H121" s="40">
        <v>116</v>
      </c>
      <c r="I121" s="41" t="str">
        <f t="shared" si="11"/>
        <v/>
      </c>
      <c r="J121" s="40">
        <f t="shared" si="17"/>
        <v>-5</v>
      </c>
      <c r="K121" s="40">
        <f t="shared" si="12"/>
        <v>-50</v>
      </c>
      <c r="L121" s="40"/>
      <c r="M121" s="42">
        <f t="shared" si="13"/>
        <v>0</v>
      </c>
      <c r="O121" s="150">
        <v>116</v>
      </c>
      <c r="P121" s="150"/>
      <c r="Q121" s="150"/>
      <c r="R121" s="151" t="str">
        <f t="shared" si="18"/>
        <v/>
      </c>
      <c r="S121" s="153">
        <f t="shared" si="14"/>
        <v>-5</v>
      </c>
      <c r="T121" s="153">
        <f t="shared" si="15"/>
        <v>-50</v>
      </c>
      <c r="U121" s="151"/>
      <c r="V121" s="151">
        <f t="shared" si="16"/>
        <v>0</v>
      </c>
    </row>
    <row r="122" spans="1:22" x14ac:dyDescent="0.25">
      <c r="A122" s="61"/>
      <c r="G122" s="18"/>
      <c r="H122" s="40">
        <v>117</v>
      </c>
      <c r="I122" s="41" t="str">
        <f t="shared" si="11"/>
        <v/>
      </c>
      <c r="J122" s="40">
        <f t="shared" si="17"/>
        <v>-5</v>
      </c>
      <c r="K122" s="40">
        <f t="shared" si="12"/>
        <v>-50</v>
      </c>
      <c r="L122" s="40"/>
      <c r="M122" s="42">
        <f t="shared" si="13"/>
        <v>0</v>
      </c>
      <c r="O122" s="150">
        <v>117</v>
      </c>
      <c r="P122" s="150"/>
      <c r="Q122" s="150"/>
      <c r="R122" s="151" t="str">
        <f t="shared" si="18"/>
        <v/>
      </c>
      <c r="S122" s="153">
        <f t="shared" si="14"/>
        <v>-5</v>
      </c>
      <c r="T122" s="153">
        <f t="shared" si="15"/>
        <v>-50</v>
      </c>
      <c r="U122" s="151"/>
      <c r="V122" s="151">
        <f t="shared" si="16"/>
        <v>0</v>
      </c>
    </row>
    <row r="123" spans="1:22" x14ac:dyDescent="0.25">
      <c r="A123" s="61"/>
      <c r="G123" s="18"/>
      <c r="H123" s="40">
        <v>118</v>
      </c>
      <c r="I123" s="41" t="str">
        <f t="shared" si="11"/>
        <v/>
      </c>
      <c r="J123" s="40">
        <f t="shared" si="17"/>
        <v>-5</v>
      </c>
      <c r="K123" s="40">
        <f t="shared" si="12"/>
        <v>-50</v>
      </c>
      <c r="L123" s="40"/>
      <c r="M123" s="42">
        <f t="shared" si="13"/>
        <v>0</v>
      </c>
      <c r="O123" s="150">
        <v>118</v>
      </c>
      <c r="P123" s="150"/>
      <c r="Q123" s="150"/>
      <c r="R123" s="151" t="str">
        <f t="shared" si="18"/>
        <v/>
      </c>
      <c r="S123" s="153">
        <f t="shared" si="14"/>
        <v>-5</v>
      </c>
      <c r="T123" s="153">
        <f t="shared" si="15"/>
        <v>-50</v>
      </c>
      <c r="U123" s="151"/>
      <c r="V123" s="151">
        <f t="shared" si="16"/>
        <v>0</v>
      </c>
    </row>
    <row r="124" spans="1:22" x14ac:dyDescent="0.25">
      <c r="A124" s="61"/>
      <c r="G124" s="18"/>
      <c r="H124" s="40">
        <v>119</v>
      </c>
      <c r="I124" s="41" t="str">
        <f t="shared" si="11"/>
        <v/>
      </c>
      <c r="J124" s="40">
        <f t="shared" si="17"/>
        <v>-5</v>
      </c>
      <c r="K124" s="40">
        <f t="shared" si="12"/>
        <v>-50</v>
      </c>
      <c r="L124" s="40"/>
      <c r="M124" s="42">
        <f t="shared" si="13"/>
        <v>0</v>
      </c>
      <c r="O124" s="150">
        <v>119</v>
      </c>
      <c r="P124" s="150"/>
      <c r="Q124" s="150"/>
      <c r="R124" s="151" t="str">
        <f t="shared" si="18"/>
        <v/>
      </c>
      <c r="S124" s="153">
        <f t="shared" si="14"/>
        <v>-5</v>
      </c>
      <c r="T124" s="153">
        <f t="shared" si="15"/>
        <v>-50</v>
      </c>
      <c r="U124" s="151"/>
      <c r="V124" s="151">
        <f t="shared" si="16"/>
        <v>0</v>
      </c>
    </row>
    <row r="125" spans="1:22" x14ac:dyDescent="0.25">
      <c r="A125" s="61"/>
      <c r="G125" s="18"/>
      <c r="H125" s="40">
        <v>120</v>
      </c>
      <c r="I125" s="41" t="str">
        <f t="shared" si="11"/>
        <v/>
      </c>
      <c r="J125" s="40">
        <f t="shared" si="17"/>
        <v>-5</v>
      </c>
      <c r="K125" s="40">
        <f t="shared" si="12"/>
        <v>-50</v>
      </c>
      <c r="L125" s="40"/>
      <c r="M125" s="42">
        <f t="shared" si="13"/>
        <v>0</v>
      </c>
      <c r="O125" s="150">
        <v>120</v>
      </c>
      <c r="P125" s="150"/>
      <c r="Q125" s="150"/>
      <c r="R125" s="151" t="str">
        <f t="shared" si="18"/>
        <v/>
      </c>
      <c r="S125" s="153">
        <f t="shared" si="14"/>
        <v>-5</v>
      </c>
      <c r="T125" s="153">
        <f t="shared" si="15"/>
        <v>-50</v>
      </c>
      <c r="U125" s="151"/>
      <c r="V125" s="151">
        <f t="shared" si="16"/>
        <v>0</v>
      </c>
    </row>
    <row r="126" spans="1:22" x14ac:dyDescent="0.25">
      <c r="A126" s="61"/>
      <c r="G126" s="18"/>
      <c r="H126" s="40">
        <v>121</v>
      </c>
      <c r="I126" s="41" t="str">
        <f t="shared" si="11"/>
        <v/>
      </c>
      <c r="J126" s="40">
        <f t="shared" si="17"/>
        <v>-5</v>
      </c>
      <c r="K126" s="40">
        <f t="shared" si="12"/>
        <v>-50</v>
      </c>
      <c r="L126" s="40"/>
      <c r="M126" s="42">
        <f t="shared" si="13"/>
        <v>0</v>
      </c>
      <c r="O126" s="150">
        <v>121</v>
      </c>
      <c r="P126" s="150"/>
      <c r="Q126" s="150"/>
      <c r="R126" s="151" t="str">
        <f t="shared" si="18"/>
        <v/>
      </c>
      <c r="S126" s="153">
        <f t="shared" si="14"/>
        <v>-5</v>
      </c>
      <c r="T126" s="153">
        <f t="shared" si="15"/>
        <v>-50</v>
      </c>
      <c r="U126" s="151"/>
      <c r="V126" s="151">
        <f t="shared" si="16"/>
        <v>0</v>
      </c>
    </row>
    <row r="127" spans="1:22" x14ac:dyDescent="0.25">
      <c r="A127" s="61"/>
      <c r="G127" s="18"/>
      <c r="H127" s="40">
        <v>122</v>
      </c>
      <c r="I127" s="41" t="str">
        <f t="shared" si="11"/>
        <v/>
      </c>
      <c r="J127" s="40">
        <f t="shared" si="17"/>
        <v>-5</v>
      </c>
      <c r="K127" s="40">
        <f t="shared" si="12"/>
        <v>-50</v>
      </c>
      <c r="L127" s="40"/>
      <c r="M127" s="42">
        <f t="shared" si="13"/>
        <v>0</v>
      </c>
      <c r="O127" s="150">
        <v>122</v>
      </c>
      <c r="P127" s="150"/>
      <c r="Q127" s="150"/>
      <c r="R127" s="151" t="str">
        <f t="shared" si="18"/>
        <v/>
      </c>
      <c r="S127" s="153">
        <f t="shared" si="14"/>
        <v>-5</v>
      </c>
      <c r="T127" s="153">
        <f t="shared" si="15"/>
        <v>-50</v>
      </c>
      <c r="U127" s="151"/>
      <c r="V127" s="151">
        <f t="shared" si="16"/>
        <v>0</v>
      </c>
    </row>
    <row r="128" spans="1:22" x14ac:dyDescent="0.25">
      <c r="A128" s="61"/>
      <c r="G128" s="18"/>
      <c r="H128" s="40">
        <v>123</v>
      </c>
      <c r="I128" s="41" t="str">
        <f t="shared" si="11"/>
        <v/>
      </c>
      <c r="J128" s="40">
        <f t="shared" si="17"/>
        <v>-5</v>
      </c>
      <c r="K128" s="40">
        <f t="shared" si="12"/>
        <v>-50</v>
      </c>
      <c r="L128" s="40"/>
      <c r="M128" s="42">
        <f t="shared" si="13"/>
        <v>0</v>
      </c>
      <c r="O128" s="150">
        <v>123</v>
      </c>
      <c r="P128" s="150"/>
      <c r="Q128" s="150"/>
      <c r="R128" s="151" t="str">
        <f t="shared" si="18"/>
        <v/>
      </c>
      <c r="S128" s="153">
        <f t="shared" si="14"/>
        <v>-5</v>
      </c>
      <c r="T128" s="153">
        <f t="shared" si="15"/>
        <v>-50</v>
      </c>
      <c r="U128" s="151"/>
      <c r="V128" s="151">
        <f t="shared" si="16"/>
        <v>0</v>
      </c>
    </row>
    <row r="129" spans="1:22" x14ac:dyDescent="0.25">
      <c r="A129" s="61"/>
      <c r="G129" s="18"/>
      <c r="H129" s="40">
        <v>124</v>
      </c>
      <c r="I129" s="41" t="str">
        <f t="shared" si="11"/>
        <v/>
      </c>
      <c r="J129" s="40">
        <f t="shared" si="17"/>
        <v>-5</v>
      </c>
      <c r="K129" s="40">
        <f t="shared" si="12"/>
        <v>-50</v>
      </c>
      <c r="L129" s="40"/>
      <c r="M129" s="42">
        <f t="shared" si="13"/>
        <v>0</v>
      </c>
      <c r="O129" s="150">
        <v>124</v>
      </c>
      <c r="P129" s="150"/>
      <c r="Q129" s="150"/>
      <c r="R129" s="151" t="str">
        <f t="shared" si="18"/>
        <v/>
      </c>
      <c r="S129" s="153">
        <f t="shared" si="14"/>
        <v>-5</v>
      </c>
      <c r="T129" s="153">
        <f t="shared" si="15"/>
        <v>-50</v>
      </c>
      <c r="U129" s="151"/>
      <c r="V129" s="151">
        <f t="shared" si="16"/>
        <v>0</v>
      </c>
    </row>
    <row r="130" spans="1:22" x14ac:dyDescent="0.25">
      <c r="A130" s="61"/>
      <c r="G130" s="18"/>
      <c r="H130" s="40">
        <v>125</v>
      </c>
      <c r="I130" s="41" t="str">
        <f t="shared" si="11"/>
        <v/>
      </c>
      <c r="J130" s="40">
        <f t="shared" si="17"/>
        <v>-5</v>
      </c>
      <c r="K130" s="40">
        <f t="shared" si="12"/>
        <v>-50</v>
      </c>
      <c r="L130" s="40"/>
      <c r="M130" s="42">
        <f t="shared" si="13"/>
        <v>0</v>
      </c>
      <c r="O130" s="150">
        <v>125</v>
      </c>
      <c r="P130" s="150"/>
      <c r="Q130" s="150"/>
      <c r="R130" s="151" t="str">
        <f t="shared" si="18"/>
        <v/>
      </c>
      <c r="S130" s="153">
        <f t="shared" si="14"/>
        <v>-5</v>
      </c>
      <c r="T130" s="153">
        <f t="shared" si="15"/>
        <v>-50</v>
      </c>
      <c r="U130" s="151"/>
      <c r="V130" s="151">
        <f t="shared" si="16"/>
        <v>0</v>
      </c>
    </row>
    <row r="131" spans="1:22" x14ac:dyDescent="0.25">
      <c r="A131" s="61"/>
      <c r="G131" s="18"/>
      <c r="H131" s="40">
        <v>126</v>
      </c>
      <c r="I131" s="41" t="str">
        <f t="shared" si="11"/>
        <v/>
      </c>
      <c r="J131" s="40">
        <f t="shared" si="17"/>
        <v>-5</v>
      </c>
      <c r="K131" s="40">
        <f t="shared" si="12"/>
        <v>-50</v>
      </c>
      <c r="L131" s="40"/>
      <c r="M131" s="42">
        <f t="shared" si="13"/>
        <v>0</v>
      </c>
      <c r="O131" s="150">
        <v>126</v>
      </c>
      <c r="P131" s="150"/>
      <c r="Q131" s="150"/>
      <c r="R131" s="151" t="str">
        <f t="shared" si="18"/>
        <v/>
      </c>
      <c r="S131" s="153">
        <f t="shared" si="14"/>
        <v>-5</v>
      </c>
      <c r="T131" s="153">
        <f t="shared" si="15"/>
        <v>-50</v>
      </c>
      <c r="U131" s="151"/>
      <c r="V131" s="151">
        <f t="shared" si="16"/>
        <v>0</v>
      </c>
    </row>
    <row r="132" spans="1:22" x14ac:dyDescent="0.25">
      <c r="A132" s="61"/>
      <c r="G132" s="18"/>
      <c r="H132" s="40">
        <v>127</v>
      </c>
      <c r="I132" s="41" t="str">
        <f t="shared" si="11"/>
        <v/>
      </c>
      <c r="J132" s="40">
        <f t="shared" si="17"/>
        <v>-5</v>
      </c>
      <c r="K132" s="40">
        <f t="shared" si="12"/>
        <v>-50</v>
      </c>
      <c r="L132" s="40"/>
      <c r="M132" s="42">
        <f t="shared" si="13"/>
        <v>0</v>
      </c>
      <c r="O132" s="150">
        <v>127</v>
      </c>
      <c r="P132" s="150"/>
      <c r="Q132" s="150"/>
      <c r="R132" s="151" t="str">
        <f t="shared" si="18"/>
        <v/>
      </c>
      <c r="S132" s="153">
        <f t="shared" si="14"/>
        <v>-5</v>
      </c>
      <c r="T132" s="153">
        <f t="shared" si="15"/>
        <v>-50</v>
      </c>
      <c r="U132" s="151"/>
      <c r="V132" s="151">
        <f t="shared" si="16"/>
        <v>0</v>
      </c>
    </row>
    <row r="133" spans="1:22" x14ac:dyDescent="0.25">
      <c r="A133" s="61"/>
      <c r="G133" s="18"/>
      <c r="H133" s="40">
        <v>128</v>
      </c>
      <c r="I133" s="41" t="str">
        <f t="shared" si="11"/>
        <v/>
      </c>
      <c r="J133" s="40">
        <f t="shared" si="17"/>
        <v>-5</v>
      </c>
      <c r="K133" s="40">
        <f t="shared" si="12"/>
        <v>-50</v>
      </c>
      <c r="L133" s="40"/>
      <c r="M133" s="42">
        <f t="shared" si="13"/>
        <v>0</v>
      </c>
      <c r="O133" s="150">
        <v>128</v>
      </c>
      <c r="P133" s="150"/>
      <c r="Q133" s="150"/>
      <c r="R133" s="151" t="str">
        <f t="shared" si="18"/>
        <v/>
      </c>
      <c r="S133" s="153">
        <f t="shared" si="14"/>
        <v>-5</v>
      </c>
      <c r="T133" s="153">
        <f t="shared" si="15"/>
        <v>-50</v>
      </c>
      <c r="U133" s="151"/>
      <c r="V133" s="151">
        <f t="shared" si="16"/>
        <v>0</v>
      </c>
    </row>
    <row r="134" spans="1:22" x14ac:dyDescent="0.25">
      <c r="A134" s="61"/>
      <c r="G134" s="18"/>
      <c r="H134" s="40">
        <v>129</v>
      </c>
      <c r="I134" s="41" t="str">
        <f t="shared" ref="I134:I197" si="19">IF(H134&lt;$H$2+1,($I$2-($I$2-1)*(LOG(H134)/LOG($H$2))),"")</f>
        <v/>
      </c>
      <c r="J134" s="40">
        <f t="shared" si="17"/>
        <v>-6</v>
      </c>
      <c r="K134" s="40">
        <f t="shared" ref="K134:K197" si="20">J134*$J$2</f>
        <v>-60</v>
      </c>
      <c r="L134" s="40"/>
      <c r="M134" s="42">
        <f t="shared" ref="M134:M197" si="21">IF(I134&lt;&gt;"",K134+I134+L134,0)</f>
        <v>0</v>
      </c>
      <c r="O134" s="150">
        <v>129</v>
      </c>
      <c r="P134" s="150"/>
      <c r="Q134" s="150"/>
      <c r="R134" s="151" t="str">
        <f t="shared" si="18"/>
        <v/>
      </c>
      <c r="S134" s="153">
        <f t="shared" ref="S134:S197" si="22">INT(LOG($O$2,2))-ROUNDUP(LOG(O134,2),0)+IF(OR($O$2=1,$O$2=2,$O$2=4,$O$2=8,$O$2=16,$O$2=32,$O$2=64,$O$2=128,$O$2=256),0,1)</f>
        <v>-6</v>
      </c>
      <c r="T134" s="153">
        <f t="shared" ref="T134:T197" si="23">S134*$J$2</f>
        <v>-60</v>
      </c>
      <c r="U134" s="151"/>
      <c r="V134" s="151">
        <f t="shared" ref="V134:V197" si="24">IF(R134&lt;&gt;"",T134+R134+U134,0)</f>
        <v>0</v>
      </c>
    </row>
    <row r="135" spans="1:22" x14ac:dyDescent="0.25">
      <c r="A135" s="61"/>
      <c r="G135" s="18"/>
      <c r="H135" s="40">
        <v>130</v>
      </c>
      <c r="I135" s="41" t="str">
        <f t="shared" si="19"/>
        <v/>
      </c>
      <c r="J135" s="40">
        <f t="shared" ref="J135:J198" si="25">INT(LOG($H$2,2))-ROUNDUP(LOG(H135,2),0)+IF(OR($H$2=1,$H$2=2,$H$2=4,$H$2=8,$H$2=16,$H$2=32,$H$2=64,$H$2=128,$H$2=256),0,1)</f>
        <v>-6</v>
      </c>
      <c r="K135" s="40">
        <f t="shared" si="20"/>
        <v>-60</v>
      </c>
      <c r="L135" s="40"/>
      <c r="M135" s="42">
        <f t="shared" si="21"/>
        <v>0</v>
      </c>
      <c r="O135" s="150">
        <v>130</v>
      </c>
      <c r="P135" s="150"/>
      <c r="Q135" s="150"/>
      <c r="R135" s="151" t="str">
        <f t="shared" ref="R135:R198" si="26">IF(O135&lt;$O$2+1,($I$2-($I$2-1)*(LOG(O135)/LOG($O$2))),"")</f>
        <v/>
      </c>
      <c r="S135" s="153">
        <f t="shared" si="22"/>
        <v>-6</v>
      </c>
      <c r="T135" s="153">
        <f t="shared" si="23"/>
        <v>-60</v>
      </c>
      <c r="U135" s="151"/>
      <c r="V135" s="151">
        <f t="shared" si="24"/>
        <v>0</v>
      </c>
    </row>
    <row r="136" spans="1:22" x14ac:dyDescent="0.25">
      <c r="A136" s="61"/>
      <c r="G136" s="18"/>
      <c r="H136" s="40">
        <v>131</v>
      </c>
      <c r="I136" s="41" t="str">
        <f t="shared" si="19"/>
        <v/>
      </c>
      <c r="J136" s="40">
        <f t="shared" si="25"/>
        <v>-6</v>
      </c>
      <c r="K136" s="40">
        <f t="shared" si="20"/>
        <v>-60</v>
      </c>
      <c r="L136" s="40"/>
      <c r="M136" s="42">
        <f t="shared" si="21"/>
        <v>0</v>
      </c>
      <c r="O136" s="150">
        <v>131</v>
      </c>
      <c r="P136" s="150"/>
      <c r="Q136" s="150"/>
      <c r="R136" s="151" t="str">
        <f t="shared" si="26"/>
        <v/>
      </c>
      <c r="S136" s="153">
        <f t="shared" si="22"/>
        <v>-6</v>
      </c>
      <c r="T136" s="153">
        <f t="shared" si="23"/>
        <v>-60</v>
      </c>
      <c r="U136" s="151"/>
      <c r="V136" s="151">
        <f t="shared" si="24"/>
        <v>0</v>
      </c>
    </row>
    <row r="137" spans="1:22" x14ac:dyDescent="0.25">
      <c r="A137" s="61"/>
      <c r="G137" s="18"/>
      <c r="H137" s="40">
        <v>132</v>
      </c>
      <c r="I137" s="41" t="str">
        <f t="shared" si="19"/>
        <v/>
      </c>
      <c r="J137" s="40">
        <f t="shared" si="25"/>
        <v>-6</v>
      </c>
      <c r="K137" s="40">
        <f t="shared" si="20"/>
        <v>-60</v>
      </c>
      <c r="L137" s="40"/>
      <c r="M137" s="42">
        <f t="shared" si="21"/>
        <v>0</v>
      </c>
      <c r="O137" s="150">
        <v>132</v>
      </c>
      <c r="P137" s="150"/>
      <c r="Q137" s="150"/>
      <c r="R137" s="151" t="str">
        <f t="shared" si="26"/>
        <v/>
      </c>
      <c r="S137" s="153">
        <f t="shared" si="22"/>
        <v>-6</v>
      </c>
      <c r="T137" s="153">
        <f t="shared" si="23"/>
        <v>-60</v>
      </c>
      <c r="U137" s="151"/>
      <c r="V137" s="151">
        <f t="shared" si="24"/>
        <v>0</v>
      </c>
    </row>
    <row r="138" spans="1:22" x14ac:dyDescent="0.25">
      <c r="A138" s="61"/>
      <c r="G138" s="18"/>
      <c r="H138" s="40">
        <v>133</v>
      </c>
      <c r="I138" s="41" t="str">
        <f t="shared" si="19"/>
        <v/>
      </c>
      <c r="J138" s="40">
        <f t="shared" si="25"/>
        <v>-6</v>
      </c>
      <c r="K138" s="40">
        <f t="shared" si="20"/>
        <v>-60</v>
      </c>
      <c r="L138" s="40"/>
      <c r="M138" s="42">
        <f t="shared" si="21"/>
        <v>0</v>
      </c>
      <c r="O138" s="150">
        <v>133</v>
      </c>
      <c r="P138" s="150"/>
      <c r="Q138" s="150"/>
      <c r="R138" s="151" t="str">
        <f t="shared" si="26"/>
        <v/>
      </c>
      <c r="S138" s="153">
        <f t="shared" si="22"/>
        <v>-6</v>
      </c>
      <c r="T138" s="153">
        <f t="shared" si="23"/>
        <v>-60</v>
      </c>
      <c r="U138" s="151"/>
      <c r="V138" s="151">
        <f t="shared" si="24"/>
        <v>0</v>
      </c>
    </row>
    <row r="139" spans="1:22" x14ac:dyDescent="0.25">
      <c r="A139" s="61"/>
      <c r="G139" s="18"/>
      <c r="H139" s="40">
        <v>134</v>
      </c>
      <c r="I139" s="41" t="str">
        <f t="shared" si="19"/>
        <v/>
      </c>
      <c r="J139" s="40">
        <f t="shared" si="25"/>
        <v>-6</v>
      </c>
      <c r="K139" s="40">
        <f t="shared" si="20"/>
        <v>-60</v>
      </c>
      <c r="L139" s="40"/>
      <c r="M139" s="42">
        <f t="shared" si="21"/>
        <v>0</v>
      </c>
      <c r="O139" s="150">
        <v>134</v>
      </c>
      <c r="P139" s="150"/>
      <c r="Q139" s="150"/>
      <c r="R139" s="151" t="str">
        <f t="shared" si="26"/>
        <v/>
      </c>
      <c r="S139" s="153">
        <f t="shared" si="22"/>
        <v>-6</v>
      </c>
      <c r="T139" s="153">
        <f t="shared" si="23"/>
        <v>-60</v>
      </c>
      <c r="U139" s="151"/>
      <c r="V139" s="151">
        <f t="shared" si="24"/>
        <v>0</v>
      </c>
    </row>
    <row r="140" spans="1:22" x14ac:dyDescent="0.25">
      <c r="A140" s="61"/>
      <c r="G140" s="18"/>
      <c r="H140" s="40">
        <v>135</v>
      </c>
      <c r="I140" s="41" t="str">
        <f t="shared" si="19"/>
        <v/>
      </c>
      <c r="J140" s="40">
        <f t="shared" si="25"/>
        <v>-6</v>
      </c>
      <c r="K140" s="40">
        <f t="shared" si="20"/>
        <v>-60</v>
      </c>
      <c r="L140" s="40"/>
      <c r="M140" s="42">
        <f t="shared" si="21"/>
        <v>0</v>
      </c>
      <c r="O140" s="150">
        <v>135</v>
      </c>
      <c r="P140" s="150"/>
      <c r="Q140" s="150"/>
      <c r="R140" s="151" t="str">
        <f t="shared" si="26"/>
        <v/>
      </c>
      <c r="S140" s="153">
        <f t="shared" si="22"/>
        <v>-6</v>
      </c>
      <c r="T140" s="153">
        <f t="shared" si="23"/>
        <v>-60</v>
      </c>
      <c r="U140" s="151"/>
      <c r="V140" s="151">
        <f t="shared" si="24"/>
        <v>0</v>
      </c>
    </row>
    <row r="141" spans="1:22" x14ac:dyDescent="0.25">
      <c r="A141" s="61"/>
      <c r="G141" s="18"/>
      <c r="H141" s="40">
        <v>136</v>
      </c>
      <c r="I141" s="41" t="str">
        <f t="shared" si="19"/>
        <v/>
      </c>
      <c r="J141" s="40">
        <f t="shared" si="25"/>
        <v>-6</v>
      </c>
      <c r="K141" s="40">
        <f t="shared" si="20"/>
        <v>-60</v>
      </c>
      <c r="L141" s="40"/>
      <c r="M141" s="42">
        <f t="shared" si="21"/>
        <v>0</v>
      </c>
      <c r="O141" s="150">
        <v>136</v>
      </c>
      <c r="P141" s="150"/>
      <c r="Q141" s="150"/>
      <c r="R141" s="151" t="str">
        <f t="shared" si="26"/>
        <v/>
      </c>
      <c r="S141" s="153">
        <f t="shared" si="22"/>
        <v>-6</v>
      </c>
      <c r="T141" s="153">
        <f t="shared" si="23"/>
        <v>-60</v>
      </c>
      <c r="U141" s="151"/>
      <c r="V141" s="151">
        <f t="shared" si="24"/>
        <v>0</v>
      </c>
    </row>
    <row r="142" spans="1:22" x14ac:dyDescent="0.25">
      <c r="A142" s="61"/>
      <c r="G142" s="18"/>
      <c r="H142" s="40">
        <v>137</v>
      </c>
      <c r="I142" s="41" t="str">
        <f t="shared" si="19"/>
        <v/>
      </c>
      <c r="J142" s="40">
        <f t="shared" si="25"/>
        <v>-6</v>
      </c>
      <c r="K142" s="40">
        <f t="shared" si="20"/>
        <v>-60</v>
      </c>
      <c r="L142" s="40"/>
      <c r="M142" s="42">
        <f t="shared" si="21"/>
        <v>0</v>
      </c>
      <c r="O142" s="150">
        <v>137</v>
      </c>
      <c r="P142" s="150"/>
      <c r="Q142" s="150"/>
      <c r="R142" s="151" t="str">
        <f t="shared" si="26"/>
        <v/>
      </c>
      <c r="S142" s="153">
        <f t="shared" si="22"/>
        <v>-6</v>
      </c>
      <c r="T142" s="153">
        <f t="shared" si="23"/>
        <v>-60</v>
      </c>
      <c r="U142" s="151"/>
      <c r="V142" s="151">
        <f t="shared" si="24"/>
        <v>0</v>
      </c>
    </row>
    <row r="143" spans="1:22" x14ac:dyDescent="0.25">
      <c r="A143" s="61"/>
      <c r="G143" s="18"/>
      <c r="H143" s="40">
        <v>138</v>
      </c>
      <c r="I143" s="41" t="str">
        <f t="shared" si="19"/>
        <v/>
      </c>
      <c r="J143" s="40">
        <f t="shared" si="25"/>
        <v>-6</v>
      </c>
      <c r="K143" s="40">
        <f t="shared" si="20"/>
        <v>-60</v>
      </c>
      <c r="L143" s="40"/>
      <c r="M143" s="42">
        <f t="shared" si="21"/>
        <v>0</v>
      </c>
      <c r="O143" s="150">
        <v>138</v>
      </c>
      <c r="P143" s="150"/>
      <c r="Q143" s="150"/>
      <c r="R143" s="151" t="str">
        <f t="shared" si="26"/>
        <v/>
      </c>
      <c r="S143" s="153">
        <f t="shared" si="22"/>
        <v>-6</v>
      </c>
      <c r="T143" s="153">
        <f t="shared" si="23"/>
        <v>-60</v>
      </c>
      <c r="U143" s="151"/>
      <c r="V143" s="151">
        <f t="shared" si="24"/>
        <v>0</v>
      </c>
    </row>
    <row r="144" spans="1:22" x14ac:dyDescent="0.25">
      <c r="A144" s="61"/>
      <c r="G144" s="18"/>
      <c r="H144" s="40">
        <v>139</v>
      </c>
      <c r="I144" s="41" t="str">
        <f t="shared" si="19"/>
        <v/>
      </c>
      <c r="J144" s="40">
        <f t="shared" si="25"/>
        <v>-6</v>
      </c>
      <c r="K144" s="40">
        <f t="shared" si="20"/>
        <v>-60</v>
      </c>
      <c r="L144" s="40"/>
      <c r="M144" s="42">
        <f t="shared" si="21"/>
        <v>0</v>
      </c>
      <c r="O144" s="150">
        <v>139</v>
      </c>
      <c r="P144" s="150"/>
      <c r="Q144" s="150"/>
      <c r="R144" s="151" t="str">
        <f t="shared" si="26"/>
        <v/>
      </c>
      <c r="S144" s="153">
        <f t="shared" si="22"/>
        <v>-6</v>
      </c>
      <c r="T144" s="153">
        <f t="shared" si="23"/>
        <v>-60</v>
      </c>
      <c r="U144" s="151"/>
      <c r="V144" s="151">
        <f t="shared" si="24"/>
        <v>0</v>
      </c>
    </row>
    <row r="145" spans="1:22" x14ac:dyDescent="0.25">
      <c r="A145" s="61"/>
      <c r="G145" s="18"/>
      <c r="H145" s="40">
        <v>140</v>
      </c>
      <c r="I145" s="41" t="str">
        <f t="shared" si="19"/>
        <v/>
      </c>
      <c r="J145" s="40">
        <f t="shared" si="25"/>
        <v>-6</v>
      </c>
      <c r="K145" s="40">
        <f t="shared" si="20"/>
        <v>-60</v>
      </c>
      <c r="L145" s="40"/>
      <c r="M145" s="42">
        <f t="shared" si="21"/>
        <v>0</v>
      </c>
      <c r="O145" s="150">
        <v>140</v>
      </c>
      <c r="P145" s="150"/>
      <c r="Q145" s="150"/>
      <c r="R145" s="151" t="str">
        <f t="shared" si="26"/>
        <v/>
      </c>
      <c r="S145" s="153">
        <f t="shared" si="22"/>
        <v>-6</v>
      </c>
      <c r="T145" s="153">
        <f t="shared" si="23"/>
        <v>-60</v>
      </c>
      <c r="U145" s="151"/>
      <c r="V145" s="151">
        <f t="shared" si="24"/>
        <v>0</v>
      </c>
    </row>
    <row r="146" spans="1:22" x14ac:dyDescent="0.25">
      <c r="A146" s="61"/>
      <c r="G146" s="18"/>
      <c r="H146" s="40">
        <v>141</v>
      </c>
      <c r="I146" s="41" t="str">
        <f t="shared" si="19"/>
        <v/>
      </c>
      <c r="J146" s="40">
        <f t="shared" si="25"/>
        <v>-6</v>
      </c>
      <c r="K146" s="40">
        <f t="shared" si="20"/>
        <v>-60</v>
      </c>
      <c r="L146" s="40"/>
      <c r="M146" s="42">
        <f t="shared" si="21"/>
        <v>0</v>
      </c>
      <c r="O146" s="150">
        <v>141</v>
      </c>
      <c r="P146" s="150"/>
      <c r="Q146" s="150"/>
      <c r="R146" s="151" t="str">
        <f t="shared" si="26"/>
        <v/>
      </c>
      <c r="S146" s="153">
        <f t="shared" si="22"/>
        <v>-6</v>
      </c>
      <c r="T146" s="153">
        <f t="shared" si="23"/>
        <v>-60</v>
      </c>
      <c r="U146" s="151"/>
      <c r="V146" s="151">
        <f t="shared" si="24"/>
        <v>0</v>
      </c>
    </row>
    <row r="147" spans="1:22" x14ac:dyDescent="0.25">
      <c r="A147" s="61"/>
      <c r="G147" s="18"/>
      <c r="H147" s="40">
        <v>142</v>
      </c>
      <c r="I147" s="41" t="str">
        <f t="shared" si="19"/>
        <v/>
      </c>
      <c r="J147" s="40">
        <f t="shared" si="25"/>
        <v>-6</v>
      </c>
      <c r="K147" s="40">
        <f t="shared" si="20"/>
        <v>-60</v>
      </c>
      <c r="L147" s="40"/>
      <c r="M147" s="42">
        <f t="shared" si="21"/>
        <v>0</v>
      </c>
      <c r="O147" s="150">
        <v>142</v>
      </c>
      <c r="P147" s="150"/>
      <c r="Q147" s="150"/>
      <c r="R147" s="151" t="str">
        <f t="shared" si="26"/>
        <v/>
      </c>
      <c r="S147" s="153">
        <f t="shared" si="22"/>
        <v>-6</v>
      </c>
      <c r="T147" s="153">
        <f t="shared" si="23"/>
        <v>-60</v>
      </c>
      <c r="U147" s="151"/>
      <c r="V147" s="151">
        <f t="shared" si="24"/>
        <v>0</v>
      </c>
    </row>
    <row r="148" spans="1:22" x14ac:dyDescent="0.25">
      <c r="A148" s="61"/>
      <c r="G148" s="18"/>
      <c r="H148" s="40">
        <v>143</v>
      </c>
      <c r="I148" s="41" t="str">
        <f t="shared" si="19"/>
        <v/>
      </c>
      <c r="J148" s="40">
        <f t="shared" si="25"/>
        <v>-6</v>
      </c>
      <c r="K148" s="40">
        <f t="shared" si="20"/>
        <v>-60</v>
      </c>
      <c r="L148" s="40"/>
      <c r="M148" s="42">
        <f t="shared" si="21"/>
        <v>0</v>
      </c>
      <c r="O148" s="150">
        <v>143</v>
      </c>
      <c r="P148" s="150"/>
      <c r="Q148" s="150"/>
      <c r="R148" s="151" t="str">
        <f t="shared" si="26"/>
        <v/>
      </c>
      <c r="S148" s="153">
        <f t="shared" si="22"/>
        <v>-6</v>
      </c>
      <c r="T148" s="153">
        <f t="shared" si="23"/>
        <v>-60</v>
      </c>
      <c r="U148" s="151"/>
      <c r="V148" s="151">
        <f t="shared" si="24"/>
        <v>0</v>
      </c>
    </row>
    <row r="149" spans="1:22" x14ac:dyDescent="0.25">
      <c r="A149" s="61"/>
      <c r="G149" s="18"/>
      <c r="H149" s="40">
        <v>144</v>
      </c>
      <c r="I149" s="41" t="str">
        <f t="shared" si="19"/>
        <v/>
      </c>
      <c r="J149" s="40">
        <f t="shared" si="25"/>
        <v>-6</v>
      </c>
      <c r="K149" s="40">
        <f t="shared" si="20"/>
        <v>-60</v>
      </c>
      <c r="L149" s="40"/>
      <c r="M149" s="42">
        <f t="shared" si="21"/>
        <v>0</v>
      </c>
      <c r="O149" s="150">
        <v>144</v>
      </c>
      <c r="P149" s="150"/>
      <c r="Q149" s="150"/>
      <c r="R149" s="151" t="str">
        <f t="shared" si="26"/>
        <v/>
      </c>
      <c r="S149" s="153">
        <f t="shared" si="22"/>
        <v>-6</v>
      </c>
      <c r="T149" s="153">
        <f t="shared" si="23"/>
        <v>-60</v>
      </c>
      <c r="U149" s="151"/>
      <c r="V149" s="151">
        <f t="shared" si="24"/>
        <v>0</v>
      </c>
    </row>
    <row r="150" spans="1:22" x14ac:dyDescent="0.25">
      <c r="A150" s="61"/>
      <c r="G150" s="18"/>
      <c r="H150" s="40">
        <v>145</v>
      </c>
      <c r="I150" s="41" t="str">
        <f t="shared" si="19"/>
        <v/>
      </c>
      <c r="J150" s="40">
        <f t="shared" si="25"/>
        <v>-6</v>
      </c>
      <c r="K150" s="40">
        <f t="shared" si="20"/>
        <v>-60</v>
      </c>
      <c r="L150" s="40"/>
      <c r="M150" s="42">
        <f t="shared" si="21"/>
        <v>0</v>
      </c>
      <c r="O150" s="150">
        <v>145</v>
      </c>
      <c r="P150" s="150"/>
      <c r="Q150" s="150"/>
      <c r="R150" s="151" t="str">
        <f t="shared" si="26"/>
        <v/>
      </c>
      <c r="S150" s="153">
        <f t="shared" si="22"/>
        <v>-6</v>
      </c>
      <c r="T150" s="153">
        <f t="shared" si="23"/>
        <v>-60</v>
      </c>
      <c r="U150" s="151"/>
      <c r="V150" s="151">
        <f t="shared" si="24"/>
        <v>0</v>
      </c>
    </row>
    <row r="151" spans="1:22" x14ac:dyDescent="0.25">
      <c r="A151" s="61"/>
      <c r="G151" s="18"/>
      <c r="H151" s="40">
        <v>146</v>
      </c>
      <c r="I151" s="41" t="str">
        <f t="shared" si="19"/>
        <v/>
      </c>
      <c r="J151" s="40">
        <f t="shared" si="25"/>
        <v>-6</v>
      </c>
      <c r="K151" s="40">
        <f t="shared" si="20"/>
        <v>-60</v>
      </c>
      <c r="L151" s="40"/>
      <c r="M151" s="42">
        <f t="shared" si="21"/>
        <v>0</v>
      </c>
      <c r="O151" s="150">
        <v>146</v>
      </c>
      <c r="P151" s="150"/>
      <c r="Q151" s="150"/>
      <c r="R151" s="151" t="str">
        <f t="shared" si="26"/>
        <v/>
      </c>
      <c r="S151" s="153">
        <f t="shared" si="22"/>
        <v>-6</v>
      </c>
      <c r="T151" s="153">
        <f t="shared" si="23"/>
        <v>-60</v>
      </c>
      <c r="U151" s="151"/>
      <c r="V151" s="151">
        <f t="shared" si="24"/>
        <v>0</v>
      </c>
    </row>
    <row r="152" spans="1:22" x14ac:dyDescent="0.25">
      <c r="A152" s="61"/>
      <c r="G152" s="18"/>
      <c r="H152" s="40">
        <v>147</v>
      </c>
      <c r="I152" s="41" t="str">
        <f t="shared" si="19"/>
        <v/>
      </c>
      <c r="J152" s="40">
        <f t="shared" si="25"/>
        <v>-6</v>
      </c>
      <c r="K152" s="40">
        <f t="shared" si="20"/>
        <v>-60</v>
      </c>
      <c r="L152" s="40"/>
      <c r="M152" s="42">
        <f t="shared" si="21"/>
        <v>0</v>
      </c>
      <c r="O152" s="150">
        <v>147</v>
      </c>
      <c r="P152" s="150"/>
      <c r="Q152" s="150"/>
      <c r="R152" s="151" t="str">
        <f t="shared" si="26"/>
        <v/>
      </c>
      <c r="S152" s="153">
        <f t="shared" si="22"/>
        <v>-6</v>
      </c>
      <c r="T152" s="153">
        <f t="shared" si="23"/>
        <v>-60</v>
      </c>
      <c r="U152" s="151"/>
      <c r="V152" s="151">
        <f t="shared" si="24"/>
        <v>0</v>
      </c>
    </row>
    <row r="153" spans="1:22" x14ac:dyDescent="0.25">
      <c r="A153" s="61"/>
      <c r="G153" s="18"/>
      <c r="H153" s="40">
        <v>148</v>
      </c>
      <c r="I153" s="41" t="str">
        <f t="shared" si="19"/>
        <v/>
      </c>
      <c r="J153" s="40">
        <f t="shared" si="25"/>
        <v>-6</v>
      </c>
      <c r="K153" s="40">
        <f t="shared" si="20"/>
        <v>-60</v>
      </c>
      <c r="L153" s="40"/>
      <c r="M153" s="42">
        <f t="shared" si="21"/>
        <v>0</v>
      </c>
      <c r="O153" s="150">
        <v>148</v>
      </c>
      <c r="P153" s="150"/>
      <c r="Q153" s="150"/>
      <c r="R153" s="151" t="str">
        <f t="shared" si="26"/>
        <v/>
      </c>
      <c r="S153" s="153">
        <f t="shared" si="22"/>
        <v>-6</v>
      </c>
      <c r="T153" s="153">
        <f t="shared" si="23"/>
        <v>-60</v>
      </c>
      <c r="U153" s="151"/>
      <c r="V153" s="151">
        <f t="shared" si="24"/>
        <v>0</v>
      </c>
    </row>
    <row r="154" spans="1:22" x14ac:dyDescent="0.25">
      <c r="A154" s="61"/>
      <c r="G154" s="18"/>
      <c r="H154" s="40">
        <v>149</v>
      </c>
      <c r="I154" s="41" t="str">
        <f t="shared" si="19"/>
        <v/>
      </c>
      <c r="J154" s="40">
        <f t="shared" si="25"/>
        <v>-6</v>
      </c>
      <c r="K154" s="40">
        <f t="shared" si="20"/>
        <v>-60</v>
      </c>
      <c r="L154" s="40"/>
      <c r="M154" s="42">
        <f t="shared" si="21"/>
        <v>0</v>
      </c>
      <c r="O154" s="150">
        <v>149</v>
      </c>
      <c r="P154" s="150"/>
      <c r="Q154" s="150"/>
      <c r="R154" s="151" t="str">
        <f t="shared" si="26"/>
        <v/>
      </c>
      <c r="S154" s="153">
        <f t="shared" si="22"/>
        <v>-6</v>
      </c>
      <c r="T154" s="153">
        <f t="shared" si="23"/>
        <v>-60</v>
      </c>
      <c r="U154" s="151"/>
      <c r="V154" s="151">
        <f t="shared" si="24"/>
        <v>0</v>
      </c>
    </row>
    <row r="155" spans="1:22" x14ac:dyDescent="0.25">
      <c r="A155" s="61"/>
      <c r="G155" s="18"/>
      <c r="H155" s="40">
        <v>150</v>
      </c>
      <c r="I155" s="41" t="str">
        <f t="shared" si="19"/>
        <v/>
      </c>
      <c r="J155" s="40">
        <f t="shared" si="25"/>
        <v>-6</v>
      </c>
      <c r="K155" s="40">
        <f t="shared" si="20"/>
        <v>-60</v>
      </c>
      <c r="L155" s="40"/>
      <c r="M155" s="42">
        <f t="shared" si="21"/>
        <v>0</v>
      </c>
      <c r="O155" s="150">
        <v>150</v>
      </c>
      <c r="P155" s="150"/>
      <c r="Q155" s="150"/>
      <c r="R155" s="151" t="str">
        <f t="shared" si="26"/>
        <v/>
      </c>
      <c r="S155" s="153">
        <f t="shared" si="22"/>
        <v>-6</v>
      </c>
      <c r="T155" s="153">
        <f t="shared" si="23"/>
        <v>-60</v>
      </c>
      <c r="U155" s="151"/>
      <c r="V155" s="151">
        <f t="shared" si="24"/>
        <v>0</v>
      </c>
    </row>
    <row r="156" spans="1:22" x14ac:dyDescent="0.25">
      <c r="A156" s="61"/>
      <c r="G156" s="18"/>
      <c r="H156" s="40">
        <v>151</v>
      </c>
      <c r="I156" s="41" t="str">
        <f t="shared" si="19"/>
        <v/>
      </c>
      <c r="J156" s="40">
        <f t="shared" si="25"/>
        <v>-6</v>
      </c>
      <c r="K156" s="40">
        <f t="shared" si="20"/>
        <v>-60</v>
      </c>
      <c r="L156" s="40"/>
      <c r="M156" s="42">
        <f t="shared" si="21"/>
        <v>0</v>
      </c>
      <c r="O156" s="150">
        <v>151</v>
      </c>
      <c r="P156" s="150"/>
      <c r="Q156" s="150"/>
      <c r="R156" s="151" t="str">
        <f t="shared" si="26"/>
        <v/>
      </c>
      <c r="S156" s="153">
        <f t="shared" si="22"/>
        <v>-6</v>
      </c>
      <c r="T156" s="153">
        <f t="shared" si="23"/>
        <v>-60</v>
      </c>
      <c r="U156" s="151"/>
      <c r="V156" s="151">
        <f t="shared" si="24"/>
        <v>0</v>
      </c>
    </row>
    <row r="157" spans="1:22" x14ac:dyDescent="0.25">
      <c r="A157" s="61"/>
      <c r="G157" s="18"/>
      <c r="H157" s="40">
        <v>152</v>
      </c>
      <c r="I157" s="41" t="str">
        <f t="shared" si="19"/>
        <v/>
      </c>
      <c r="J157" s="40">
        <f t="shared" si="25"/>
        <v>-6</v>
      </c>
      <c r="K157" s="40">
        <f t="shared" si="20"/>
        <v>-60</v>
      </c>
      <c r="L157" s="40"/>
      <c r="M157" s="42">
        <f t="shared" si="21"/>
        <v>0</v>
      </c>
      <c r="O157" s="150">
        <v>152</v>
      </c>
      <c r="P157" s="150"/>
      <c r="Q157" s="150"/>
      <c r="R157" s="151" t="str">
        <f t="shared" si="26"/>
        <v/>
      </c>
      <c r="S157" s="153">
        <f t="shared" si="22"/>
        <v>-6</v>
      </c>
      <c r="T157" s="153">
        <f t="shared" si="23"/>
        <v>-60</v>
      </c>
      <c r="U157" s="151"/>
      <c r="V157" s="151">
        <f t="shared" si="24"/>
        <v>0</v>
      </c>
    </row>
    <row r="158" spans="1:22" x14ac:dyDescent="0.25">
      <c r="A158" s="61"/>
      <c r="G158" s="18"/>
      <c r="H158" s="40">
        <v>153</v>
      </c>
      <c r="I158" s="41" t="str">
        <f t="shared" si="19"/>
        <v/>
      </c>
      <c r="J158" s="40">
        <f t="shared" si="25"/>
        <v>-6</v>
      </c>
      <c r="K158" s="40">
        <f t="shared" si="20"/>
        <v>-60</v>
      </c>
      <c r="L158" s="40"/>
      <c r="M158" s="42">
        <f t="shared" si="21"/>
        <v>0</v>
      </c>
      <c r="O158" s="150">
        <v>153</v>
      </c>
      <c r="P158" s="150"/>
      <c r="Q158" s="150"/>
      <c r="R158" s="151" t="str">
        <f t="shared" si="26"/>
        <v/>
      </c>
      <c r="S158" s="153">
        <f t="shared" si="22"/>
        <v>-6</v>
      </c>
      <c r="T158" s="153">
        <f t="shared" si="23"/>
        <v>-60</v>
      </c>
      <c r="U158" s="151"/>
      <c r="V158" s="151">
        <f t="shared" si="24"/>
        <v>0</v>
      </c>
    </row>
    <row r="159" spans="1:22" x14ac:dyDescent="0.25">
      <c r="A159" s="61"/>
      <c r="G159" s="18"/>
      <c r="H159" s="40">
        <v>154</v>
      </c>
      <c r="I159" s="41" t="str">
        <f t="shared" si="19"/>
        <v/>
      </c>
      <c r="J159" s="40">
        <f t="shared" si="25"/>
        <v>-6</v>
      </c>
      <c r="K159" s="40">
        <f t="shared" si="20"/>
        <v>-60</v>
      </c>
      <c r="L159" s="40"/>
      <c r="M159" s="42">
        <f t="shared" si="21"/>
        <v>0</v>
      </c>
      <c r="O159" s="150">
        <v>154</v>
      </c>
      <c r="P159" s="150"/>
      <c r="Q159" s="150"/>
      <c r="R159" s="151" t="str">
        <f t="shared" si="26"/>
        <v/>
      </c>
      <c r="S159" s="153">
        <f t="shared" si="22"/>
        <v>-6</v>
      </c>
      <c r="T159" s="153">
        <f t="shared" si="23"/>
        <v>-60</v>
      </c>
      <c r="U159" s="151"/>
      <c r="V159" s="151">
        <f t="shared" si="24"/>
        <v>0</v>
      </c>
    </row>
    <row r="160" spans="1:22" x14ac:dyDescent="0.25">
      <c r="A160" s="61"/>
      <c r="G160" s="18"/>
      <c r="H160" s="40">
        <v>155</v>
      </c>
      <c r="I160" s="41" t="str">
        <f t="shared" si="19"/>
        <v/>
      </c>
      <c r="J160" s="40">
        <f t="shared" si="25"/>
        <v>-6</v>
      </c>
      <c r="K160" s="40">
        <f t="shared" si="20"/>
        <v>-60</v>
      </c>
      <c r="L160" s="40"/>
      <c r="M160" s="42">
        <f t="shared" si="21"/>
        <v>0</v>
      </c>
      <c r="O160" s="150">
        <v>155</v>
      </c>
      <c r="P160" s="150"/>
      <c r="Q160" s="150"/>
      <c r="R160" s="151" t="str">
        <f t="shared" si="26"/>
        <v/>
      </c>
      <c r="S160" s="153">
        <f t="shared" si="22"/>
        <v>-6</v>
      </c>
      <c r="T160" s="153">
        <f t="shared" si="23"/>
        <v>-60</v>
      </c>
      <c r="U160" s="151"/>
      <c r="V160" s="151">
        <f t="shared" si="24"/>
        <v>0</v>
      </c>
    </row>
    <row r="161" spans="1:22" x14ac:dyDescent="0.25">
      <c r="A161" s="61"/>
      <c r="G161" s="18"/>
      <c r="H161" s="40">
        <v>156</v>
      </c>
      <c r="I161" s="41" t="str">
        <f t="shared" si="19"/>
        <v/>
      </c>
      <c r="J161" s="40">
        <f t="shared" si="25"/>
        <v>-6</v>
      </c>
      <c r="K161" s="40">
        <f t="shared" si="20"/>
        <v>-60</v>
      </c>
      <c r="L161" s="40"/>
      <c r="M161" s="42">
        <f t="shared" si="21"/>
        <v>0</v>
      </c>
      <c r="O161" s="150">
        <v>156</v>
      </c>
      <c r="P161" s="150"/>
      <c r="Q161" s="150"/>
      <c r="R161" s="151" t="str">
        <f t="shared" si="26"/>
        <v/>
      </c>
      <c r="S161" s="153">
        <f t="shared" si="22"/>
        <v>-6</v>
      </c>
      <c r="T161" s="153">
        <f t="shared" si="23"/>
        <v>-60</v>
      </c>
      <c r="U161" s="151"/>
      <c r="V161" s="151">
        <f t="shared" si="24"/>
        <v>0</v>
      </c>
    </row>
    <row r="162" spans="1:22" x14ac:dyDescent="0.25">
      <c r="A162" s="61"/>
      <c r="G162" s="18"/>
      <c r="H162" s="40">
        <v>157</v>
      </c>
      <c r="I162" s="41" t="str">
        <f t="shared" si="19"/>
        <v/>
      </c>
      <c r="J162" s="40">
        <f t="shared" si="25"/>
        <v>-6</v>
      </c>
      <c r="K162" s="40">
        <f t="shared" si="20"/>
        <v>-60</v>
      </c>
      <c r="L162" s="40"/>
      <c r="M162" s="42">
        <f t="shared" si="21"/>
        <v>0</v>
      </c>
      <c r="O162" s="150">
        <v>157</v>
      </c>
      <c r="P162" s="150"/>
      <c r="Q162" s="150"/>
      <c r="R162" s="151" t="str">
        <f t="shared" si="26"/>
        <v/>
      </c>
      <c r="S162" s="153">
        <f t="shared" si="22"/>
        <v>-6</v>
      </c>
      <c r="T162" s="153">
        <f t="shared" si="23"/>
        <v>-60</v>
      </c>
      <c r="U162" s="151"/>
      <c r="V162" s="151">
        <f t="shared" si="24"/>
        <v>0</v>
      </c>
    </row>
    <row r="163" spans="1:22" x14ac:dyDescent="0.25">
      <c r="A163" s="61"/>
      <c r="G163" s="18"/>
      <c r="H163" s="40">
        <v>158</v>
      </c>
      <c r="I163" s="41" t="str">
        <f t="shared" si="19"/>
        <v/>
      </c>
      <c r="J163" s="40">
        <f t="shared" si="25"/>
        <v>-6</v>
      </c>
      <c r="K163" s="40">
        <f t="shared" si="20"/>
        <v>-60</v>
      </c>
      <c r="L163" s="40"/>
      <c r="M163" s="42">
        <f t="shared" si="21"/>
        <v>0</v>
      </c>
      <c r="O163" s="150">
        <v>158</v>
      </c>
      <c r="P163" s="150"/>
      <c r="Q163" s="150"/>
      <c r="R163" s="151" t="str">
        <f t="shared" si="26"/>
        <v/>
      </c>
      <c r="S163" s="153">
        <f t="shared" si="22"/>
        <v>-6</v>
      </c>
      <c r="T163" s="153">
        <f t="shared" si="23"/>
        <v>-60</v>
      </c>
      <c r="U163" s="151"/>
      <c r="V163" s="151">
        <f t="shared" si="24"/>
        <v>0</v>
      </c>
    </row>
    <row r="164" spans="1:22" x14ac:dyDescent="0.25">
      <c r="A164" s="61"/>
      <c r="G164" s="18"/>
      <c r="H164" s="40">
        <v>159</v>
      </c>
      <c r="I164" s="41" t="str">
        <f t="shared" si="19"/>
        <v/>
      </c>
      <c r="J164" s="40">
        <f t="shared" si="25"/>
        <v>-6</v>
      </c>
      <c r="K164" s="40">
        <f t="shared" si="20"/>
        <v>-60</v>
      </c>
      <c r="L164" s="40"/>
      <c r="M164" s="42">
        <f t="shared" si="21"/>
        <v>0</v>
      </c>
      <c r="O164" s="150">
        <v>159</v>
      </c>
      <c r="P164" s="150"/>
      <c r="Q164" s="150"/>
      <c r="R164" s="151" t="str">
        <f t="shared" si="26"/>
        <v/>
      </c>
      <c r="S164" s="153">
        <f t="shared" si="22"/>
        <v>-6</v>
      </c>
      <c r="T164" s="153">
        <f t="shared" si="23"/>
        <v>-60</v>
      </c>
      <c r="U164" s="151"/>
      <c r="V164" s="151">
        <f t="shared" si="24"/>
        <v>0</v>
      </c>
    </row>
    <row r="165" spans="1:22" x14ac:dyDescent="0.25">
      <c r="A165" s="61"/>
      <c r="G165" s="18"/>
      <c r="H165" s="40">
        <v>160</v>
      </c>
      <c r="I165" s="41" t="str">
        <f t="shared" si="19"/>
        <v/>
      </c>
      <c r="J165" s="40">
        <f t="shared" si="25"/>
        <v>-6</v>
      </c>
      <c r="K165" s="40">
        <f t="shared" si="20"/>
        <v>-60</v>
      </c>
      <c r="L165" s="40"/>
      <c r="M165" s="42">
        <f t="shared" si="21"/>
        <v>0</v>
      </c>
      <c r="O165" s="150">
        <v>160</v>
      </c>
      <c r="P165" s="150"/>
      <c r="Q165" s="150"/>
      <c r="R165" s="151" t="str">
        <f t="shared" si="26"/>
        <v/>
      </c>
      <c r="S165" s="153">
        <f t="shared" si="22"/>
        <v>-6</v>
      </c>
      <c r="T165" s="153">
        <f t="shared" si="23"/>
        <v>-60</v>
      </c>
      <c r="U165" s="151"/>
      <c r="V165" s="151">
        <f t="shared" si="24"/>
        <v>0</v>
      </c>
    </row>
    <row r="166" spans="1:22" x14ac:dyDescent="0.25">
      <c r="A166" s="61"/>
      <c r="G166" s="18"/>
      <c r="H166" s="40">
        <v>161</v>
      </c>
      <c r="I166" s="41" t="str">
        <f t="shared" si="19"/>
        <v/>
      </c>
      <c r="J166" s="40">
        <f t="shared" si="25"/>
        <v>-6</v>
      </c>
      <c r="K166" s="40">
        <f t="shared" si="20"/>
        <v>-60</v>
      </c>
      <c r="L166" s="40"/>
      <c r="M166" s="42">
        <f t="shared" si="21"/>
        <v>0</v>
      </c>
      <c r="O166" s="150">
        <v>161</v>
      </c>
      <c r="P166" s="150"/>
      <c r="Q166" s="150"/>
      <c r="R166" s="151" t="str">
        <f t="shared" si="26"/>
        <v/>
      </c>
      <c r="S166" s="153">
        <f t="shared" si="22"/>
        <v>-6</v>
      </c>
      <c r="T166" s="153">
        <f t="shared" si="23"/>
        <v>-60</v>
      </c>
      <c r="U166" s="151"/>
      <c r="V166" s="151">
        <f t="shared" si="24"/>
        <v>0</v>
      </c>
    </row>
    <row r="167" spans="1:22" x14ac:dyDescent="0.25">
      <c r="A167" s="61"/>
      <c r="G167" s="18"/>
      <c r="H167" s="40">
        <v>162</v>
      </c>
      <c r="I167" s="41" t="str">
        <f t="shared" si="19"/>
        <v/>
      </c>
      <c r="J167" s="40">
        <f t="shared" si="25"/>
        <v>-6</v>
      </c>
      <c r="K167" s="40">
        <f t="shared" si="20"/>
        <v>-60</v>
      </c>
      <c r="L167" s="40"/>
      <c r="M167" s="42">
        <f t="shared" si="21"/>
        <v>0</v>
      </c>
      <c r="O167" s="150">
        <v>162</v>
      </c>
      <c r="P167" s="150"/>
      <c r="Q167" s="150"/>
      <c r="R167" s="151" t="str">
        <f t="shared" si="26"/>
        <v/>
      </c>
      <c r="S167" s="153">
        <f t="shared" si="22"/>
        <v>-6</v>
      </c>
      <c r="T167" s="153">
        <f t="shared" si="23"/>
        <v>-60</v>
      </c>
      <c r="U167" s="151"/>
      <c r="V167" s="151">
        <f t="shared" si="24"/>
        <v>0</v>
      </c>
    </row>
    <row r="168" spans="1:22" x14ac:dyDescent="0.25">
      <c r="A168" s="61"/>
      <c r="G168" s="18"/>
      <c r="H168" s="40">
        <v>163</v>
      </c>
      <c r="I168" s="41" t="str">
        <f t="shared" si="19"/>
        <v/>
      </c>
      <c r="J168" s="40">
        <f t="shared" si="25"/>
        <v>-6</v>
      </c>
      <c r="K168" s="40">
        <f t="shared" si="20"/>
        <v>-60</v>
      </c>
      <c r="L168" s="40"/>
      <c r="M168" s="42">
        <f t="shared" si="21"/>
        <v>0</v>
      </c>
      <c r="O168" s="150">
        <v>163</v>
      </c>
      <c r="P168" s="150"/>
      <c r="Q168" s="150"/>
      <c r="R168" s="151" t="str">
        <f t="shared" si="26"/>
        <v/>
      </c>
      <c r="S168" s="153">
        <f t="shared" si="22"/>
        <v>-6</v>
      </c>
      <c r="T168" s="153">
        <f t="shared" si="23"/>
        <v>-60</v>
      </c>
      <c r="U168" s="151"/>
      <c r="V168" s="151">
        <f t="shared" si="24"/>
        <v>0</v>
      </c>
    </row>
    <row r="169" spans="1:22" x14ac:dyDescent="0.25">
      <c r="A169" s="61"/>
      <c r="G169" s="18"/>
      <c r="H169" s="40">
        <v>164</v>
      </c>
      <c r="I169" s="41" t="str">
        <f t="shared" si="19"/>
        <v/>
      </c>
      <c r="J169" s="40">
        <f t="shared" si="25"/>
        <v>-6</v>
      </c>
      <c r="K169" s="40">
        <f t="shared" si="20"/>
        <v>-60</v>
      </c>
      <c r="L169" s="40"/>
      <c r="M169" s="42">
        <f t="shared" si="21"/>
        <v>0</v>
      </c>
      <c r="O169" s="150">
        <v>164</v>
      </c>
      <c r="P169" s="150"/>
      <c r="Q169" s="150"/>
      <c r="R169" s="151" t="str">
        <f t="shared" si="26"/>
        <v/>
      </c>
      <c r="S169" s="153">
        <f t="shared" si="22"/>
        <v>-6</v>
      </c>
      <c r="T169" s="153">
        <f t="shared" si="23"/>
        <v>-60</v>
      </c>
      <c r="U169" s="151"/>
      <c r="V169" s="151">
        <f t="shared" si="24"/>
        <v>0</v>
      </c>
    </row>
    <row r="170" spans="1:22" x14ac:dyDescent="0.25">
      <c r="A170" s="61"/>
      <c r="G170" s="18"/>
      <c r="H170" s="40">
        <v>165</v>
      </c>
      <c r="I170" s="41" t="str">
        <f t="shared" si="19"/>
        <v/>
      </c>
      <c r="J170" s="40">
        <f t="shared" si="25"/>
        <v>-6</v>
      </c>
      <c r="K170" s="40">
        <f t="shared" si="20"/>
        <v>-60</v>
      </c>
      <c r="L170" s="40"/>
      <c r="M170" s="42">
        <f t="shared" si="21"/>
        <v>0</v>
      </c>
      <c r="O170" s="150">
        <v>165</v>
      </c>
      <c r="P170" s="150"/>
      <c r="Q170" s="150"/>
      <c r="R170" s="151" t="str">
        <f t="shared" si="26"/>
        <v/>
      </c>
      <c r="S170" s="153">
        <f t="shared" si="22"/>
        <v>-6</v>
      </c>
      <c r="T170" s="153">
        <f t="shared" si="23"/>
        <v>-60</v>
      </c>
      <c r="U170" s="151"/>
      <c r="V170" s="151">
        <f t="shared" si="24"/>
        <v>0</v>
      </c>
    </row>
    <row r="171" spans="1:22" x14ac:dyDescent="0.25">
      <c r="A171" s="61"/>
      <c r="G171" s="18"/>
      <c r="H171" s="40">
        <v>166</v>
      </c>
      <c r="I171" s="41" t="str">
        <f t="shared" si="19"/>
        <v/>
      </c>
      <c r="J171" s="40">
        <f t="shared" si="25"/>
        <v>-6</v>
      </c>
      <c r="K171" s="40">
        <f t="shared" si="20"/>
        <v>-60</v>
      </c>
      <c r="L171" s="40"/>
      <c r="M171" s="42">
        <f t="shared" si="21"/>
        <v>0</v>
      </c>
      <c r="O171" s="150">
        <v>166</v>
      </c>
      <c r="P171" s="150"/>
      <c r="Q171" s="150"/>
      <c r="R171" s="151" t="str">
        <f t="shared" si="26"/>
        <v/>
      </c>
      <c r="S171" s="153">
        <f t="shared" si="22"/>
        <v>-6</v>
      </c>
      <c r="T171" s="153">
        <f t="shared" si="23"/>
        <v>-60</v>
      </c>
      <c r="U171" s="151"/>
      <c r="V171" s="151">
        <f t="shared" si="24"/>
        <v>0</v>
      </c>
    </row>
    <row r="172" spans="1:22" x14ac:dyDescent="0.25">
      <c r="A172" s="61"/>
      <c r="G172" s="18"/>
      <c r="H172" s="40">
        <v>167</v>
      </c>
      <c r="I172" s="41" t="str">
        <f t="shared" si="19"/>
        <v/>
      </c>
      <c r="J172" s="40">
        <f t="shared" si="25"/>
        <v>-6</v>
      </c>
      <c r="K172" s="40">
        <f t="shared" si="20"/>
        <v>-60</v>
      </c>
      <c r="L172" s="40"/>
      <c r="M172" s="42">
        <f t="shared" si="21"/>
        <v>0</v>
      </c>
      <c r="O172" s="150">
        <v>167</v>
      </c>
      <c r="P172" s="150"/>
      <c r="Q172" s="150"/>
      <c r="R172" s="151" t="str">
        <f t="shared" si="26"/>
        <v/>
      </c>
      <c r="S172" s="153">
        <f t="shared" si="22"/>
        <v>-6</v>
      </c>
      <c r="T172" s="153">
        <f t="shared" si="23"/>
        <v>-60</v>
      </c>
      <c r="U172" s="151"/>
      <c r="V172" s="151">
        <f t="shared" si="24"/>
        <v>0</v>
      </c>
    </row>
    <row r="173" spans="1:22" x14ac:dyDescent="0.25">
      <c r="A173" s="61"/>
      <c r="G173" s="18"/>
      <c r="H173" s="40">
        <v>168</v>
      </c>
      <c r="I173" s="41" t="str">
        <f t="shared" si="19"/>
        <v/>
      </c>
      <c r="J173" s="40">
        <f t="shared" si="25"/>
        <v>-6</v>
      </c>
      <c r="K173" s="40">
        <f t="shared" si="20"/>
        <v>-60</v>
      </c>
      <c r="L173" s="40"/>
      <c r="M173" s="42">
        <f t="shared" si="21"/>
        <v>0</v>
      </c>
      <c r="O173" s="150">
        <v>168</v>
      </c>
      <c r="P173" s="150"/>
      <c r="Q173" s="150"/>
      <c r="R173" s="151" t="str">
        <f t="shared" si="26"/>
        <v/>
      </c>
      <c r="S173" s="153">
        <f t="shared" si="22"/>
        <v>-6</v>
      </c>
      <c r="T173" s="153">
        <f t="shared" si="23"/>
        <v>-60</v>
      </c>
      <c r="U173" s="151"/>
      <c r="V173" s="151">
        <f t="shared" si="24"/>
        <v>0</v>
      </c>
    </row>
    <row r="174" spans="1:22" x14ac:dyDescent="0.25">
      <c r="A174" s="61"/>
      <c r="G174" s="18"/>
      <c r="H174" s="40">
        <v>169</v>
      </c>
      <c r="I174" s="41" t="str">
        <f t="shared" si="19"/>
        <v/>
      </c>
      <c r="J174" s="40">
        <f t="shared" si="25"/>
        <v>-6</v>
      </c>
      <c r="K174" s="40">
        <f t="shared" si="20"/>
        <v>-60</v>
      </c>
      <c r="L174" s="40"/>
      <c r="M174" s="42">
        <f t="shared" si="21"/>
        <v>0</v>
      </c>
      <c r="O174" s="150">
        <v>169</v>
      </c>
      <c r="P174" s="150"/>
      <c r="Q174" s="150"/>
      <c r="R174" s="151" t="str">
        <f t="shared" si="26"/>
        <v/>
      </c>
      <c r="S174" s="153">
        <f t="shared" si="22"/>
        <v>-6</v>
      </c>
      <c r="T174" s="153">
        <f t="shared" si="23"/>
        <v>-60</v>
      </c>
      <c r="U174" s="151"/>
      <c r="V174" s="151">
        <f t="shared" si="24"/>
        <v>0</v>
      </c>
    </row>
    <row r="175" spans="1:22" x14ac:dyDescent="0.25">
      <c r="A175" s="61"/>
      <c r="G175" s="18"/>
      <c r="H175" s="40">
        <v>170</v>
      </c>
      <c r="I175" s="41" t="str">
        <f t="shared" si="19"/>
        <v/>
      </c>
      <c r="J175" s="40">
        <f t="shared" si="25"/>
        <v>-6</v>
      </c>
      <c r="K175" s="40">
        <f t="shared" si="20"/>
        <v>-60</v>
      </c>
      <c r="L175" s="40"/>
      <c r="M175" s="42">
        <f t="shared" si="21"/>
        <v>0</v>
      </c>
      <c r="O175" s="150">
        <v>170</v>
      </c>
      <c r="P175" s="150"/>
      <c r="Q175" s="150"/>
      <c r="R175" s="151" t="str">
        <f t="shared" si="26"/>
        <v/>
      </c>
      <c r="S175" s="153">
        <f t="shared" si="22"/>
        <v>-6</v>
      </c>
      <c r="T175" s="153">
        <f t="shared" si="23"/>
        <v>-60</v>
      </c>
      <c r="U175" s="151"/>
      <c r="V175" s="151">
        <f t="shared" si="24"/>
        <v>0</v>
      </c>
    </row>
    <row r="176" spans="1:22" x14ac:dyDescent="0.25">
      <c r="A176" s="61"/>
      <c r="G176" s="18"/>
      <c r="H176" s="40">
        <v>171</v>
      </c>
      <c r="I176" s="41" t="str">
        <f t="shared" si="19"/>
        <v/>
      </c>
      <c r="J176" s="40">
        <f t="shared" si="25"/>
        <v>-6</v>
      </c>
      <c r="K176" s="40">
        <f t="shared" si="20"/>
        <v>-60</v>
      </c>
      <c r="L176" s="40"/>
      <c r="M176" s="42">
        <f t="shared" si="21"/>
        <v>0</v>
      </c>
      <c r="O176" s="150">
        <v>171</v>
      </c>
      <c r="P176" s="150"/>
      <c r="Q176" s="150"/>
      <c r="R176" s="151" t="str">
        <f t="shared" si="26"/>
        <v/>
      </c>
      <c r="S176" s="153">
        <f t="shared" si="22"/>
        <v>-6</v>
      </c>
      <c r="T176" s="153">
        <f t="shared" si="23"/>
        <v>-60</v>
      </c>
      <c r="U176" s="151"/>
      <c r="V176" s="151">
        <f t="shared" si="24"/>
        <v>0</v>
      </c>
    </row>
    <row r="177" spans="1:22" x14ac:dyDescent="0.25">
      <c r="A177" s="61"/>
      <c r="G177" s="18"/>
      <c r="H177" s="40">
        <v>172</v>
      </c>
      <c r="I177" s="41" t="str">
        <f t="shared" si="19"/>
        <v/>
      </c>
      <c r="J177" s="40">
        <f t="shared" si="25"/>
        <v>-6</v>
      </c>
      <c r="K177" s="40">
        <f t="shared" si="20"/>
        <v>-60</v>
      </c>
      <c r="L177" s="40"/>
      <c r="M177" s="42">
        <f t="shared" si="21"/>
        <v>0</v>
      </c>
      <c r="O177" s="150">
        <v>172</v>
      </c>
      <c r="P177" s="150"/>
      <c r="Q177" s="150"/>
      <c r="R177" s="151" t="str">
        <f t="shared" si="26"/>
        <v/>
      </c>
      <c r="S177" s="153">
        <f t="shared" si="22"/>
        <v>-6</v>
      </c>
      <c r="T177" s="153">
        <f t="shared" si="23"/>
        <v>-60</v>
      </c>
      <c r="U177" s="151"/>
      <c r="V177" s="151">
        <f t="shared" si="24"/>
        <v>0</v>
      </c>
    </row>
    <row r="178" spans="1:22" x14ac:dyDescent="0.25">
      <c r="A178" s="61"/>
      <c r="G178" s="18"/>
      <c r="H178" s="40">
        <v>173</v>
      </c>
      <c r="I178" s="41" t="str">
        <f t="shared" si="19"/>
        <v/>
      </c>
      <c r="J178" s="40">
        <f t="shared" si="25"/>
        <v>-6</v>
      </c>
      <c r="K178" s="40">
        <f t="shared" si="20"/>
        <v>-60</v>
      </c>
      <c r="L178" s="40"/>
      <c r="M178" s="42">
        <f t="shared" si="21"/>
        <v>0</v>
      </c>
      <c r="O178" s="150">
        <v>173</v>
      </c>
      <c r="P178" s="150"/>
      <c r="Q178" s="150"/>
      <c r="R178" s="151" t="str">
        <f t="shared" si="26"/>
        <v/>
      </c>
      <c r="S178" s="153">
        <f t="shared" si="22"/>
        <v>-6</v>
      </c>
      <c r="T178" s="153">
        <f t="shared" si="23"/>
        <v>-60</v>
      </c>
      <c r="U178" s="151"/>
      <c r="V178" s="151">
        <f t="shared" si="24"/>
        <v>0</v>
      </c>
    </row>
    <row r="179" spans="1:22" x14ac:dyDescent="0.25">
      <c r="A179" s="61"/>
      <c r="G179" s="18"/>
      <c r="H179" s="40">
        <v>174</v>
      </c>
      <c r="I179" s="41" t="str">
        <f t="shared" si="19"/>
        <v/>
      </c>
      <c r="J179" s="40">
        <f t="shared" si="25"/>
        <v>-6</v>
      </c>
      <c r="K179" s="40">
        <f t="shared" si="20"/>
        <v>-60</v>
      </c>
      <c r="L179" s="40"/>
      <c r="M179" s="42">
        <f t="shared" si="21"/>
        <v>0</v>
      </c>
      <c r="O179" s="150">
        <v>174</v>
      </c>
      <c r="P179" s="150"/>
      <c r="Q179" s="150"/>
      <c r="R179" s="151" t="str">
        <f t="shared" si="26"/>
        <v/>
      </c>
      <c r="S179" s="153">
        <f t="shared" si="22"/>
        <v>-6</v>
      </c>
      <c r="T179" s="153">
        <f t="shared" si="23"/>
        <v>-60</v>
      </c>
      <c r="U179" s="151"/>
      <c r="V179" s="151">
        <f t="shared" si="24"/>
        <v>0</v>
      </c>
    </row>
    <row r="180" spans="1:22" x14ac:dyDescent="0.25">
      <c r="A180" s="61"/>
      <c r="G180" s="18"/>
      <c r="H180" s="40">
        <v>175</v>
      </c>
      <c r="I180" s="41" t="str">
        <f t="shared" si="19"/>
        <v/>
      </c>
      <c r="J180" s="40">
        <f t="shared" si="25"/>
        <v>-6</v>
      </c>
      <c r="K180" s="40">
        <f t="shared" si="20"/>
        <v>-60</v>
      </c>
      <c r="L180" s="40"/>
      <c r="M180" s="42">
        <f t="shared" si="21"/>
        <v>0</v>
      </c>
      <c r="O180" s="150">
        <v>175</v>
      </c>
      <c r="P180" s="150"/>
      <c r="Q180" s="150"/>
      <c r="R180" s="151" t="str">
        <f t="shared" si="26"/>
        <v/>
      </c>
      <c r="S180" s="153">
        <f t="shared" si="22"/>
        <v>-6</v>
      </c>
      <c r="T180" s="153">
        <f t="shared" si="23"/>
        <v>-60</v>
      </c>
      <c r="U180" s="151"/>
      <c r="V180" s="151">
        <f t="shared" si="24"/>
        <v>0</v>
      </c>
    </row>
    <row r="181" spans="1:22" x14ac:dyDescent="0.25">
      <c r="A181" s="61"/>
      <c r="G181" s="18"/>
      <c r="H181" s="40">
        <v>176</v>
      </c>
      <c r="I181" s="41" t="str">
        <f t="shared" si="19"/>
        <v/>
      </c>
      <c r="J181" s="40">
        <f t="shared" si="25"/>
        <v>-6</v>
      </c>
      <c r="K181" s="40">
        <f t="shared" si="20"/>
        <v>-60</v>
      </c>
      <c r="L181" s="40"/>
      <c r="M181" s="42">
        <f t="shared" si="21"/>
        <v>0</v>
      </c>
      <c r="O181" s="150">
        <v>176</v>
      </c>
      <c r="P181" s="150"/>
      <c r="Q181" s="150"/>
      <c r="R181" s="151" t="str">
        <f t="shared" si="26"/>
        <v/>
      </c>
      <c r="S181" s="153">
        <f t="shared" si="22"/>
        <v>-6</v>
      </c>
      <c r="T181" s="153">
        <f t="shared" si="23"/>
        <v>-60</v>
      </c>
      <c r="U181" s="151"/>
      <c r="V181" s="151">
        <f t="shared" si="24"/>
        <v>0</v>
      </c>
    </row>
    <row r="182" spans="1:22" x14ac:dyDescent="0.25">
      <c r="A182" s="61"/>
      <c r="G182" s="18"/>
      <c r="H182" s="40">
        <v>177</v>
      </c>
      <c r="I182" s="41" t="str">
        <f t="shared" si="19"/>
        <v/>
      </c>
      <c r="J182" s="40">
        <f t="shared" si="25"/>
        <v>-6</v>
      </c>
      <c r="K182" s="40">
        <f t="shared" si="20"/>
        <v>-60</v>
      </c>
      <c r="L182" s="40"/>
      <c r="M182" s="42">
        <f t="shared" si="21"/>
        <v>0</v>
      </c>
      <c r="O182" s="150">
        <v>177</v>
      </c>
      <c r="P182" s="150"/>
      <c r="Q182" s="150"/>
      <c r="R182" s="151" t="str">
        <f t="shared" si="26"/>
        <v/>
      </c>
      <c r="S182" s="153">
        <f t="shared" si="22"/>
        <v>-6</v>
      </c>
      <c r="T182" s="153">
        <f t="shared" si="23"/>
        <v>-60</v>
      </c>
      <c r="U182" s="151"/>
      <c r="V182" s="151">
        <f t="shared" si="24"/>
        <v>0</v>
      </c>
    </row>
    <row r="183" spans="1:22" x14ac:dyDescent="0.25">
      <c r="A183" s="61"/>
      <c r="G183" s="18"/>
      <c r="H183" s="40">
        <v>178</v>
      </c>
      <c r="I183" s="41" t="str">
        <f t="shared" si="19"/>
        <v/>
      </c>
      <c r="J183" s="40">
        <f t="shared" si="25"/>
        <v>-6</v>
      </c>
      <c r="K183" s="40">
        <f t="shared" si="20"/>
        <v>-60</v>
      </c>
      <c r="L183" s="40"/>
      <c r="M183" s="42">
        <f t="shared" si="21"/>
        <v>0</v>
      </c>
      <c r="O183" s="150">
        <v>178</v>
      </c>
      <c r="P183" s="150"/>
      <c r="Q183" s="150"/>
      <c r="R183" s="151" t="str">
        <f t="shared" si="26"/>
        <v/>
      </c>
      <c r="S183" s="153">
        <f t="shared" si="22"/>
        <v>-6</v>
      </c>
      <c r="T183" s="153">
        <f t="shared" si="23"/>
        <v>-60</v>
      </c>
      <c r="U183" s="151"/>
      <c r="V183" s="151">
        <f t="shared" si="24"/>
        <v>0</v>
      </c>
    </row>
    <row r="184" spans="1:22" x14ac:dyDescent="0.25">
      <c r="A184" s="61"/>
      <c r="G184" s="18"/>
      <c r="H184" s="40">
        <v>179</v>
      </c>
      <c r="I184" s="41" t="str">
        <f t="shared" si="19"/>
        <v/>
      </c>
      <c r="J184" s="40">
        <f t="shared" si="25"/>
        <v>-6</v>
      </c>
      <c r="K184" s="40">
        <f t="shared" si="20"/>
        <v>-60</v>
      </c>
      <c r="L184" s="40"/>
      <c r="M184" s="42">
        <f t="shared" si="21"/>
        <v>0</v>
      </c>
      <c r="O184" s="150">
        <v>179</v>
      </c>
      <c r="P184" s="150"/>
      <c r="Q184" s="150"/>
      <c r="R184" s="151" t="str">
        <f t="shared" si="26"/>
        <v/>
      </c>
      <c r="S184" s="153">
        <f t="shared" si="22"/>
        <v>-6</v>
      </c>
      <c r="T184" s="153">
        <f t="shared" si="23"/>
        <v>-60</v>
      </c>
      <c r="U184" s="151"/>
      <c r="V184" s="151">
        <f t="shared" si="24"/>
        <v>0</v>
      </c>
    </row>
    <row r="185" spans="1:22" x14ac:dyDescent="0.25">
      <c r="A185" s="61"/>
      <c r="G185" s="18"/>
      <c r="H185" s="40">
        <v>180</v>
      </c>
      <c r="I185" s="41" t="str">
        <f t="shared" si="19"/>
        <v/>
      </c>
      <c r="J185" s="40">
        <f t="shared" si="25"/>
        <v>-6</v>
      </c>
      <c r="K185" s="40">
        <f t="shared" si="20"/>
        <v>-60</v>
      </c>
      <c r="L185" s="40"/>
      <c r="M185" s="42">
        <f t="shared" si="21"/>
        <v>0</v>
      </c>
      <c r="O185" s="150">
        <v>180</v>
      </c>
      <c r="P185" s="150"/>
      <c r="Q185" s="150"/>
      <c r="R185" s="151" t="str">
        <f t="shared" si="26"/>
        <v/>
      </c>
      <c r="S185" s="153">
        <f t="shared" si="22"/>
        <v>-6</v>
      </c>
      <c r="T185" s="153">
        <f t="shared" si="23"/>
        <v>-60</v>
      </c>
      <c r="U185" s="151"/>
      <c r="V185" s="151">
        <f t="shared" si="24"/>
        <v>0</v>
      </c>
    </row>
    <row r="186" spans="1:22" x14ac:dyDescent="0.25">
      <c r="A186" s="61"/>
      <c r="G186" s="18"/>
      <c r="H186" s="40">
        <v>181</v>
      </c>
      <c r="I186" s="41" t="str">
        <f t="shared" si="19"/>
        <v/>
      </c>
      <c r="J186" s="40">
        <f t="shared" si="25"/>
        <v>-6</v>
      </c>
      <c r="K186" s="40">
        <f t="shared" si="20"/>
        <v>-60</v>
      </c>
      <c r="L186" s="40"/>
      <c r="M186" s="42">
        <f t="shared" si="21"/>
        <v>0</v>
      </c>
      <c r="O186" s="150">
        <v>181</v>
      </c>
      <c r="P186" s="150"/>
      <c r="Q186" s="150"/>
      <c r="R186" s="151" t="str">
        <f t="shared" si="26"/>
        <v/>
      </c>
      <c r="S186" s="153">
        <f t="shared" si="22"/>
        <v>-6</v>
      </c>
      <c r="T186" s="153">
        <f t="shared" si="23"/>
        <v>-60</v>
      </c>
      <c r="U186" s="151"/>
      <c r="V186" s="151">
        <f t="shared" si="24"/>
        <v>0</v>
      </c>
    </row>
    <row r="187" spans="1:22" x14ac:dyDescent="0.25">
      <c r="A187" s="61"/>
      <c r="G187" s="18"/>
      <c r="H187" s="40">
        <v>182</v>
      </c>
      <c r="I187" s="41" t="str">
        <f t="shared" si="19"/>
        <v/>
      </c>
      <c r="J187" s="40">
        <f t="shared" si="25"/>
        <v>-6</v>
      </c>
      <c r="K187" s="40">
        <f t="shared" si="20"/>
        <v>-60</v>
      </c>
      <c r="L187" s="40"/>
      <c r="M187" s="42">
        <f t="shared" si="21"/>
        <v>0</v>
      </c>
      <c r="O187" s="150">
        <v>182</v>
      </c>
      <c r="P187" s="150"/>
      <c r="Q187" s="150"/>
      <c r="R187" s="151" t="str">
        <f t="shared" si="26"/>
        <v/>
      </c>
      <c r="S187" s="153">
        <f t="shared" si="22"/>
        <v>-6</v>
      </c>
      <c r="T187" s="153">
        <f t="shared" si="23"/>
        <v>-60</v>
      </c>
      <c r="U187" s="151"/>
      <c r="V187" s="151">
        <f t="shared" si="24"/>
        <v>0</v>
      </c>
    </row>
    <row r="188" spans="1:22" x14ac:dyDescent="0.25">
      <c r="A188" s="61"/>
      <c r="G188" s="18"/>
      <c r="H188" s="40">
        <v>183</v>
      </c>
      <c r="I188" s="41" t="str">
        <f t="shared" si="19"/>
        <v/>
      </c>
      <c r="J188" s="40">
        <f t="shared" si="25"/>
        <v>-6</v>
      </c>
      <c r="K188" s="40">
        <f t="shared" si="20"/>
        <v>-60</v>
      </c>
      <c r="L188" s="40"/>
      <c r="M188" s="42">
        <f t="shared" si="21"/>
        <v>0</v>
      </c>
      <c r="O188" s="150">
        <v>183</v>
      </c>
      <c r="P188" s="150"/>
      <c r="Q188" s="150"/>
      <c r="R188" s="151" t="str">
        <f t="shared" si="26"/>
        <v/>
      </c>
      <c r="S188" s="153">
        <f t="shared" si="22"/>
        <v>-6</v>
      </c>
      <c r="T188" s="153">
        <f t="shared" si="23"/>
        <v>-60</v>
      </c>
      <c r="U188" s="151"/>
      <c r="V188" s="151">
        <f t="shared" si="24"/>
        <v>0</v>
      </c>
    </row>
    <row r="189" spans="1:22" x14ac:dyDescent="0.25">
      <c r="A189" s="61"/>
      <c r="G189" s="18"/>
      <c r="H189" s="40">
        <v>184</v>
      </c>
      <c r="I189" s="41" t="str">
        <f t="shared" si="19"/>
        <v/>
      </c>
      <c r="J189" s="40">
        <f t="shared" si="25"/>
        <v>-6</v>
      </c>
      <c r="K189" s="40">
        <f t="shared" si="20"/>
        <v>-60</v>
      </c>
      <c r="L189" s="40"/>
      <c r="M189" s="42">
        <f t="shared" si="21"/>
        <v>0</v>
      </c>
      <c r="O189" s="150">
        <v>184</v>
      </c>
      <c r="P189" s="150"/>
      <c r="Q189" s="150"/>
      <c r="R189" s="151" t="str">
        <f t="shared" si="26"/>
        <v/>
      </c>
      <c r="S189" s="153">
        <f t="shared" si="22"/>
        <v>-6</v>
      </c>
      <c r="T189" s="153">
        <f t="shared" si="23"/>
        <v>-60</v>
      </c>
      <c r="U189" s="151"/>
      <c r="V189" s="151">
        <f t="shared" si="24"/>
        <v>0</v>
      </c>
    </row>
    <row r="190" spans="1:22" x14ac:dyDescent="0.25">
      <c r="A190" s="61"/>
      <c r="G190" s="18"/>
      <c r="H190" s="40">
        <v>185</v>
      </c>
      <c r="I190" s="41" t="str">
        <f t="shared" si="19"/>
        <v/>
      </c>
      <c r="J190" s="40">
        <f t="shared" si="25"/>
        <v>-6</v>
      </c>
      <c r="K190" s="40">
        <f t="shared" si="20"/>
        <v>-60</v>
      </c>
      <c r="L190" s="40"/>
      <c r="M190" s="42">
        <f t="shared" si="21"/>
        <v>0</v>
      </c>
      <c r="O190" s="150">
        <v>185</v>
      </c>
      <c r="P190" s="150"/>
      <c r="Q190" s="150"/>
      <c r="R190" s="151" t="str">
        <f t="shared" si="26"/>
        <v/>
      </c>
      <c r="S190" s="153">
        <f t="shared" si="22"/>
        <v>-6</v>
      </c>
      <c r="T190" s="153">
        <f t="shared" si="23"/>
        <v>-60</v>
      </c>
      <c r="U190" s="151"/>
      <c r="V190" s="151">
        <f t="shared" si="24"/>
        <v>0</v>
      </c>
    </row>
    <row r="191" spans="1:22" x14ac:dyDescent="0.25">
      <c r="A191" s="61"/>
      <c r="G191" s="18"/>
      <c r="H191" s="40">
        <v>186</v>
      </c>
      <c r="I191" s="41" t="str">
        <f t="shared" si="19"/>
        <v/>
      </c>
      <c r="J191" s="40">
        <f t="shared" si="25"/>
        <v>-6</v>
      </c>
      <c r="K191" s="40">
        <f t="shared" si="20"/>
        <v>-60</v>
      </c>
      <c r="L191" s="40"/>
      <c r="M191" s="42">
        <f t="shared" si="21"/>
        <v>0</v>
      </c>
      <c r="O191" s="150">
        <v>186</v>
      </c>
      <c r="P191" s="150"/>
      <c r="Q191" s="150"/>
      <c r="R191" s="151" t="str">
        <f t="shared" si="26"/>
        <v/>
      </c>
      <c r="S191" s="153">
        <f t="shared" si="22"/>
        <v>-6</v>
      </c>
      <c r="T191" s="153">
        <f t="shared" si="23"/>
        <v>-60</v>
      </c>
      <c r="U191" s="151"/>
      <c r="V191" s="151">
        <f t="shared" si="24"/>
        <v>0</v>
      </c>
    </row>
    <row r="192" spans="1:22" x14ac:dyDescent="0.25">
      <c r="A192" s="61"/>
      <c r="G192" s="18"/>
      <c r="H192" s="40">
        <v>187</v>
      </c>
      <c r="I192" s="41" t="str">
        <f t="shared" si="19"/>
        <v/>
      </c>
      <c r="J192" s="40">
        <f t="shared" si="25"/>
        <v>-6</v>
      </c>
      <c r="K192" s="40">
        <f t="shared" si="20"/>
        <v>-60</v>
      </c>
      <c r="L192" s="40"/>
      <c r="M192" s="42">
        <f t="shared" si="21"/>
        <v>0</v>
      </c>
      <c r="O192" s="150">
        <v>187</v>
      </c>
      <c r="P192" s="150"/>
      <c r="Q192" s="150"/>
      <c r="R192" s="151" t="str">
        <f t="shared" si="26"/>
        <v/>
      </c>
      <c r="S192" s="153">
        <f t="shared" si="22"/>
        <v>-6</v>
      </c>
      <c r="T192" s="153">
        <f t="shared" si="23"/>
        <v>-60</v>
      </c>
      <c r="U192" s="151"/>
      <c r="V192" s="151">
        <f t="shared" si="24"/>
        <v>0</v>
      </c>
    </row>
    <row r="193" spans="1:22" x14ac:dyDescent="0.25">
      <c r="A193" s="61"/>
      <c r="G193" s="18"/>
      <c r="H193" s="40">
        <v>188</v>
      </c>
      <c r="I193" s="41" t="str">
        <f t="shared" si="19"/>
        <v/>
      </c>
      <c r="J193" s="40">
        <f t="shared" si="25"/>
        <v>-6</v>
      </c>
      <c r="K193" s="40">
        <f t="shared" si="20"/>
        <v>-60</v>
      </c>
      <c r="L193" s="40"/>
      <c r="M193" s="42">
        <f t="shared" si="21"/>
        <v>0</v>
      </c>
      <c r="O193" s="150">
        <v>188</v>
      </c>
      <c r="P193" s="150"/>
      <c r="Q193" s="150"/>
      <c r="R193" s="151" t="str">
        <f t="shared" si="26"/>
        <v/>
      </c>
      <c r="S193" s="153">
        <f t="shared" si="22"/>
        <v>-6</v>
      </c>
      <c r="T193" s="153">
        <f t="shared" si="23"/>
        <v>-60</v>
      </c>
      <c r="U193" s="151"/>
      <c r="V193" s="151">
        <f t="shared" si="24"/>
        <v>0</v>
      </c>
    </row>
    <row r="194" spans="1:22" x14ac:dyDescent="0.25">
      <c r="A194" s="61"/>
      <c r="G194" s="18"/>
      <c r="H194" s="40">
        <v>189</v>
      </c>
      <c r="I194" s="41" t="str">
        <f t="shared" si="19"/>
        <v/>
      </c>
      <c r="J194" s="40">
        <f t="shared" si="25"/>
        <v>-6</v>
      </c>
      <c r="K194" s="40">
        <f t="shared" si="20"/>
        <v>-60</v>
      </c>
      <c r="L194" s="40"/>
      <c r="M194" s="42">
        <f t="shared" si="21"/>
        <v>0</v>
      </c>
      <c r="O194" s="150">
        <v>189</v>
      </c>
      <c r="P194" s="150"/>
      <c r="Q194" s="150"/>
      <c r="R194" s="151" t="str">
        <f t="shared" si="26"/>
        <v/>
      </c>
      <c r="S194" s="153">
        <f t="shared" si="22"/>
        <v>-6</v>
      </c>
      <c r="T194" s="153">
        <f t="shared" si="23"/>
        <v>-60</v>
      </c>
      <c r="U194" s="151"/>
      <c r="V194" s="151">
        <f t="shared" si="24"/>
        <v>0</v>
      </c>
    </row>
    <row r="195" spans="1:22" x14ac:dyDescent="0.25">
      <c r="A195" s="61"/>
      <c r="G195" s="18"/>
      <c r="H195" s="40">
        <v>190</v>
      </c>
      <c r="I195" s="41" t="str">
        <f t="shared" si="19"/>
        <v/>
      </c>
      <c r="J195" s="40">
        <f t="shared" si="25"/>
        <v>-6</v>
      </c>
      <c r="K195" s="40">
        <f t="shared" si="20"/>
        <v>-60</v>
      </c>
      <c r="L195" s="40"/>
      <c r="M195" s="42">
        <f t="shared" si="21"/>
        <v>0</v>
      </c>
      <c r="O195" s="150">
        <v>190</v>
      </c>
      <c r="P195" s="150"/>
      <c r="Q195" s="150"/>
      <c r="R195" s="151" t="str">
        <f t="shared" si="26"/>
        <v/>
      </c>
      <c r="S195" s="153">
        <f t="shared" si="22"/>
        <v>-6</v>
      </c>
      <c r="T195" s="153">
        <f t="shared" si="23"/>
        <v>-60</v>
      </c>
      <c r="U195" s="151"/>
      <c r="V195" s="151">
        <f t="shared" si="24"/>
        <v>0</v>
      </c>
    </row>
    <row r="196" spans="1:22" x14ac:dyDescent="0.25">
      <c r="A196" s="61"/>
      <c r="G196" s="18"/>
      <c r="H196" s="40">
        <v>191</v>
      </c>
      <c r="I196" s="41" t="str">
        <f t="shared" si="19"/>
        <v/>
      </c>
      <c r="J196" s="40">
        <f t="shared" si="25"/>
        <v>-6</v>
      </c>
      <c r="K196" s="40">
        <f t="shared" si="20"/>
        <v>-60</v>
      </c>
      <c r="L196" s="40"/>
      <c r="M196" s="42">
        <f t="shared" si="21"/>
        <v>0</v>
      </c>
      <c r="O196" s="150">
        <v>191</v>
      </c>
      <c r="P196" s="150"/>
      <c r="Q196" s="150"/>
      <c r="R196" s="151" t="str">
        <f t="shared" si="26"/>
        <v/>
      </c>
      <c r="S196" s="153">
        <f t="shared" si="22"/>
        <v>-6</v>
      </c>
      <c r="T196" s="153">
        <f t="shared" si="23"/>
        <v>-60</v>
      </c>
      <c r="U196" s="151"/>
      <c r="V196" s="151">
        <f t="shared" si="24"/>
        <v>0</v>
      </c>
    </row>
    <row r="197" spans="1:22" x14ac:dyDescent="0.25">
      <c r="A197" s="61"/>
      <c r="G197" s="18"/>
      <c r="H197" s="40">
        <v>192</v>
      </c>
      <c r="I197" s="41" t="str">
        <f t="shared" si="19"/>
        <v/>
      </c>
      <c r="J197" s="40">
        <f t="shared" si="25"/>
        <v>-6</v>
      </c>
      <c r="K197" s="40">
        <f t="shared" si="20"/>
        <v>-60</v>
      </c>
      <c r="L197" s="40"/>
      <c r="M197" s="42">
        <f t="shared" si="21"/>
        <v>0</v>
      </c>
      <c r="O197" s="150">
        <v>192</v>
      </c>
      <c r="P197" s="150"/>
      <c r="Q197" s="150"/>
      <c r="R197" s="151" t="str">
        <f t="shared" si="26"/>
        <v/>
      </c>
      <c r="S197" s="153">
        <f t="shared" si="22"/>
        <v>-6</v>
      </c>
      <c r="T197" s="153">
        <f t="shared" si="23"/>
        <v>-60</v>
      </c>
      <c r="U197" s="151"/>
      <c r="V197" s="151">
        <f t="shared" si="24"/>
        <v>0</v>
      </c>
    </row>
    <row r="198" spans="1:22" x14ac:dyDescent="0.25">
      <c r="A198" s="61"/>
      <c r="G198" s="18"/>
      <c r="H198" s="40">
        <v>193</v>
      </c>
      <c r="I198" s="41" t="str">
        <f t="shared" ref="I198:I261" si="27">IF(H198&lt;$H$2+1,($I$2-($I$2-1)*(LOG(H198)/LOG($H$2))),"")</f>
        <v/>
      </c>
      <c r="J198" s="40">
        <f t="shared" si="25"/>
        <v>-6</v>
      </c>
      <c r="K198" s="40">
        <f t="shared" ref="K198:K261" si="28">J198*$J$2</f>
        <v>-60</v>
      </c>
      <c r="L198" s="40"/>
      <c r="M198" s="42">
        <f t="shared" ref="M198:M261" si="29">IF(I198&lt;&gt;"",K198+I198+L198,0)</f>
        <v>0</v>
      </c>
      <c r="O198" s="150">
        <v>193</v>
      </c>
      <c r="P198" s="150"/>
      <c r="Q198" s="150"/>
      <c r="R198" s="151" t="str">
        <f t="shared" si="26"/>
        <v/>
      </c>
      <c r="S198" s="153">
        <f t="shared" ref="S198:S261" si="30">INT(LOG($O$2,2))-ROUNDUP(LOG(O198,2),0)+IF(OR($O$2=1,$O$2=2,$O$2=4,$O$2=8,$O$2=16,$O$2=32,$O$2=64,$O$2=128,$O$2=256),0,1)</f>
        <v>-6</v>
      </c>
      <c r="T198" s="153">
        <f t="shared" ref="T198:T261" si="31">S198*$J$2</f>
        <v>-60</v>
      </c>
      <c r="U198" s="151"/>
      <c r="V198" s="151">
        <f t="shared" ref="V198:V261" si="32">IF(R198&lt;&gt;"",T198+R198+U198,0)</f>
        <v>0</v>
      </c>
    </row>
    <row r="199" spans="1:22" x14ac:dyDescent="0.25">
      <c r="A199" s="61"/>
      <c r="G199" s="18"/>
      <c r="H199" s="40">
        <v>194</v>
      </c>
      <c r="I199" s="41" t="str">
        <f t="shared" si="27"/>
        <v/>
      </c>
      <c r="J199" s="40">
        <f t="shared" ref="J199:J262" si="33">INT(LOG($H$2,2))-ROUNDUP(LOG(H199,2),0)+IF(OR($H$2=1,$H$2=2,$H$2=4,$H$2=8,$H$2=16,$H$2=32,$H$2=64,$H$2=128,$H$2=256),0,1)</f>
        <v>-6</v>
      </c>
      <c r="K199" s="40">
        <f t="shared" si="28"/>
        <v>-60</v>
      </c>
      <c r="L199" s="40"/>
      <c r="M199" s="42">
        <f t="shared" si="29"/>
        <v>0</v>
      </c>
      <c r="O199" s="150">
        <v>194</v>
      </c>
      <c r="P199" s="150"/>
      <c r="Q199" s="150"/>
      <c r="R199" s="151" t="str">
        <f t="shared" ref="R199:R262" si="34">IF(O199&lt;$O$2+1,($I$2-($I$2-1)*(LOG(O199)/LOG($O$2))),"")</f>
        <v/>
      </c>
      <c r="S199" s="153">
        <f t="shared" si="30"/>
        <v>-6</v>
      </c>
      <c r="T199" s="153">
        <f t="shared" si="31"/>
        <v>-60</v>
      </c>
      <c r="U199" s="151"/>
      <c r="V199" s="151">
        <f t="shared" si="32"/>
        <v>0</v>
      </c>
    </row>
    <row r="200" spans="1:22" x14ac:dyDescent="0.25">
      <c r="A200" s="61"/>
      <c r="G200" s="18"/>
      <c r="H200" s="40">
        <v>195</v>
      </c>
      <c r="I200" s="41" t="str">
        <f t="shared" si="27"/>
        <v/>
      </c>
      <c r="J200" s="40">
        <f t="shared" si="33"/>
        <v>-6</v>
      </c>
      <c r="K200" s="40">
        <f t="shared" si="28"/>
        <v>-60</v>
      </c>
      <c r="L200" s="40"/>
      <c r="M200" s="42">
        <f t="shared" si="29"/>
        <v>0</v>
      </c>
      <c r="O200" s="150">
        <v>195</v>
      </c>
      <c r="P200" s="150"/>
      <c r="Q200" s="150"/>
      <c r="R200" s="151" t="str">
        <f t="shared" si="34"/>
        <v/>
      </c>
      <c r="S200" s="153">
        <f t="shared" si="30"/>
        <v>-6</v>
      </c>
      <c r="T200" s="153">
        <f t="shared" si="31"/>
        <v>-60</v>
      </c>
      <c r="U200" s="151"/>
      <c r="V200" s="151">
        <f t="shared" si="32"/>
        <v>0</v>
      </c>
    </row>
    <row r="201" spans="1:22" x14ac:dyDescent="0.25">
      <c r="A201" s="61"/>
      <c r="G201" s="18"/>
      <c r="H201" s="40">
        <v>196</v>
      </c>
      <c r="I201" s="41" t="str">
        <f t="shared" si="27"/>
        <v/>
      </c>
      <c r="J201" s="40">
        <f t="shared" si="33"/>
        <v>-6</v>
      </c>
      <c r="K201" s="40">
        <f t="shared" si="28"/>
        <v>-60</v>
      </c>
      <c r="L201" s="40"/>
      <c r="M201" s="42">
        <f t="shared" si="29"/>
        <v>0</v>
      </c>
      <c r="O201" s="150">
        <v>196</v>
      </c>
      <c r="P201" s="150"/>
      <c r="Q201" s="150"/>
      <c r="R201" s="151" t="str">
        <f t="shared" si="34"/>
        <v/>
      </c>
      <c r="S201" s="153">
        <f t="shared" si="30"/>
        <v>-6</v>
      </c>
      <c r="T201" s="153">
        <f t="shared" si="31"/>
        <v>-60</v>
      </c>
      <c r="U201" s="151"/>
      <c r="V201" s="151">
        <f t="shared" si="32"/>
        <v>0</v>
      </c>
    </row>
    <row r="202" spans="1:22" x14ac:dyDescent="0.25">
      <c r="A202" s="61"/>
      <c r="G202" s="18"/>
      <c r="H202" s="40">
        <v>197</v>
      </c>
      <c r="I202" s="41" t="str">
        <f t="shared" si="27"/>
        <v/>
      </c>
      <c r="J202" s="40">
        <f t="shared" si="33"/>
        <v>-6</v>
      </c>
      <c r="K202" s="40">
        <f t="shared" si="28"/>
        <v>-60</v>
      </c>
      <c r="L202" s="40"/>
      <c r="M202" s="42">
        <f t="shared" si="29"/>
        <v>0</v>
      </c>
      <c r="O202" s="150">
        <v>197</v>
      </c>
      <c r="P202" s="150"/>
      <c r="Q202" s="150"/>
      <c r="R202" s="151" t="str">
        <f t="shared" si="34"/>
        <v/>
      </c>
      <c r="S202" s="153">
        <f t="shared" si="30"/>
        <v>-6</v>
      </c>
      <c r="T202" s="153">
        <f t="shared" si="31"/>
        <v>-60</v>
      </c>
      <c r="U202" s="151"/>
      <c r="V202" s="151">
        <f t="shared" si="32"/>
        <v>0</v>
      </c>
    </row>
    <row r="203" spans="1:22" x14ac:dyDescent="0.25">
      <c r="A203" s="61"/>
      <c r="G203" s="18"/>
      <c r="H203" s="40">
        <v>198</v>
      </c>
      <c r="I203" s="41" t="str">
        <f t="shared" si="27"/>
        <v/>
      </c>
      <c r="J203" s="40">
        <f t="shared" si="33"/>
        <v>-6</v>
      </c>
      <c r="K203" s="40">
        <f t="shared" si="28"/>
        <v>-60</v>
      </c>
      <c r="L203" s="40"/>
      <c r="M203" s="42">
        <f t="shared" si="29"/>
        <v>0</v>
      </c>
      <c r="O203" s="150">
        <v>198</v>
      </c>
      <c r="P203" s="150"/>
      <c r="Q203" s="150"/>
      <c r="R203" s="151" t="str">
        <f t="shared" si="34"/>
        <v/>
      </c>
      <c r="S203" s="153">
        <f t="shared" si="30"/>
        <v>-6</v>
      </c>
      <c r="T203" s="153">
        <f t="shared" si="31"/>
        <v>-60</v>
      </c>
      <c r="U203" s="151"/>
      <c r="V203" s="151">
        <f t="shared" si="32"/>
        <v>0</v>
      </c>
    </row>
    <row r="204" spans="1:22" x14ac:dyDescent="0.25">
      <c r="A204" s="61"/>
      <c r="G204" s="18"/>
      <c r="H204" s="40">
        <v>199</v>
      </c>
      <c r="I204" s="41" t="str">
        <f t="shared" si="27"/>
        <v/>
      </c>
      <c r="J204" s="40">
        <f t="shared" si="33"/>
        <v>-6</v>
      </c>
      <c r="K204" s="40">
        <f t="shared" si="28"/>
        <v>-60</v>
      </c>
      <c r="L204" s="40"/>
      <c r="M204" s="42">
        <f t="shared" si="29"/>
        <v>0</v>
      </c>
      <c r="O204" s="150">
        <v>199</v>
      </c>
      <c r="P204" s="150"/>
      <c r="Q204" s="150"/>
      <c r="R204" s="151" t="str">
        <f t="shared" si="34"/>
        <v/>
      </c>
      <c r="S204" s="153">
        <f t="shared" si="30"/>
        <v>-6</v>
      </c>
      <c r="T204" s="153">
        <f t="shared" si="31"/>
        <v>-60</v>
      </c>
      <c r="U204" s="151"/>
      <c r="V204" s="151">
        <f t="shared" si="32"/>
        <v>0</v>
      </c>
    </row>
    <row r="205" spans="1:22" x14ac:dyDescent="0.25">
      <c r="A205" s="61"/>
      <c r="G205" s="18"/>
      <c r="H205" s="40">
        <v>200</v>
      </c>
      <c r="I205" s="41" t="str">
        <f t="shared" si="27"/>
        <v/>
      </c>
      <c r="J205" s="40">
        <f t="shared" si="33"/>
        <v>-6</v>
      </c>
      <c r="K205" s="40">
        <f t="shared" si="28"/>
        <v>-60</v>
      </c>
      <c r="L205" s="40"/>
      <c r="M205" s="42">
        <f t="shared" si="29"/>
        <v>0</v>
      </c>
      <c r="O205" s="150">
        <v>200</v>
      </c>
      <c r="P205" s="150"/>
      <c r="Q205" s="150"/>
      <c r="R205" s="151" t="str">
        <f t="shared" si="34"/>
        <v/>
      </c>
      <c r="S205" s="153">
        <f t="shared" si="30"/>
        <v>-6</v>
      </c>
      <c r="T205" s="153">
        <f t="shared" si="31"/>
        <v>-60</v>
      </c>
      <c r="U205" s="151"/>
      <c r="V205" s="151">
        <f t="shared" si="32"/>
        <v>0</v>
      </c>
    </row>
    <row r="206" spans="1:22" x14ac:dyDescent="0.25">
      <c r="A206" s="61"/>
      <c r="G206" s="18"/>
      <c r="H206" s="40">
        <v>201</v>
      </c>
      <c r="I206" s="41" t="str">
        <f t="shared" si="27"/>
        <v/>
      </c>
      <c r="J206" s="40">
        <f t="shared" si="33"/>
        <v>-6</v>
      </c>
      <c r="K206" s="40">
        <f t="shared" si="28"/>
        <v>-60</v>
      </c>
      <c r="L206" s="40"/>
      <c r="M206" s="42">
        <f t="shared" si="29"/>
        <v>0</v>
      </c>
      <c r="O206" s="150">
        <v>201</v>
      </c>
      <c r="P206" s="150"/>
      <c r="Q206" s="150"/>
      <c r="R206" s="151" t="str">
        <f t="shared" si="34"/>
        <v/>
      </c>
      <c r="S206" s="153">
        <f t="shared" si="30"/>
        <v>-6</v>
      </c>
      <c r="T206" s="153">
        <f t="shared" si="31"/>
        <v>-60</v>
      </c>
      <c r="U206" s="151"/>
      <c r="V206" s="151">
        <f t="shared" si="32"/>
        <v>0</v>
      </c>
    </row>
    <row r="207" spans="1:22" x14ac:dyDescent="0.25">
      <c r="A207" s="61"/>
      <c r="G207" s="18"/>
      <c r="H207" s="40">
        <v>202</v>
      </c>
      <c r="I207" s="41" t="str">
        <f t="shared" si="27"/>
        <v/>
      </c>
      <c r="J207" s="40">
        <f t="shared" si="33"/>
        <v>-6</v>
      </c>
      <c r="K207" s="40">
        <f t="shared" si="28"/>
        <v>-60</v>
      </c>
      <c r="L207" s="40"/>
      <c r="M207" s="42">
        <f t="shared" si="29"/>
        <v>0</v>
      </c>
      <c r="O207" s="150">
        <v>202</v>
      </c>
      <c r="P207" s="150"/>
      <c r="Q207" s="150"/>
      <c r="R207" s="151" t="str">
        <f t="shared" si="34"/>
        <v/>
      </c>
      <c r="S207" s="153">
        <f t="shared" si="30"/>
        <v>-6</v>
      </c>
      <c r="T207" s="153">
        <f t="shared" si="31"/>
        <v>-60</v>
      </c>
      <c r="U207" s="151"/>
      <c r="V207" s="151">
        <f t="shared" si="32"/>
        <v>0</v>
      </c>
    </row>
    <row r="208" spans="1:22" x14ac:dyDescent="0.25">
      <c r="A208" s="61"/>
      <c r="G208" s="18"/>
      <c r="H208" s="40">
        <v>203</v>
      </c>
      <c r="I208" s="41" t="str">
        <f t="shared" si="27"/>
        <v/>
      </c>
      <c r="J208" s="40">
        <f t="shared" si="33"/>
        <v>-6</v>
      </c>
      <c r="K208" s="40">
        <f t="shared" si="28"/>
        <v>-60</v>
      </c>
      <c r="L208" s="40"/>
      <c r="M208" s="42">
        <f t="shared" si="29"/>
        <v>0</v>
      </c>
      <c r="O208" s="150">
        <v>203</v>
      </c>
      <c r="P208" s="150"/>
      <c r="Q208" s="150"/>
      <c r="R208" s="151" t="str">
        <f t="shared" si="34"/>
        <v/>
      </c>
      <c r="S208" s="153">
        <f t="shared" si="30"/>
        <v>-6</v>
      </c>
      <c r="T208" s="153">
        <f t="shared" si="31"/>
        <v>-60</v>
      </c>
      <c r="U208" s="151"/>
      <c r="V208" s="151">
        <f t="shared" si="32"/>
        <v>0</v>
      </c>
    </row>
    <row r="209" spans="1:22" x14ac:dyDescent="0.25">
      <c r="A209" s="61"/>
      <c r="G209" s="18"/>
      <c r="H209" s="40">
        <v>204</v>
      </c>
      <c r="I209" s="41" t="str">
        <f t="shared" si="27"/>
        <v/>
      </c>
      <c r="J209" s="40">
        <f t="shared" si="33"/>
        <v>-6</v>
      </c>
      <c r="K209" s="40">
        <f t="shared" si="28"/>
        <v>-60</v>
      </c>
      <c r="L209" s="40"/>
      <c r="M209" s="42">
        <f t="shared" si="29"/>
        <v>0</v>
      </c>
      <c r="O209" s="150">
        <v>204</v>
      </c>
      <c r="P209" s="150"/>
      <c r="Q209" s="150"/>
      <c r="R209" s="151" t="str">
        <f t="shared" si="34"/>
        <v/>
      </c>
      <c r="S209" s="153">
        <f t="shared" si="30"/>
        <v>-6</v>
      </c>
      <c r="T209" s="153">
        <f t="shared" si="31"/>
        <v>-60</v>
      </c>
      <c r="U209" s="151"/>
      <c r="V209" s="151">
        <f t="shared" si="32"/>
        <v>0</v>
      </c>
    </row>
    <row r="210" spans="1:22" x14ac:dyDescent="0.25">
      <c r="A210" s="61"/>
      <c r="G210" s="18"/>
      <c r="H210" s="40">
        <v>205</v>
      </c>
      <c r="I210" s="41" t="str">
        <f t="shared" si="27"/>
        <v/>
      </c>
      <c r="J210" s="40">
        <f t="shared" si="33"/>
        <v>-6</v>
      </c>
      <c r="K210" s="40">
        <f t="shared" si="28"/>
        <v>-60</v>
      </c>
      <c r="L210" s="40"/>
      <c r="M210" s="42">
        <f t="shared" si="29"/>
        <v>0</v>
      </c>
      <c r="O210" s="150">
        <v>205</v>
      </c>
      <c r="P210" s="150"/>
      <c r="Q210" s="150"/>
      <c r="R210" s="151" t="str">
        <f t="shared" si="34"/>
        <v/>
      </c>
      <c r="S210" s="153">
        <f t="shared" si="30"/>
        <v>-6</v>
      </c>
      <c r="T210" s="153">
        <f t="shared" si="31"/>
        <v>-60</v>
      </c>
      <c r="U210" s="151"/>
      <c r="V210" s="151">
        <f t="shared" si="32"/>
        <v>0</v>
      </c>
    </row>
    <row r="211" spans="1:22" x14ac:dyDescent="0.25">
      <c r="A211" s="61"/>
      <c r="G211" s="18"/>
      <c r="H211" s="40">
        <v>206</v>
      </c>
      <c r="I211" s="41" t="str">
        <f t="shared" si="27"/>
        <v/>
      </c>
      <c r="J211" s="40">
        <f t="shared" si="33"/>
        <v>-6</v>
      </c>
      <c r="K211" s="40">
        <f t="shared" si="28"/>
        <v>-60</v>
      </c>
      <c r="L211" s="40"/>
      <c r="M211" s="42">
        <f t="shared" si="29"/>
        <v>0</v>
      </c>
      <c r="O211" s="150">
        <v>206</v>
      </c>
      <c r="P211" s="150"/>
      <c r="Q211" s="150"/>
      <c r="R211" s="151" t="str">
        <f t="shared" si="34"/>
        <v/>
      </c>
      <c r="S211" s="153">
        <f t="shared" si="30"/>
        <v>-6</v>
      </c>
      <c r="T211" s="153">
        <f t="shared" si="31"/>
        <v>-60</v>
      </c>
      <c r="U211" s="151"/>
      <c r="V211" s="151">
        <f t="shared" si="32"/>
        <v>0</v>
      </c>
    </row>
    <row r="212" spans="1:22" x14ac:dyDescent="0.25">
      <c r="A212" s="61"/>
      <c r="G212" s="18"/>
      <c r="H212" s="40">
        <v>207</v>
      </c>
      <c r="I212" s="41" t="str">
        <f t="shared" si="27"/>
        <v/>
      </c>
      <c r="J212" s="40">
        <f t="shared" si="33"/>
        <v>-6</v>
      </c>
      <c r="K212" s="40">
        <f t="shared" si="28"/>
        <v>-60</v>
      </c>
      <c r="L212" s="40"/>
      <c r="M212" s="42">
        <f t="shared" si="29"/>
        <v>0</v>
      </c>
      <c r="O212" s="150">
        <v>207</v>
      </c>
      <c r="P212" s="150"/>
      <c r="Q212" s="150"/>
      <c r="R212" s="151" t="str">
        <f t="shared" si="34"/>
        <v/>
      </c>
      <c r="S212" s="153">
        <f t="shared" si="30"/>
        <v>-6</v>
      </c>
      <c r="T212" s="153">
        <f t="shared" si="31"/>
        <v>-60</v>
      </c>
      <c r="U212" s="151"/>
      <c r="V212" s="151">
        <f t="shared" si="32"/>
        <v>0</v>
      </c>
    </row>
    <row r="213" spans="1:22" x14ac:dyDescent="0.25">
      <c r="A213" s="61"/>
      <c r="G213" s="18"/>
      <c r="H213" s="40">
        <v>208</v>
      </c>
      <c r="I213" s="41" t="str">
        <f t="shared" si="27"/>
        <v/>
      </c>
      <c r="J213" s="40">
        <f t="shared" si="33"/>
        <v>-6</v>
      </c>
      <c r="K213" s="40">
        <f t="shared" si="28"/>
        <v>-60</v>
      </c>
      <c r="L213" s="40"/>
      <c r="M213" s="42">
        <f t="shared" si="29"/>
        <v>0</v>
      </c>
      <c r="O213" s="150">
        <v>208</v>
      </c>
      <c r="P213" s="150"/>
      <c r="Q213" s="150"/>
      <c r="R213" s="151" t="str">
        <f t="shared" si="34"/>
        <v/>
      </c>
      <c r="S213" s="153">
        <f t="shared" si="30"/>
        <v>-6</v>
      </c>
      <c r="T213" s="153">
        <f t="shared" si="31"/>
        <v>-60</v>
      </c>
      <c r="U213" s="151"/>
      <c r="V213" s="151">
        <f t="shared" si="32"/>
        <v>0</v>
      </c>
    </row>
    <row r="214" spans="1:22" x14ac:dyDescent="0.25">
      <c r="A214" s="61"/>
      <c r="G214" s="18"/>
      <c r="H214" s="40">
        <v>209</v>
      </c>
      <c r="I214" s="41" t="str">
        <f t="shared" si="27"/>
        <v/>
      </c>
      <c r="J214" s="40">
        <f t="shared" si="33"/>
        <v>-6</v>
      </c>
      <c r="K214" s="40">
        <f t="shared" si="28"/>
        <v>-60</v>
      </c>
      <c r="L214" s="40"/>
      <c r="M214" s="42">
        <f t="shared" si="29"/>
        <v>0</v>
      </c>
      <c r="O214" s="150">
        <v>209</v>
      </c>
      <c r="P214" s="150"/>
      <c r="Q214" s="150"/>
      <c r="R214" s="151" t="str">
        <f t="shared" si="34"/>
        <v/>
      </c>
      <c r="S214" s="153">
        <f t="shared" si="30"/>
        <v>-6</v>
      </c>
      <c r="T214" s="153">
        <f t="shared" si="31"/>
        <v>-60</v>
      </c>
      <c r="U214" s="151"/>
      <c r="V214" s="151">
        <f t="shared" si="32"/>
        <v>0</v>
      </c>
    </row>
    <row r="215" spans="1:22" x14ac:dyDescent="0.25">
      <c r="A215" s="61"/>
      <c r="G215" s="18"/>
      <c r="H215" s="40">
        <v>210</v>
      </c>
      <c r="I215" s="41" t="str">
        <f t="shared" si="27"/>
        <v/>
      </c>
      <c r="J215" s="40">
        <f t="shared" si="33"/>
        <v>-6</v>
      </c>
      <c r="K215" s="40">
        <f t="shared" si="28"/>
        <v>-60</v>
      </c>
      <c r="L215" s="40"/>
      <c r="M215" s="42">
        <f t="shared" si="29"/>
        <v>0</v>
      </c>
      <c r="O215" s="150">
        <v>210</v>
      </c>
      <c r="P215" s="150"/>
      <c r="Q215" s="150"/>
      <c r="R215" s="151" t="str">
        <f t="shared" si="34"/>
        <v/>
      </c>
      <c r="S215" s="153">
        <f t="shared" si="30"/>
        <v>-6</v>
      </c>
      <c r="T215" s="153">
        <f t="shared" si="31"/>
        <v>-60</v>
      </c>
      <c r="U215" s="151"/>
      <c r="V215" s="151">
        <f t="shared" si="32"/>
        <v>0</v>
      </c>
    </row>
    <row r="216" spans="1:22" x14ac:dyDescent="0.25">
      <c r="A216" s="61"/>
      <c r="G216" s="18"/>
      <c r="H216" s="40">
        <v>211</v>
      </c>
      <c r="I216" s="41" t="str">
        <f t="shared" si="27"/>
        <v/>
      </c>
      <c r="J216" s="40">
        <f t="shared" si="33"/>
        <v>-6</v>
      </c>
      <c r="K216" s="40">
        <f t="shared" si="28"/>
        <v>-60</v>
      </c>
      <c r="L216" s="40"/>
      <c r="M216" s="42">
        <f t="shared" si="29"/>
        <v>0</v>
      </c>
      <c r="O216" s="150">
        <v>211</v>
      </c>
      <c r="P216" s="150"/>
      <c r="Q216" s="150"/>
      <c r="R216" s="151" t="str">
        <f t="shared" si="34"/>
        <v/>
      </c>
      <c r="S216" s="153">
        <f t="shared" si="30"/>
        <v>-6</v>
      </c>
      <c r="T216" s="153">
        <f t="shared" si="31"/>
        <v>-60</v>
      </c>
      <c r="U216" s="151"/>
      <c r="V216" s="151">
        <f t="shared" si="32"/>
        <v>0</v>
      </c>
    </row>
    <row r="217" spans="1:22" x14ac:dyDescent="0.25">
      <c r="A217" s="61"/>
      <c r="G217" s="18"/>
      <c r="H217" s="40">
        <v>212</v>
      </c>
      <c r="I217" s="41" t="str">
        <f t="shared" si="27"/>
        <v/>
      </c>
      <c r="J217" s="40">
        <f t="shared" si="33"/>
        <v>-6</v>
      </c>
      <c r="K217" s="40">
        <f t="shared" si="28"/>
        <v>-60</v>
      </c>
      <c r="L217" s="40"/>
      <c r="M217" s="42">
        <f t="shared" si="29"/>
        <v>0</v>
      </c>
      <c r="O217" s="150">
        <v>212</v>
      </c>
      <c r="P217" s="150"/>
      <c r="Q217" s="150"/>
      <c r="R217" s="151" t="str">
        <f t="shared" si="34"/>
        <v/>
      </c>
      <c r="S217" s="153">
        <f t="shared" si="30"/>
        <v>-6</v>
      </c>
      <c r="T217" s="153">
        <f t="shared" si="31"/>
        <v>-60</v>
      </c>
      <c r="U217" s="151"/>
      <c r="V217" s="151">
        <f t="shared" si="32"/>
        <v>0</v>
      </c>
    </row>
    <row r="218" spans="1:22" x14ac:dyDescent="0.25">
      <c r="A218" s="61"/>
      <c r="G218" s="18"/>
      <c r="H218" s="40">
        <v>213</v>
      </c>
      <c r="I218" s="41" t="str">
        <f t="shared" si="27"/>
        <v/>
      </c>
      <c r="J218" s="40">
        <f t="shared" si="33"/>
        <v>-6</v>
      </c>
      <c r="K218" s="40">
        <f t="shared" si="28"/>
        <v>-60</v>
      </c>
      <c r="L218" s="40"/>
      <c r="M218" s="42">
        <f t="shared" si="29"/>
        <v>0</v>
      </c>
      <c r="O218" s="150">
        <v>213</v>
      </c>
      <c r="P218" s="150"/>
      <c r="Q218" s="150"/>
      <c r="R218" s="151" t="str">
        <f t="shared" si="34"/>
        <v/>
      </c>
      <c r="S218" s="153">
        <f t="shared" si="30"/>
        <v>-6</v>
      </c>
      <c r="T218" s="153">
        <f t="shared" si="31"/>
        <v>-60</v>
      </c>
      <c r="U218" s="151"/>
      <c r="V218" s="151">
        <f t="shared" si="32"/>
        <v>0</v>
      </c>
    </row>
    <row r="219" spans="1:22" x14ac:dyDescent="0.25">
      <c r="A219" s="61"/>
      <c r="G219" s="18"/>
      <c r="H219" s="40">
        <v>214</v>
      </c>
      <c r="I219" s="41" t="str">
        <f t="shared" si="27"/>
        <v/>
      </c>
      <c r="J219" s="40">
        <f t="shared" si="33"/>
        <v>-6</v>
      </c>
      <c r="K219" s="40">
        <f t="shared" si="28"/>
        <v>-60</v>
      </c>
      <c r="L219" s="40"/>
      <c r="M219" s="42">
        <f t="shared" si="29"/>
        <v>0</v>
      </c>
      <c r="O219" s="150">
        <v>214</v>
      </c>
      <c r="P219" s="150"/>
      <c r="Q219" s="150"/>
      <c r="R219" s="151" t="str">
        <f t="shared" si="34"/>
        <v/>
      </c>
      <c r="S219" s="153">
        <f t="shared" si="30"/>
        <v>-6</v>
      </c>
      <c r="T219" s="153">
        <f t="shared" si="31"/>
        <v>-60</v>
      </c>
      <c r="U219" s="151"/>
      <c r="V219" s="151">
        <f t="shared" si="32"/>
        <v>0</v>
      </c>
    </row>
    <row r="220" spans="1:22" x14ac:dyDescent="0.25">
      <c r="A220" s="61"/>
      <c r="G220" s="18"/>
      <c r="H220" s="40">
        <v>215</v>
      </c>
      <c r="I220" s="41" t="str">
        <f t="shared" si="27"/>
        <v/>
      </c>
      <c r="J220" s="40">
        <f t="shared" si="33"/>
        <v>-6</v>
      </c>
      <c r="K220" s="40">
        <f t="shared" si="28"/>
        <v>-60</v>
      </c>
      <c r="L220" s="40"/>
      <c r="M220" s="42">
        <f t="shared" si="29"/>
        <v>0</v>
      </c>
      <c r="O220" s="150">
        <v>215</v>
      </c>
      <c r="P220" s="150"/>
      <c r="Q220" s="150"/>
      <c r="R220" s="151" t="str">
        <f t="shared" si="34"/>
        <v/>
      </c>
      <c r="S220" s="153">
        <f t="shared" si="30"/>
        <v>-6</v>
      </c>
      <c r="T220" s="153">
        <f t="shared" si="31"/>
        <v>-60</v>
      </c>
      <c r="U220" s="151"/>
      <c r="V220" s="151">
        <f t="shared" si="32"/>
        <v>0</v>
      </c>
    </row>
    <row r="221" spans="1:22" x14ac:dyDescent="0.25">
      <c r="A221" s="61"/>
      <c r="G221" s="18"/>
      <c r="H221" s="40">
        <v>216</v>
      </c>
      <c r="I221" s="41" t="str">
        <f t="shared" si="27"/>
        <v/>
      </c>
      <c r="J221" s="40">
        <f t="shared" si="33"/>
        <v>-6</v>
      </c>
      <c r="K221" s="40">
        <f t="shared" si="28"/>
        <v>-60</v>
      </c>
      <c r="L221" s="40"/>
      <c r="M221" s="42">
        <f t="shared" si="29"/>
        <v>0</v>
      </c>
      <c r="O221" s="150">
        <v>216</v>
      </c>
      <c r="P221" s="150"/>
      <c r="Q221" s="150"/>
      <c r="R221" s="151" t="str">
        <f t="shared" si="34"/>
        <v/>
      </c>
      <c r="S221" s="153">
        <f t="shared" si="30"/>
        <v>-6</v>
      </c>
      <c r="T221" s="153">
        <f t="shared" si="31"/>
        <v>-60</v>
      </c>
      <c r="U221" s="151"/>
      <c r="V221" s="151">
        <f t="shared" si="32"/>
        <v>0</v>
      </c>
    </row>
    <row r="222" spans="1:22" x14ac:dyDescent="0.25">
      <c r="A222" s="61"/>
      <c r="G222" s="18"/>
      <c r="H222" s="40">
        <v>217</v>
      </c>
      <c r="I222" s="41" t="str">
        <f t="shared" si="27"/>
        <v/>
      </c>
      <c r="J222" s="40">
        <f t="shared" si="33"/>
        <v>-6</v>
      </c>
      <c r="K222" s="40">
        <f t="shared" si="28"/>
        <v>-60</v>
      </c>
      <c r="L222" s="40"/>
      <c r="M222" s="42">
        <f t="shared" si="29"/>
        <v>0</v>
      </c>
      <c r="O222" s="150">
        <v>217</v>
      </c>
      <c r="P222" s="150"/>
      <c r="Q222" s="150"/>
      <c r="R222" s="151" t="str">
        <f t="shared" si="34"/>
        <v/>
      </c>
      <c r="S222" s="153">
        <f t="shared" si="30"/>
        <v>-6</v>
      </c>
      <c r="T222" s="153">
        <f t="shared" si="31"/>
        <v>-60</v>
      </c>
      <c r="U222" s="151"/>
      <c r="V222" s="151">
        <f t="shared" si="32"/>
        <v>0</v>
      </c>
    </row>
    <row r="223" spans="1:22" x14ac:dyDescent="0.25">
      <c r="A223" s="61"/>
      <c r="G223" s="18"/>
      <c r="H223" s="40">
        <v>218</v>
      </c>
      <c r="I223" s="41" t="str">
        <f t="shared" si="27"/>
        <v/>
      </c>
      <c r="J223" s="40">
        <f t="shared" si="33"/>
        <v>-6</v>
      </c>
      <c r="K223" s="40">
        <f t="shared" si="28"/>
        <v>-60</v>
      </c>
      <c r="L223" s="40"/>
      <c r="M223" s="42">
        <f t="shared" si="29"/>
        <v>0</v>
      </c>
      <c r="O223" s="150">
        <v>218</v>
      </c>
      <c r="P223" s="150"/>
      <c r="Q223" s="150"/>
      <c r="R223" s="151" t="str">
        <f t="shared" si="34"/>
        <v/>
      </c>
      <c r="S223" s="153">
        <f t="shared" si="30"/>
        <v>-6</v>
      </c>
      <c r="T223" s="153">
        <f t="shared" si="31"/>
        <v>-60</v>
      </c>
      <c r="U223" s="151"/>
      <c r="V223" s="151">
        <f t="shared" si="32"/>
        <v>0</v>
      </c>
    </row>
    <row r="224" spans="1:22" x14ac:dyDescent="0.25">
      <c r="A224" s="61"/>
      <c r="G224" s="18"/>
      <c r="H224" s="40">
        <v>219</v>
      </c>
      <c r="I224" s="41" t="str">
        <f t="shared" si="27"/>
        <v/>
      </c>
      <c r="J224" s="40">
        <f t="shared" si="33"/>
        <v>-6</v>
      </c>
      <c r="K224" s="40">
        <f t="shared" si="28"/>
        <v>-60</v>
      </c>
      <c r="L224" s="40"/>
      <c r="M224" s="42">
        <f t="shared" si="29"/>
        <v>0</v>
      </c>
      <c r="O224" s="150">
        <v>219</v>
      </c>
      <c r="P224" s="150"/>
      <c r="Q224" s="150"/>
      <c r="R224" s="151" t="str">
        <f t="shared" si="34"/>
        <v/>
      </c>
      <c r="S224" s="153">
        <f t="shared" si="30"/>
        <v>-6</v>
      </c>
      <c r="T224" s="153">
        <f t="shared" si="31"/>
        <v>-60</v>
      </c>
      <c r="U224" s="151"/>
      <c r="V224" s="151">
        <f t="shared" si="32"/>
        <v>0</v>
      </c>
    </row>
    <row r="225" spans="1:22" x14ac:dyDescent="0.25">
      <c r="A225" s="61"/>
      <c r="G225" s="18"/>
      <c r="H225" s="40">
        <v>220</v>
      </c>
      <c r="I225" s="41" t="str">
        <f t="shared" si="27"/>
        <v/>
      </c>
      <c r="J225" s="40">
        <f t="shared" si="33"/>
        <v>-6</v>
      </c>
      <c r="K225" s="40">
        <f t="shared" si="28"/>
        <v>-60</v>
      </c>
      <c r="L225" s="40"/>
      <c r="M225" s="42">
        <f t="shared" si="29"/>
        <v>0</v>
      </c>
      <c r="O225" s="150">
        <v>220</v>
      </c>
      <c r="P225" s="150"/>
      <c r="Q225" s="150"/>
      <c r="R225" s="151" t="str">
        <f t="shared" si="34"/>
        <v/>
      </c>
      <c r="S225" s="153">
        <f t="shared" si="30"/>
        <v>-6</v>
      </c>
      <c r="T225" s="153">
        <f t="shared" si="31"/>
        <v>-60</v>
      </c>
      <c r="U225" s="151"/>
      <c r="V225" s="151">
        <f t="shared" si="32"/>
        <v>0</v>
      </c>
    </row>
    <row r="226" spans="1:22" x14ac:dyDescent="0.25">
      <c r="A226" s="61"/>
      <c r="G226" s="18"/>
      <c r="H226" s="40">
        <v>221</v>
      </c>
      <c r="I226" s="41" t="str">
        <f t="shared" si="27"/>
        <v/>
      </c>
      <c r="J226" s="40">
        <f t="shared" si="33"/>
        <v>-6</v>
      </c>
      <c r="K226" s="40">
        <f t="shared" si="28"/>
        <v>-60</v>
      </c>
      <c r="L226" s="40"/>
      <c r="M226" s="42">
        <f t="shared" si="29"/>
        <v>0</v>
      </c>
      <c r="O226" s="150">
        <v>221</v>
      </c>
      <c r="P226" s="150"/>
      <c r="Q226" s="150"/>
      <c r="R226" s="151" t="str">
        <f t="shared" si="34"/>
        <v/>
      </c>
      <c r="S226" s="153">
        <f t="shared" si="30"/>
        <v>-6</v>
      </c>
      <c r="T226" s="153">
        <f t="shared" si="31"/>
        <v>-60</v>
      </c>
      <c r="U226" s="151"/>
      <c r="V226" s="151">
        <f t="shared" si="32"/>
        <v>0</v>
      </c>
    </row>
    <row r="227" spans="1:22" x14ac:dyDescent="0.25">
      <c r="A227" s="61"/>
      <c r="G227" s="18"/>
      <c r="H227" s="40">
        <v>222</v>
      </c>
      <c r="I227" s="41" t="str">
        <f t="shared" si="27"/>
        <v/>
      </c>
      <c r="J227" s="40">
        <f t="shared" si="33"/>
        <v>-6</v>
      </c>
      <c r="K227" s="40">
        <f t="shared" si="28"/>
        <v>-60</v>
      </c>
      <c r="L227" s="40"/>
      <c r="M227" s="42">
        <f t="shared" si="29"/>
        <v>0</v>
      </c>
      <c r="O227" s="150">
        <v>222</v>
      </c>
      <c r="P227" s="150"/>
      <c r="Q227" s="150"/>
      <c r="R227" s="151" t="str">
        <f t="shared" si="34"/>
        <v/>
      </c>
      <c r="S227" s="153">
        <f t="shared" si="30"/>
        <v>-6</v>
      </c>
      <c r="T227" s="153">
        <f t="shared" si="31"/>
        <v>-60</v>
      </c>
      <c r="U227" s="151"/>
      <c r="V227" s="151">
        <f t="shared" si="32"/>
        <v>0</v>
      </c>
    </row>
    <row r="228" spans="1:22" x14ac:dyDescent="0.25">
      <c r="A228" s="61"/>
      <c r="G228" s="18"/>
      <c r="H228" s="40">
        <v>223</v>
      </c>
      <c r="I228" s="41" t="str">
        <f t="shared" si="27"/>
        <v/>
      </c>
      <c r="J228" s="40">
        <f t="shared" si="33"/>
        <v>-6</v>
      </c>
      <c r="K228" s="40">
        <f t="shared" si="28"/>
        <v>-60</v>
      </c>
      <c r="L228" s="40"/>
      <c r="M228" s="42">
        <f t="shared" si="29"/>
        <v>0</v>
      </c>
      <c r="O228" s="150">
        <v>223</v>
      </c>
      <c r="P228" s="150"/>
      <c r="Q228" s="150"/>
      <c r="R228" s="151" t="str">
        <f t="shared" si="34"/>
        <v/>
      </c>
      <c r="S228" s="153">
        <f t="shared" si="30"/>
        <v>-6</v>
      </c>
      <c r="T228" s="153">
        <f t="shared" si="31"/>
        <v>-60</v>
      </c>
      <c r="U228" s="151"/>
      <c r="V228" s="151">
        <f t="shared" si="32"/>
        <v>0</v>
      </c>
    </row>
    <row r="229" spans="1:22" x14ac:dyDescent="0.25">
      <c r="A229" s="61"/>
      <c r="G229" s="18"/>
      <c r="H229" s="40">
        <v>224</v>
      </c>
      <c r="I229" s="41" t="str">
        <f t="shared" si="27"/>
        <v/>
      </c>
      <c r="J229" s="40">
        <f t="shared" si="33"/>
        <v>-6</v>
      </c>
      <c r="K229" s="40">
        <f t="shared" si="28"/>
        <v>-60</v>
      </c>
      <c r="L229" s="40"/>
      <c r="M229" s="42">
        <f t="shared" si="29"/>
        <v>0</v>
      </c>
      <c r="O229" s="150">
        <v>224</v>
      </c>
      <c r="P229" s="150"/>
      <c r="Q229" s="150"/>
      <c r="R229" s="151" t="str">
        <f t="shared" si="34"/>
        <v/>
      </c>
      <c r="S229" s="153">
        <f t="shared" si="30"/>
        <v>-6</v>
      </c>
      <c r="T229" s="153">
        <f t="shared" si="31"/>
        <v>-60</v>
      </c>
      <c r="U229" s="151"/>
      <c r="V229" s="151">
        <f t="shared" si="32"/>
        <v>0</v>
      </c>
    </row>
    <row r="230" spans="1:22" x14ac:dyDescent="0.25">
      <c r="A230" s="61"/>
      <c r="G230" s="18"/>
      <c r="H230" s="40">
        <v>225</v>
      </c>
      <c r="I230" s="41" t="str">
        <f t="shared" si="27"/>
        <v/>
      </c>
      <c r="J230" s="40">
        <f t="shared" si="33"/>
        <v>-6</v>
      </c>
      <c r="K230" s="40">
        <f t="shared" si="28"/>
        <v>-60</v>
      </c>
      <c r="L230" s="40"/>
      <c r="M230" s="42">
        <f t="shared" si="29"/>
        <v>0</v>
      </c>
      <c r="O230" s="150">
        <v>225</v>
      </c>
      <c r="P230" s="150"/>
      <c r="Q230" s="150"/>
      <c r="R230" s="151" t="str">
        <f t="shared" si="34"/>
        <v/>
      </c>
      <c r="S230" s="153">
        <f t="shared" si="30"/>
        <v>-6</v>
      </c>
      <c r="T230" s="153">
        <f t="shared" si="31"/>
        <v>-60</v>
      </c>
      <c r="U230" s="151"/>
      <c r="V230" s="151">
        <f t="shared" si="32"/>
        <v>0</v>
      </c>
    </row>
    <row r="231" spans="1:22" x14ac:dyDescent="0.25">
      <c r="A231" s="61"/>
      <c r="G231" s="18"/>
      <c r="H231" s="40">
        <v>226</v>
      </c>
      <c r="I231" s="41" t="str">
        <f t="shared" si="27"/>
        <v/>
      </c>
      <c r="J231" s="40">
        <f t="shared" si="33"/>
        <v>-6</v>
      </c>
      <c r="K231" s="40">
        <f t="shared" si="28"/>
        <v>-60</v>
      </c>
      <c r="L231" s="40"/>
      <c r="M231" s="42">
        <f t="shared" si="29"/>
        <v>0</v>
      </c>
      <c r="O231" s="150">
        <v>226</v>
      </c>
      <c r="P231" s="150"/>
      <c r="Q231" s="150"/>
      <c r="R231" s="151" t="str">
        <f t="shared" si="34"/>
        <v/>
      </c>
      <c r="S231" s="153">
        <f t="shared" si="30"/>
        <v>-6</v>
      </c>
      <c r="T231" s="153">
        <f t="shared" si="31"/>
        <v>-60</v>
      </c>
      <c r="U231" s="151"/>
      <c r="V231" s="151">
        <f t="shared" si="32"/>
        <v>0</v>
      </c>
    </row>
    <row r="232" spans="1:22" x14ac:dyDescent="0.25">
      <c r="A232" s="61"/>
      <c r="G232" s="18"/>
      <c r="H232" s="40">
        <v>227</v>
      </c>
      <c r="I232" s="41" t="str">
        <f t="shared" si="27"/>
        <v/>
      </c>
      <c r="J232" s="40">
        <f t="shared" si="33"/>
        <v>-6</v>
      </c>
      <c r="K232" s="40">
        <f t="shared" si="28"/>
        <v>-60</v>
      </c>
      <c r="L232" s="40"/>
      <c r="M232" s="42">
        <f t="shared" si="29"/>
        <v>0</v>
      </c>
      <c r="O232" s="150">
        <v>227</v>
      </c>
      <c r="P232" s="150"/>
      <c r="Q232" s="150"/>
      <c r="R232" s="151" t="str">
        <f t="shared" si="34"/>
        <v/>
      </c>
      <c r="S232" s="153">
        <f t="shared" si="30"/>
        <v>-6</v>
      </c>
      <c r="T232" s="153">
        <f t="shared" si="31"/>
        <v>-60</v>
      </c>
      <c r="U232" s="151"/>
      <c r="V232" s="151">
        <f t="shared" si="32"/>
        <v>0</v>
      </c>
    </row>
    <row r="233" spans="1:22" x14ac:dyDescent="0.25">
      <c r="A233" s="61"/>
      <c r="G233" s="18"/>
      <c r="H233" s="40">
        <v>228</v>
      </c>
      <c r="I233" s="41" t="str">
        <f t="shared" si="27"/>
        <v/>
      </c>
      <c r="J233" s="40">
        <f t="shared" si="33"/>
        <v>-6</v>
      </c>
      <c r="K233" s="40">
        <f t="shared" si="28"/>
        <v>-60</v>
      </c>
      <c r="L233" s="40"/>
      <c r="M233" s="42">
        <f t="shared" si="29"/>
        <v>0</v>
      </c>
      <c r="O233" s="150">
        <v>228</v>
      </c>
      <c r="P233" s="150"/>
      <c r="Q233" s="150"/>
      <c r="R233" s="151" t="str">
        <f t="shared" si="34"/>
        <v/>
      </c>
      <c r="S233" s="153">
        <f t="shared" si="30"/>
        <v>-6</v>
      </c>
      <c r="T233" s="153">
        <f t="shared" si="31"/>
        <v>-60</v>
      </c>
      <c r="U233" s="151"/>
      <c r="V233" s="151">
        <f t="shared" si="32"/>
        <v>0</v>
      </c>
    </row>
    <row r="234" spans="1:22" x14ac:dyDescent="0.25">
      <c r="A234" s="61"/>
      <c r="G234" s="18"/>
      <c r="H234" s="40">
        <v>229</v>
      </c>
      <c r="I234" s="41" t="str">
        <f t="shared" si="27"/>
        <v/>
      </c>
      <c r="J234" s="40">
        <f t="shared" si="33"/>
        <v>-6</v>
      </c>
      <c r="K234" s="40">
        <f t="shared" si="28"/>
        <v>-60</v>
      </c>
      <c r="L234" s="40"/>
      <c r="M234" s="42">
        <f t="shared" si="29"/>
        <v>0</v>
      </c>
      <c r="O234" s="150">
        <v>229</v>
      </c>
      <c r="P234" s="150"/>
      <c r="Q234" s="150"/>
      <c r="R234" s="151" t="str">
        <f t="shared" si="34"/>
        <v/>
      </c>
      <c r="S234" s="153">
        <f t="shared" si="30"/>
        <v>-6</v>
      </c>
      <c r="T234" s="153">
        <f t="shared" si="31"/>
        <v>-60</v>
      </c>
      <c r="U234" s="151"/>
      <c r="V234" s="151">
        <f t="shared" si="32"/>
        <v>0</v>
      </c>
    </row>
    <row r="235" spans="1:22" x14ac:dyDescent="0.25">
      <c r="A235" s="61"/>
      <c r="G235" s="18"/>
      <c r="H235" s="40">
        <v>230</v>
      </c>
      <c r="I235" s="41" t="str">
        <f t="shared" si="27"/>
        <v/>
      </c>
      <c r="J235" s="40">
        <f t="shared" si="33"/>
        <v>-6</v>
      </c>
      <c r="K235" s="40">
        <f t="shared" si="28"/>
        <v>-60</v>
      </c>
      <c r="L235" s="40"/>
      <c r="M235" s="42">
        <f t="shared" si="29"/>
        <v>0</v>
      </c>
      <c r="O235" s="150">
        <v>230</v>
      </c>
      <c r="P235" s="150"/>
      <c r="Q235" s="150"/>
      <c r="R235" s="151" t="str">
        <f t="shared" si="34"/>
        <v/>
      </c>
      <c r="S235" s="153">
        <f t="shared" si="30"/>
        <v>-6</v>
      </c>
      <c r="T235" s="153">
        <f t="shared" si="31"/>
        <v>-60</v>
      </c>
      <c r="U235" s="151"/>
      <c r="V235" s="151">
        <f t="shared" si="32"/>
        <v>0</v>
      </c>
    </row>
    <row r="236" spans="1:22" x14ac:dyDescent="0.25">
      <c r="A236" s="61"/>
      <c r="G236" s="18"/>
      <c r="H236" s="40">
        <v>231</v>
      </c>
      <c r="I236" s="41" t="str">
        <f t="shared" si="27"/>
        <v/>
      </c>
      <c r="J236" s="40">
        <f t="shared" si="33"/>
        <v>-6</v>
      </c>
      <c r="K236" s="40">
        <f t="shared" si="28"/>
        <v>-60</v>
      </c>
      <c r="L236" s="40"/>
      <c r="M236" s="42">
        <f t="shared" si="29"/>
        <v>0</v>
      </c>
      <c r="O236" s="150">
        <v>231</v>
      </c>
      <c r="P236" s="150"/>
      <c r="Q236" s="150"/>
      <c r="R236" s="151" t="str">
        <f t="shared" si="34"/>
        <v/>
      </c>
      <c r="S236" s="153">
        <f t="shared" si="30"/>
        <v>-6</v>
      </c>
      <c r="T236" s="153">
        <f t="shared" si="31"/>
        <v>-60</v>
      </c>
      <c r="U236" s="151"/>
      <c r="V236" s="151">
        <f t="shared" si="32"/>
        <v>0</v>
      </c>
    </row>
    <row r="237" spans="1:22" x14ac:dyDescent="0.25">
      <c r="A237" s="61"/>
      <c r="G237" s="18"/>
      <c r="H237" s="40">
        <v>232</v>
      </c>
      <c r="I237" s="41" t="str">
        <f t="shared" si="27"/>
        <v/>
      </c>
      <c r="J237" s="40">
        <f t="shared" si="33"/>
        <v>-6</v>
      </c>
      <c r="K237" s="40">
        <f t="shared" si="28"/>
        <v>-60</v>
      </c>
      <c r="L237" s="40"/>
      <c r="M237" s="42">
        <f t="shared" si="29"/>
        <v>0</v>
      </c>
      <c r="O237" s="150">
        <v>232</v>
      </c>
      <c r="P237" s="150"/>
      <c r="Q237" s="150"/>
      <c r="R237" s="151" t="str">
        <f t="shared" si="34"/>
        <v/>
      </c>
      <c r="S237" s="153">
        <f t="shared" si="30"/>
        <v>-6</v>
      </c>
      <c r="T237" s="153">
        <f t="shared" si="31"/>
        <v>-60</v>
      </c>
      <c r="U237" s="151"/>
      <c r="V237" s="151">
        <f t="shared" si="32"/>
        <v>0</v>
      </c>
    </row>
    <row r="238" spans="1:22" x14ac:dyDescent="0.25">
      <c r="A238" s="61"/>
      <c r="G238" s="18"/>
      <c r="H238" s="40">
        <v>233</v>
      </c>
      <c r="I238" s="41" t="str">
        <f t="shared" si="27"/>
        <v/>
      </c>
      <c r="J238" s="40">
        <f t="shared" si="33"/>
        <v>-6</v>
      </c>
      <c r="K238" s="40">
        <f t="shared" si="28"/>
        <v>-60</v>
      </c>
      <c r="L238" s="40"/>
      <c r="M238" s="42">
        <f t="shared" si="29"/>
        <v>0</v>
      </c>
      <c r="O238" s="150">
        <v>233</v>
      </c>
      <c r="P238" s="150"/>
      <c r="Q238" s="150"/>
      <c r="R238" s="151" t="str">
        <f t="shared" si="34"/>
        <v/>
      </c>
      <c r="S238" s="153">
        <f t="shared" si="30"/>
        <v>-6</v>
      </c>
      <c r="T238" s="153">
        <f t="shared" si="31"/>
        <v>-60</v>
      </c>
      <c r="U238" s="151"/>
      <c r="V238" s="151">
        <f t="shared" si="32"/>
        <v>0</v>
      </c>
    </row>
    <row r="239" spans="1:22" x14ac:dyDescent="0.25">
      <c r="A239" s="61"/>
      <c r="G239" s="18"/>
      <c r="H239" s="40">
        <v>234</v>
      </c>
      <c r="I239" s="41" t="str">
        <f t="shared" si="27"/>
        <v/>
      </c>
      <c r="J239" s="40">
        <f t="shared" si="33"/>
        <v>-6</v>
      </c>
      <c r="K239" s="40">
        <f t="shared" si="28"/>
        <v>-60</v>
      </c>
      <c r="L239" s="40"/>
      <c r="M239" s="42">
        <f t="shared" si="29"/>
        <v>0</v>
      </c>
      <c r="O239" s="150">
        <v>234</v>
      </c>
      <c r="P239" s="150"/>
      <c r="Q239" s="150"/>
      <c r="R239" s="151" t="str">
        <f t="shared" si="34"/>
        <v/>
      </c>
      <c r="S239" s="153">
        <f t="shared" si="30"/>
        <v>-6</v>
      </c>
      <c r="T239" s="153">
        <f t="shared" si="31"/>
        <v>-60</v>
      </c>
      <c r="U239" s="151"/>
      <c r="V239" s="151">
        <f t="shared" si="32"/>
        <v>0</v>
      </c>
    </row>
    <row r="240" spans="1:22" x14ac:dyDescent="0.25">
      <c r="A240" s="61"/>
      <c r="G240" s="18"/>
      <c r="H240" s="40">
        <v>235</v>
      </c>
      <c r="I240" s="41" t="str">
        <f t="shared" si="27"/>
        <v/>
      </c>
      <c r="J240" s="40">
        <f t="shared" si="33"/>
        <v>-6</v>
      </c>
      <c r="K240" s="40">
        <f t="shared" si="28"/>
        <v>-60</v>
      </c>
      <c r="L240" s="40"/>
      <c r="M240" s="42">
        <f t="shared" si="29"/>
        <v>0</v>
      </c>
      <c r="O240" s="150">
        <v>235</v>
      </c>
      <c r="P240" s="150"/>
      <c r="Q240" s="150"/>
      <c r="R240" s="151" t="str">
        <f t="shared" si="34"/>
        <v/>
      </c>
      <c r="S240" s="153">
        <f t="shared" si="30"/>
        <v>-6</v>
      </c>
      <c r="T240" s="153">
        <f t="shared" si="31"/>
        <v>-60</v>
      </c>
      <c r="U240" s="151"/>
      <c r="V240" s="151">
        <f t="shared" si="32"/>
        <v>0</v>
      </c>
    </row>
    <row r="241" spans="1:22" x14ac:dyDescent="0.25">
      <c r="A241" s="61"/>
      <c r="G241" s="18"/>
      <c r="H241" s="40">
        <v>236</v>
      </c>
      <c r="I241" s="41" t="str">
        <f t="shared" si="27"/>
        <v/>
      </c>
      <c r="J241" s="40">
        <f t="shared" si="33"/>
        <v>-6</v>
      </c>
      <c r="K241" s="40">
        <f t="shared" si="28"/>
        <v>-60</v>
      </c>
      <c r="L241" s="40"/>
      <c r="M241" s="42">
        <f t="shared" si="29"/>
        <v>0</v>
      </c>
      <c r="O241" s="150">
        <v>236</v>
      </c>
      <c r="P241" s="150"/>
      <c r="Q241" s="150"/>
      <c r="R241" s="151" t="str">
        <f t="shared" si="34"/>
        <v/>
      </c>
      <c r="S241" s="153">
        <f t="shared" si="30"/>
        <v>-6</v>
      </c>
      <c r="T241" s="153">
        <f t="shared" si="31"/>
        <v>-60</v>
      </c>
      <c r="U241" s="151"/>
      <c r="V241" s="151">
        <f t="shared" si="32"/>
        <v>0</v>
      </c>
    </row>
    <row r="242" spans="1:22" x14ac:dyDescent="0.25">
      <c r="A242" s="61"/>
      <c r="G242" s="18"/>
      <c r="H242" s="40">
        <v>237</v>
      </c>
      <c r="I242" s="41" t="str">
        <f t="shared" si="27"/>
        <v/>
      </c>
      <c r="J242" s="40">
        <f t="shared" si="33"/>
        <v>-6</v>
      </c>
      <c r="K242" s="40">
        <f t="shared" si="28"/>
        <v>-60</v>
      </c>
      <c r="L242" s="40"/>
      <c r="M242" s="42">
        <f t="shared" si="29"/>
        <v>0</v>
      </c>
      <c r="O242" s="150">
        <v>237</v>
      </c>
      <c r="P242" s="150"/>
      <c r="Q242" s="150"/>
      <c r="R242" s="151" t="str">
        <f t="shared" si="34"/>
        <v/>
      </c>
      <c r="S242" s="153">
        <f t="shared" si="30"/>
        <v>-6</v>
      </c>
      <c r="T242" s="153">
        <f t="shared" si="31"/>
        <v>-60</v>
      </c>
      <c r="U242" s="151"/>
      <c r="V242" s="151">
        <f t="shared" si="32"/>
        <v>0</v>
      </c>
    </row>
    <row r="243" spans="1:22" x14ac:dyDescent="0.25">
      <c r="A243" s="61"/>
      <c r="G243" s="18"/>
      <c r="H243" s="40">
        <v>238</v>
      </c>
      <c r="I243" s="41" t="str">
        <f t="shared" si="27"/>
        <v/>
      </c>
      <c r="J243" s="40">
        <f t="shared" si="33"/>
        <v>-6</v>
      </c>
      <c r="K243" s="40">
        <f t="shared" si="28"/>
        <v>-60</v>
      </c>
      <c r="L243" s="40"/>
      <c r="M243" s="42">
        <f t="shared" si="29"/>
        <v>0</v>
      </c>
      <c r="O243" s="150">
        <v>238</v>
      </c>
      <c r="P243" s="150"/>
      <c r="Q243" s="150"/>
      <c r="R243" s="151" t="str">
        <f t="shared" si="34"/>
        <v/>
      </c>
      <c r="S243" s="153">
        <f t="shared" si="30"/>
        <v>-6</v>
      </c>
      <c r="T243" s="153">
        <f t="shared" si="31"/>
        <v>-60</v>
      </c>
      <c r="U243" s="151"/>
      <c r="V243" s="151">
        <f t="shared" si="32"/>
        <v>0</v>
      </c>
    </row>
    <row r="244" spans="1:22" x14ac:dyDescent="0.25">
      <c r="A244" s="61"/>
      <c r="G244" s="18"/>
      <c r="H244" s="40">
        <v>239</v>
      </c>
      <c r="I244" s="41" t="str">
        <f t="shared" si="27"/>
        <v/>
      </c>
      <c r="J244" s="40">
        <f t="shared" si="33"/>
        <v>-6</v>
      </c>
      <c r="K244" s="40">
        <f t="shared" si="28"/>
        <v>-60</v>
      </c>
      <c r="L244" s="40"/>
      <c r="M244" s="42">
        <f t="shared" si="29"/>
        <v>0</v>
      </c>
      <c r="O244" s="150">
        <v>239</v>
      </c>
      <c r="P244" s="150"/>
      <c r="Q244" s="150"/>
      <c r="R244" s="151" t="str">
        <f t="shared" si="34"/>
        <v/>
      </c>
      <c r="S244" s="153">
        <f t="shared" si="30"/>
        <v>-6</v>
      </c>
      <c r="T244" s="153">
        <f t="shared" si="31"/>
        <v>-60</v>
      </c>
      <c r="U244" s="151"/>
      <c r="V244" s="151">
        <f t="shared" si="32"/>
        <v>0</v>
      </c>
    </row>
    <row r="245" spans="1:22" x14ac:dyDescent="0.25">
      <c r="A245" s="61"/>
      <c r="G245" s="18"/>
      <c r="H245" s="40">
        <v>240</v>
      </c>
      <c r="I245" s="41" t="str">
        <f t="shared" si="27"/>
        <v/>
      </c>
      <c r="J245" s="40">
        <f t="shared" si="33"/>
        <v>-6</v>
      </c>
      <c r="K245" s="40">
        <f t="shared" si="28"/>
        <v>-60</v>
      </c>
      <c r="L245" s="40"/>
      <c r="M245" s="42">
        <f t="shared" si="29"/>
        <v>0</v>
      </c>
      <c r="O245" s="150">
        <v>240</v>
      </c>
      <c r="P245" s="150"/>
      <c r="Q245" s="150"/>
      <c r="R245" s="151" t="str">
        <f t="shared" si="34"/>
        <v/>
      </c>
      <c r="S245" s="153">
        <f t="shared" si="30"/>
        <v>-6</v>
      </c>
      <c r="T245" s="153">
        <f t="shared" si="31"/>
        <v>-60</v>
      </c>
      <c r="U245" s="151"/>
      <c r="V245" s="151">
        <f t="shared" si="32"/>
        <v>0</v>
      </c>
    </row>
    <row r="246" spans="1:22" x14ac:dyDescent="0.25">
      <c r="A246" s="61"/>
      <c r="G246" s="18"/>
      <c r="H246" s="40">
        <v>241</v>
      </c>
      <c r="I246" s="41" t="str">
        <f t="shared" si="27"/>
        <v/>
      </c>
      <c r="J246" s="40">
        <f t="shared" si="33"/>
        <v>-6</v>
      </c>
      <c r="K246" s="40">
        <f t="shared" si="28"/>
        <v>-60</v>
      </c>
      <c r="L246" s="40"/>
      <c r="M246" s="42">
        <f t="shared" si="29"/>
        <v>0</v>
      </c>
      <c r="O246" s="150">
        <v>241</v>
      </c>
      <c r="P246" s="150"/>
      <c r="Q246" s="150"/>
      <c r="R246" s="151" t="str">
        <f t="shared" si="34"/>
        <v/>
      </c>
      <c r="S246" s="153">
        <f t="shared" si="30"/>
        <v>-6</v>
      </c>
      <c r="T246" s="153">
        <f t="shared" si="31"/>
        <v>-60</v>
      </c>
      <c r="U246" s="151"/>
      <c r="V246" s="151">
        <f t="shared" si="32"/>
        <v>0</v>
      </c>
    </row>
    <row r="247" spans="1:22" x14ac:dyDescent="0.25">
      <c r="A247" s="61"/>
      <c r="G247" s="18"/>
      <c r="H247" s="40">
        <v>242</v>
      </c>
      <c r="I247" s="41" t="str">
        <f t="shared" si="27"/>
        <v/>
      </c>
      <c r="J247" s="40">
        <f t="shared" si="33"/>
        <v>-6</v>
      </c>
      <c r="K247" s="40">
        <f t="shared" si="28"/>
        <v>-60</v>
      </c>
      <c r="L247" s="40"/>
      <c r="M247" s="42">
        <f t="shared" si="29"/>
        <v>0</v>
      </c>
      <c r="O247" s="150">
        <v>242</v>
      </c>
      <c r="P247" s="150"/>
      <c r="Q247" s="150"/>
      <c r="R247" s="151" t="str">
        <f t="shared" si="34"/>
        <v/>
      </c>
      <c r="S247" s="153">
        <f t="shared" si="30"/>
        <v>-6</v>
      </c>
      <c r="T247" s="153">
        <f t="shared" si="31"/>
        <v>-60</v>
      </c>
      <c r="U247" s="151"/>
      <c r="V247" s="151">
        <f t="shared" si="32"/>
        <v>0</v>
      </c>
    </row>
    <row r="248" spans="1:22" x14ac:dyDescent="0.25">
      <c r="A248" s="61"/>
      <c r="G248" s="18"/>
      <c r="H248" s="40">
        <v>243</v>
      </c>
      <c r="I248" s="41" t="str">
        <f t="shared" si="27"/>
        <v/>
      </c>
      <c r="J248" s="40">
        <f t="shared" si="33"/>
        <v>-6</v>
      </c>
      <c r="K248" s="40">
        <f t="shared" si="28"/>
        <v>-60</v>
      </c>
      <c r="L248" s="40"/>
      <c r="M248" s="42">
        <f t="shared" si="29"/>
        <v>0</v>
      </c>
      <c r="O248" s="150">
        <v>243</v>
      </c>
      <c r="P248" s="150"/>
      <c r="Q248" s="150"/>
      <c r="R248" s="151" t="str">
        <f t="shared" si="34"/>
        <v/>
      </c>
      <c r="S248" s="153">
        <f t="shared" si="30"/>
        <v>-6</v>
      </c>
      <c r="T248" s="153">
        <f t="shared" si="31"/>
        <v>-60</v>
      </c>
      <c r="U248" s="151"/>
      <c r="V248" s="151">
        <f t="shared" si="32"/>
        <v>0</v>
      </c>
    </row>
    <row r="249" spans="1:22" x14ac:dyDescent="0.25">
      <c r="A249" s="61"/>
      <c r="G249" s="18"/>
      <c r="H249" s="40">
        <v>244</v>
      </c>
      <c r="I249" s="41" t="str">
        <f t="shared" si="27"/>
        <v/>
      </c>
      <c r="J249" s="40">
        <f t="shared" si="33"/>
        <v>-6</v>
      </c>
      <c r="K249" s="40">
        <f t="shared" si="28"/>
        <v>-60</v>
      </c>
      <c r="L249" s="40"/>
      <c r="M249" s="42">
        <f t="shared" si="29"/>
        <v>0</v>
      </c>
      <c r="O249" s="150">
        <v>244</v>
      </c>
      <c r="P249" s="150"/>
      <c r="Q249" s="150"/>
      <c r="R249" s="151" t="str">
        <f t="shared" si="34"/>
        <v/>
      </c>
      <c r="S249" s="153">
        <f t="shared" si="30"/>
        <v>-6</v>
      </c>
      <c r="T249" s="153">
        <f t="shared" si="31"/>
        <v>-60</v>
      </c>
      <c r="U249" s="151"/>
      <c r="V249" s="151">
        <f t="shared" si="32"/>
        <v>0</v>
      </c>
    </row>
    <row r="250" spans="1:22" x14ac:dyDescent="0.25">
      <c r="A250" s="61"/>
      <c r="G250" s="18"/>
      <c r="H250" s="40">
        <v>245</v>
      </c>
      <c r="I250" s="41" t="str">
        <f t="shared" si="27"/>
        <v/>
      </c>
      <c r="J250" s="40">
        <f t="shared" si="33"/>
        <v>-6</v>
      </c>
      <c r="K250" s="40">
        <f t="shared" si="28"/>
        <v>-60</v>
      </c>
      <c r="L250" s="40"/>
      <c r="M250" s="42">
        <f t="shared" si="29"/>
        <v>0</v>
      </c>
      <c r="O250" s="150">
        <v>245</v>
      </c>
      <c r="P250" s="150"/>
      <c r="Q250" s="150"/>
      <c r="R250" s="151" t="str">
        <f t="shared" si="34"/>
        <v/>
      </c>
      <c r="S250" s="153">
        <f t="shared" si="30"/>
        <v>-6</v>
      </c>
      <c r="T250" s="153">
        <f t="shared" si="31"/>
        <v>-60</v>
      </c>
      <c r="U250" s="151"/>
      <c r="V250" s="151">
        <f t="shared" si="32"/>
        <v>0</v>
      </c>
    </row>
    <row r="251" spans="1:22" x14ac:dyDescent="0.25">
      <c r="A251" s="61"/>
      <c r="G251" s="18"/>
      <c r="H251" s="40">
        <v>246</v>
      </c>
      <c r="I251" s="41" t="str">
        <f t="shared" si="27"/>
        <v/>
      </c>
      <c r="J251" s="40">
        <f t="shared" si="33"/>
        <v>-6</v>
      </c>
      <c r="K251" s="40">
        <f t="shared" si="28"/>
        <v>-60</v>
      </c>
      <c r="L251" s="40"/>
      <c r="M251" s="42">
        <f t="shared" si="29"/>
        <v>0</v>
      </c>
      <c r="O251" s="150">
        <v>246</v>
      </c>
      <c r="P251" s="150"/>
      <c r="Q251" s="150"/>
      <c r="R251" s="151" t="str">
        <f t="shared" si="34"/>
        <v/>
      </c>
      <c r="S251" s="153">
        <f t="shared" si="30"/>
        <v>-6</v>
      </c>
      <c r="T251" s="153">
        <f t="shared" si="31"/>
        <v>-60</v>
      </c>
      <c r="U251" s="151"/>
      <c r="V251" s="151">
        <f t="shared" si="32"/>
        <v>0</v>
      </c>
    </row>
    <row r="252" spans="1:22" x14ac:dyDescent="0.25">
      <c r="A252" s="61"/>
      <c r="G252" s="18"/>
      <c r="H252" s="40">
        <v>247</v>
      </c>
      <c r="I252" s="41" t="str">
        <f t="shared" si="27"/>
        <v/>
      </c>
      <c r="J252" s="40">
        <f t="shared" si="33"/>
        <v>-6</v>
      </c>
      <c r="K252" s="40">
        <f t="shared" si="28"/>
        <v>-60</v>
      </c>
      <c r="L252" s="40"/>
      <c r="M252" s="42">
        <f t="shared" si="29"/>
        <v>0</v>
      </c>
      <c r="O252" s="150">
        <v>247</v>
      </c>
      <c r="P252" s="150"/>
      <c r="Q252" s="150"/>
      <c r="R252" s="151" t="str">
        <f t="shared" si="34"/>
        <v/>
      </c>
      <c r="S252" s="153">
        <f t="shared" si="30"/>
        <v>-6</v>
      </c>
      <c r="T252" s="153">
        <f t="shared" si="31"/>
        <v>-60</v>
      </c>
      <c r="U252" s="151"/>
      <c r="V252" s="151">
        <f t="shared" si="32"/>
        <v>0</v>
      </c>
    </row>
    <row r="253" spans="1:22" x14ac:dyDescent="0.25">
      <c r="A253" s="61"/>
      <c r="G253" s="18"/>
      <c r="H253" s="40">
        <v>248</v>
      </c>
      <c r="I253" s="41" t="str">
        <f t="shared" si="27"/>
        <v/>
      </c>
      <c r="J253" s="40">
        <f t="shared" si="33"/>
        <v>-6</v>
      </c>
      <c r="K253" s="40">
        <f t="shared" si="28"/>
        <v>-60</v>
      </c>
      <c r="L253" s="40"/>
      <c r="M253" s="42">
        <f t="shared" si="29"/>
        <v>0</v>
      </c>
      <c r="O253" s="150">
        <v>248</v>
      </c>
      <c r="P253" s="150"/>
      <c r="Q253" s="150"/>
      <c r="R253" s="151" t="str">
        <f t="shared" si="34"/>
        <v/>
      </c>
      <c r="S253" s="153">
        <f t="shared" si="30"/>
        <v>-6</v>
      </c>
      <c r="T253" s="153">
        <f t="shared" si="31"/>
        <v>-60</v>
      </c>
      <c r="U253" s="151"/>
      <c r="V253" s="151">
        <f t="shared" si="32"/>
        <v>0</v>
      </c>
    </row>
    <row r="254" spans="1:22" x14ac:dyDescent="0.25">
      <c r="A254" s="61"/>
      <c r="G254" s="18"/>
      <c r="H254" s="40">
        <v>249</v>
      </c>
      <c r="I254" s="41" t="str">
        <f t="shared" si="27"/>
        <v/>
      </c>
      <c r="J254" s="40">
        <f t="shared" si="33"/>
        <v>-6</v>
      </c>
      <c r="K254" s="40">
        <f t="shared" si="28"/>
        <v>-60</v>
      </c>
      <c r="L254" s="40"/>
      <c r="M254" s="42">
        <f t="shared" si="29"/>
        <v>0</v>
      </c>
      <c r="O254" s="150">
        <v>249</v>
      </c>
      <c r="P254" s="150"/>
      <c r="Q254" s="150"/>
      <c r="R254" s="151" t="str">
        <f t="shared" si="34"/>
        <v/>
      </c>
      <c r="S254" s="153">
        <f t="shared" si="30"/>
        <v>-6</v>
      </c>
      <c r="T254" s="153">
        <f t="shared" si="31"/>
        <v>-60</v>
      </c>
      <c r="U254" s="151"/>
      <c r="V254" s="151">
        <f t="shared" si="32"/>
        <v>0</v>
      </c>
    </row>
    <row r="255" spans="1:22" x14ac:dyDescent="0.25">
      <c r="A255" s="61"/>
      <c r="G255" s="18"/>
      <c r="H255" s="40">
        <v>250</v>
      </c>
      <c r="I255" s="41" t="str">
        <f t="shared" si="27"/>
        <v/>
      </c>
      <c r="J255" s="40">
        <f t="shared" si="33"/>
        <v>-6</v>
      </c>
      <c r="K255" s="40">
        <f t="shared" si="28"/>
        <v>-60</v>
      </c>
      <c r="L255" s="40"/>
      <c r="M255" s="42">
        <f t="shared" si="29"/>
        <v>0</v>
      </c>
      <c r="O255" s="150">
        <v>250</v>
      </c>
      <c r="P255" s="150"/>
      <c r="Q255" s="150"/>
      <c r="R255" s="151" t="str">
        <f t="shared" si="34"/>
        <v/>
      </c>
      <c r="S255" s="153">
        <f t="shared" si="30"/>
        <v>-6</v>
      </c>
      <c r="T255" s="153">
        <f t="shared" si="31"/>
        <v>-60</v>
      </c>
      <c r="U255" s="151"/>
      <c r="V255" s="151">
        <f t="shared" si="32"/>
        <v>0</v>
      </c>
    </row>
    <row r="256" spans="1:22" x14ac:dyDescent="0.25">
      <c r="A256" s="61"/>
      <c r="G256" s="18"/>
      <c r="H256" s="40">
        <v>251</v>
      </c>
      <c r="I256" s="41" t="str">
        <f t="shared" si="27"/>
        <v/>
      </c>
      <c r="J256" s="40">
        <f t="shared" si="33"/>
        <v>-6</v>
      </c>
      <c r="K256" s="40">
        <f t="shared" si="28"/>
        <v>-60</v>
      </c>
      <c r="L256" s="40"/>
      <c r="M256" s="42">
        <f t="shared" si="29"/>
        <v>0</v>
      </c>
      <c r="O256" s="150">
        <v>251</v>
      </c>
      <c r="P256" s="150"/>
      <c r="Q256" s="150"/>
      <c r="R256" s="151" t="str">
        <f t="shared" si="34"/>
        <v/>
      </c>
      <c r="S256" s="153">
        <f t="shared" si="30"/>
        <v>-6</v>
      </c>
      <c r="T256" s="153">
        <f t="shared" si="31"/>
        <v>-60</v>
      </c>
      <c r="U256" s="151"/>
      <c r="V256" s="151">
        <f t="shared" si="32"/>
        <v>0</v>
      </c>
    </row>
    <row r="257" spans="1:22" x14ac:dyDescent="0.25">
      <c r="A257" s="61"/>
      <c r="G257" s="18"/>
      <c r="H257" s="40">
        <v>252</v>
      </c>
      <c r="I257" s="41" t="str">
        <f t="shared" si="27"/>
        <v/>
      </c>
      <c r="J257" s="40">
        <f t="shared" si="33"/>
        <v>-6</v>
      </c>
      <c r="K257" s="40">
        <f t="shared" si="28"/>
        <v>-60</v>
      </c>
      <c r="L257" s="40"/>
      <c r="M257" s="42">
        <f t="shared" si="29"/>
        <v>0</v>
      </c>
      <c r="O257" s="150">
        <v>252</v>
      </c>
      <c r="P257" s="150"/>
      <c r="Q257" s="150"/>
      <c r="R257" s="151" t="str">
        <f t="shared" si="34"/>
        <v/>
      </c>
      <c r="S257" s="153">
        <f t="shared" si="30"/>
        <v>-6</v>
      </c>
      <c r="T257" s="153">
        <f t="shared" si="31"/>
        <v>-60</v>
      </c>
      <c r="U257" s="151"/>
      <c r="V257" s="151">
        <f t="shared" si="32"/>
        <v>0</v>
      </c>
    </row>
    <row r="258" spans="1:22" x14ac:dyDescent="0.25">
      <c r="A258" s="61"/>
      <c r="G258" s="18"/>
      <c r="H258" s="40">
        <v>253</v>
      </c>
      <c r="I258" s="41" t="str">
        <f t="shared" si="27"/>
        <v/>
      </c>
      <c r="J258" s="40">
        <f t="shared" si="33"/>
        <v>-6</v>
      </c>
      <c r="K258" s="40">
        <f t="shared" si="28"/>
        <v>-60</v>
      </c>
      <c r="L258" s="40"/>
      <c r="M258" s="42">
        <f t="shared" si="29"/>
        <v>0</v>
      </c>
      <c r="O258" s="150">
        <v>253</v>
      </c>
      <c r="P258" s="150"/>
      <c r="Q258" s="150"/>
      <c r="R258" s="151" t="str">
        <f t="shared" si="34"/>
        <v/>
      </c>
      <c r="S258" s="153">
        <f t="shared" si="30"/>
        <v>-6</v>
      </c>
      <c r="T258" s="153">
        <f t="shared" si="31"/>
        <v>-60</v>
      </c>
      <c r="U258" s="151"/>
      <c r="V258" s="151">
        <f t="shared" si="32"/>
        <v>0</v>
      </c>
    </row>
    <row r="259" spans="1:22" x14ac:dyDescent="0.25">
      <c r="A259" s="61"/>
      <c r="G259" s="18"/>
      <c r="H259" s="40">
        <v>254</v>
      </c>
      <c r="I259" s="41" t="str">
        <f t="shared" si="27"/>
        <v/>
      </c>
      <c r="J259" s="40">
        <f t="shared" si="33"/>
        <v>-6</v>
      </c>
      <c r="K259" s="40">
        <f t="shared" si="28"/>
        <v>-60</v>
      </c>
      <c r="L259" s="40"/>
      <c r="M259" s="42">
        <f t="shared" si="29"/>
        <v>0</v>
      </c>
      <c r="O259" s="150">
        <v>254</v>
      </c>
      <c r="P259" s="150"/>
      <c r="Q259" s="150"/>
      <c r="R259" s="151" t="str">
        <f t="shared" si="34"/>
        <v/>
      </c>
      <c r="S259" s="153">
        <f t="shared" si="30"/>
        <v>-6</v>
      </c>
      <c r="T259" s="153">
        <f t="shared" si="31"/>
        <v>-60</v>
      </c>
      <c r="U259" s="151"/>
      <c r="V259" s="151">
        <f t="shared" si="32"/>
        <v>0</v>
      </c>
    </row>
    <row r="260" spans="1:22" x14ac:dyDescent="0.25">
      <c r="A260" s="61"/>
      <c r="G260" s="18"/>
      <c r="H260" s="40">
        <v>255</v>
      </c>
      <c r="I260" s="41" t="str">
        <f t="shared" si="27"/>
        <v/>
      </c>
      <c r="J260" s="40">
        <f t="shared" si="33"/>
        <v>-6</v>
      </c>
      <c r="K260" s="40">
        <f t="shared" si="28"/>
        <v>-60</v>
      </c>
      <c r="L260" s="40"/>
      <c r="M260" s="42">
        <f t="shared" si="29"/>
        <v>0</v>
      </c>
      <c r="O260" s="150">
        <v>255</v>
      </c>
      <c r="P260" s="150"/>
      <c r="Q260" s="150"/>
      <c r="R260" s="151" t="str">
        <f t="shared" si="34"/>
        <v/>
      </c>
      <c r="S260" s="153">
        <f t="shared" si="30"/>
        <v>-6</v>
      </c>
      <c r="T260" s="153">
        <f t="shared" si="31"/>
        <v>-60</v>
      </c>
      <c r="U260" s="151"/>
      <c r="V260" s="151">
        <f t="shared" si="32"/>
        <v>0</v>
      </c>
    </row>
    <row r="261" spans="1:22" x14ac:dyDescent="0.25">
      <c r="A261" s="61"/>
      <c r="G261" s="18"/>
      <c r="H261" s="40">
        <v>256</v>
      </c>
      <c r="I261" s="41" t="str">
        <f t="shared" si="27"/>
        <v/>
      </c>
      <c r="J261" s="40">
        <f t="shared" si="33"/>
        <v>-6</v>
      </c>
      <c r="K261" s="40">
        <f t="shared" si="28"/>
        <v>-60</v>
      </c>
      <c r="L261" s="40"/>
      <c r="M261" s="42">
        <f t="shared" si="29"/>
        <v>0</v>
      </c>
      <c r="O261" s="150">
        <v>256</v>
      </c>
      <c r="P261" s="150"/>
      <c r="Q261" s="150"/>
      <c r="R261" s="151" t="str">
        <f t="shared" si="34"/>
        <v/>
      </c>
      <c r="S261" s="153">
        <f t="shared" si="30"/>
        <v>-6</v>
      </c>
      <c r="T261" s="153">
        <f t="shared" si="31"/>
        <v>-60</v>
      </c>
      <c r="U261" s="151"/>
      <c r="V261" s="151">
        <f t="shared" si="32"/>
        <v>0</v>
      </c>
    </row>
    <row r="262" spans="1:22" x14ac:dyDescent="0.25">
      <c r="A262" s="61"/>
      <c r="G262" s="18"/>
      <c r="H262" s="40">
        <v>257</v>
      </c>
      <c r="I262" s="41" t="str">
        <f t="shared" ref="I262:I305" si="35">IF(H262&lt;$H$2+1,($I$2-($I$2-1)*(LOG(H262)/LOG($H$2))),"")</f>
        <v/>
      </c>
      <c r="J262" s="40">
        <f t="shared" si="33"/>
        <v>-7</v>
      </c>
      <c r="K262" s="40">
        <f t="shared" ref="K262:K305" si="36">J262*$J$2</f>
        <v>-70</v>
      </c>
      <c r="L262" s="40"/>
      <c r="M262" s="42">
        <f t="shared" ref="M262:M305" si="37">IF(I262&lt;&gt;"",K262+I262+L262,0)</f>
        <v>0</v>
      </c>
      <c r="O262" s="150">
        <v>257</v>
      </c>
      <c r="P262" s="150"/>
      <c r="Q262" s="150"/>
      <c r="R262" s="151" t="str">
        <f t="shared" si="34"/>
        <v/>
      </c>
      <c r="S262" s="153">
        <f t="shared" ref="S262:S305" si="38">INT(LOG($O$2,2))-ROUNDUP(LOG(O262,2),0)+IF(OR($O$2=1,$O$2=2,$O$2=4,$O$2=8,$O$2=16,$O$2=32,$O$2=64,$O$2=128,$O$2=256),0,1)</f>
        <v>-7</v>
      </c>
      <c r="T262" s="153">
        <f t="shared" ref="T262:T305" si="39">S262*$J$2</f>
        <v>-70</v>
      </c>
      <c r="U262" s="151"/>
      <c r="V262" s="151">
        <f t="shared" ref="V262:V305" si="40">IF(R262&lt;&gt;"",T262+R262+U262,0)</f>
        <v>0</v>
      </c>
    </row>
    <row r="263" spans="1:22" x14ac:dyDescent="0.25">
      <c r="A263" s="61"/>
      <c r="G263" s="18"/>
      <c r="H263" s="40">
        <v>258</v>
      </c>
      <c r="I263" s="41" t="str">
        <f t="shared" si="35"/>
        <v/>
      </c>
      <c r="J263" s="40">
        <f t="shared" ref="J263:J305" si="41">INT(LOG($H$2,2))-ROUNDUP(LOG(H263,2),0)+IF(OR($H$2=1,$H$2=2,$H$2=4,$H$2=8,$H$2=16,$H$2=32,$H$2=64,$H$2=128,$H$2=256),0,1)</f>
        <v>-7</v>
      </c>
      <c r="K263" s="40">
        <f t="shared" si="36"/>
        <v>-70</v>
      </c>
      <c r="L263" s="40"/>
      <c r="M263" s="42">
        <f t="shared" si="37"/>
        <v>0</v>
      </c>
      <c r="O263" s="150">
        <v>258</v>
      </c>
      <c r="P263" s="150"/>
      <c r="Q263" s="150"/>
      <c r="R263" s="151" t="str">
        <f t="shared" ref="R263:R305" si="42">IF(O263&lt;$O$2+1,($I$2-($I$2-1)*(LOG(O263)/LOG($O$2))),"")</f>
        <v/>
      </c>
      <c r="S263" s="153">
        <f t="shared" si="38"/>
        <v>-7</v>
      </c>
      <c r="T263" s="153">
        <f t="shared" si="39"/>
        <v>-70</v>
      </c>
      <c r="U263" s="151"/>
      <c r="V263" s="151">
        <f t="shared" si="40"/>
        <v>0</v>
      </c>
    </row>
    <row r="264" spans="1:22" x14ac:dyDescent="0.25">
      <c r="A264" s="61"/>
      <c r="G264" s="18"/>
      <c r="H264" s="40">
        <v>259</v>
      </c>
      <c r="I264" s="41" t="str">
        <f t="shared" si="35"/>
        <v/>
      </c>
      <c r="J264" s="40">
        <f t="shared" si="41"/>
        <v>-7</v>
      </c>
      <c r="K264" s="40">
        <f t="shared" si="36"/>
        <v>-70</v>
      </c>
      <c r="L264" s="40"/>
      <c r="M264" s="42">
        <f t="shared" si="37"/>
        <v>0</v>
      </c>
      <c r="O264" s="150">
        <v>259</v>
      </c>
      <c r="P264" s="150"/>
      <c r="Q264" s="150"/>
      <c r="R264" s="151" t="str">
        <f t="shared" si="42"/>
        <v/>
      </c>
      <c r="S264" s="153">
        <f t="shared" si="38"/>
        <v>-7</v>
      </c>
      <c r="T264" s="153">
        <f t="shared" si="39"/>
        <v>-70</v>
      </c>
      <c r="U264" s="151"/>
      <c r="V264" s="151">
        <f t="shared" si="40"/>
        <v>0</v>
      </c>
    </row>
    <row r="265" spans="1:22" x14ac:dyDescent="0.25">
      <c r="A265" s="61"/>
      <c r="G265" s="18"/>
      <c r="H265" s="40">
        <v>260</v>
      </c>
      <c r="I265" s="41" t="str">
        <f t="shared" si="35"/>
        <v/>
      </c>
      <c r="J265" s="40">
        <f t="shared" si="41"/>
        <v>-7</v>
      </c>
      <c r="K265" s="40">
        <f t="shared" si="36"/>
        <v>-70</v>
      </c>
      <c r="L265" s="40"/>
      <c r="M265" s="42">
        <f t="shared" si="37"/>
        <v>0</v>
      </c>
      <c r="O265" s="150">
        <v>260</v>
      </c>
      <c r="P265" s="150"/>
      <c r="Q265" s="150"/>
      <c r="R265" s="151" t="str">
        <f t="shared" si="42"/>
        <v/>
      </c>
      <c r="S265" s="153">
        <f t="shared" si="38"/>
        <v>-7</v>
      </c>
      <c r="T265" s="153">
        <f t="shared" si="39"/>
        <v>-70</v>
      </c>
      <c r="U265" s="151"/>
      <c r="V265" s="151">
        <f t="shared" si="40"/>
        <v>0</v>
      </c>
    </row>
    <row r="266" spans="1:22" x14ac:dyDescent="0.25">
      <c r="A266" s="61"/>
      <c r="G266" s="18"/>
      <c r="H266" s="40">
        <v>261</v>
      </c>
      <c r="I266" s="41" t="str">
        <f t="shared" si="35"/>
        <v/>
      </c>
      <c r="J266" s="40">
        <f t="shared" si="41"/>
        <v>-7</v>
      </c>
      <c r="K266" s="40">
        <f t="shared" si="36"/>
        <v>-70</v>
      </c>
      <c r="L266" s="40"/>
      <c r="M266" s="42">
        <f t="shared" si="37"/>
        <v>0</v>
      </c>
      <c r="O266" s="150">
        <v>261</v>
      </c>
      <c r="P266" s="150"/>
      <c r="Q266" s="150"/>
      <c r="R266" s="151" t="str">
        <f t="shared" si="42"/>
        <v/>
      </c>
      <c r="S266" s="153">
        <f t="shared" si="38"/>
        <v>-7</v>
      </c>
      <c r="T266" s="153">
        <f t="shared" si="39"/>
        <v>-70</v>
      </c>
      <c r="U266" s="151"/>
      <c r="V266" s="151">
        <f t="shared" si="40"/>
        <v>0</v>
      </c>
    </row>
    <row r="267" spans="1:22" x14ac:dyDescent="0.25">
      <c r="A267" s="61"/>
      <c r="G267" s="18"/>
      <c r="H267" s="40">
        <v>262</v>
      </c>
      <c r="I267" s="41" t="str">
        <f t="shared" si="35"/>
        <v/>
      </c>
      <c r="J267" s="40">
        <f t="shared" si="41"/>
        <v>-7</v>
      </c>
      <c r="K267" s="40">
        <f t="shared" si="36"/>
        <v>-70</v>
      </c>
      <c r="L267" s="40"/>
      <c r="M267" s="42">
        <f t="shared" si="37"/>
        <v>0</v>
      </c>
      <c r="O267" s="150">
        <v>262</v>
      </c>
      <c r="P267" s="150"/>
      <c r="Q267" s="150"/>
      <c r="R267" s="151" t="str">
        <f t="shared" si="42"/>
        <v/>
      </c>
      <c r="S267" s="153">
        <f t="shared" si="38"/>
        <v>-7</v>
      </c>
      <c r="T267" s="153">
        <f t="shared" si="39"/>
        <v>-70</v>
      </c>
      <c r="U267" s="151"/>
      <c r="V267" s="151">
        <f t="shared" si="40"/>
        <v>0</v>
      </c>
    </row>
    <row r="268" spans="1:22" x14ac:dyDescent="0.25">
      <c r="A268" s="61"/>
      <c r="G268" s="18"/>
      <c r="H268" s="40">
        <v>263</v>
      </c>
      <c r="I268" s="41" t="str">
        <f t="shared" si="35"/>
        <v/>
      </c>
      <c r="J268" s="40">
        <f t="shared" si="41"/>
        <v>-7</v>
      </c>
      <c r="K268" s="40">
        <f t="shared" si="36"/>
        <v>-70</v>
      </c>
      <c r="L268" s="40"/>
      <c r="M268" s="42">
        <f t="shared" si="37"/>
        <v>0</v>
      </c>
      <c r="O268" s="150">
        <v>263</v>
      </c>
      <c r="P268" s="150"/>
      <c r="Q268" s="150"/>
      <c r="R268" s="151" t="str">
        <f t="shared" si="42"/>
        <v/>
      </c>
      <c r="S268" s="153">
        <f t="shared" si="38"/>
        <v>-7</v>
      </c>
      <c r="T268" s="153">
        <f t="shared" si="39"/>
        <v>-70</v>
      </c>
      <c r="U268" s="151"/>
      <c r="V268" s="151">
        <f t="shared" si="40"/>
        <v>0</v>
      </c>
    </row>
    <row r="269" spans="1:22" x14ac:dyDescent="0.25">
      <c r="A269" s="61"/>
      <c r="G269" s="18"/>
      <c r="H269" s="40">
        <v>264</v>
      </c>
      <c r="I269" s="41" t="str">
        <f t="shared" si="35"/>
        <v/>
      </c>
      <c r="J269" s="40">
        <f t="shared" si="41"/>
        <v>-7</v>
      </c>
      <c r="K269" s="40">
        <f t="shared" si="36"/>
        <v>-70</v>
      </c>
      <c r="L269" s="40"/>
      <c r="M269" s="42">
        <f t="shared" si="37"/>
        <v>0</v>
      </c>
      <c r="O269" s="150">
        <v>264</v>
      </c>
      <c r="P269" s="150"/>
      <c r="Q269" s="150"/>
      <c r="R269" s="151" t="str">
        <f t="shared" si="42"/>
        <v/>
      </c>
      <c r="S269" s="153">
        <f t="shared" si="38"/>
        <v>-7</v>
      </c>
      <c r="T269" s="153">
        <f t="shared" si="39"/>
        <v>-70</v>
      </c>
      <c r="U269" s="151"/>
      <c r="V269" s="151">
        <f t="shared" si="40"/>
        <v>0</v>
      </c>
    </row>
    <row r="270" spans="1:22" x14ac:dyDescent="0.25">
      <c r="A270" s="61"/>
      <c r="G270" s="18"/>
      <c r="H270" s="40">
        <v>265</v>
      </c>
      <c r="I270" s="41" t="str">
        <f t="shared" si="35"/>
        <v/>
      </c>
      <c r="J270" s="40">
        <f t="shared" si="41"/>
        <v>-7</v>
      </c>
      <c r="K270" s="40">
        <f t="shared" si="36"/>
        <v>-70</v>
      </c>
      <c r="L270" s="40"/>
      <c r="M270" s="42">
        <f t="shared" si="37"/>
        <v>0</v>
      </c>
      <c r="O270" s="150">
        <v>265</v>
      </c>
      <c r="P270" s="150"/>
      <c r="Q270" s="150"/>
      <c r="R270" s="151" t="str">
        <f t="shared" si="42"/>
        <v/>
      </c>
      <c r="S270" s="153">
        <f t="shared" si="38"/>
        <v>-7</v>
      </c>
      <c r="T270" s="153">
        <f t="shared" si="39"/>
        <v>-70</v>
      </c>
      <c r="U270" s="151"/>
      <c r="V270" s="151">
        <f t="shared" si="40"/>
        <v>0</v>
      </c>
    </row>
    <row r="271" spans="1:22" x14ac:dyDescent="0.25">
      <c r="A271" s="61"/>
      <c r="G271" s="18"/>
      <c r="H271" s="40">
        <v>266</v>
      </c>
      <c r="I271" s="41" t="str">
        <f t="shared" si="35"/>
        <v/>
      </c>
      <c r="J271" s="40">
        <f t="shared" si="41"/>
        <v>-7</v>
      </c>
      <c r="K271" s="40">
        <f t="shared" si="36"/>
        <v>-70</v>
      </c>
      <c r="L271" s="40"/>
      <c r="M271" s="42">
        <f t="shared" si="37"/>
        <v>0</v>
      </c>
      <c r="O271" s="150">
        <v>266</v>
      </c>
      <c r="P271" s="150"/>
      <c r="Q271" s="150"/>
      <c r="R271" s="151" t="str">
        <f t="shared" si="42"/>
        <v/>
      </c>
      <c r="S271" s="153">
        <f t="shared" si="38"/>
        <v>-7</v>
      </c>
      <c r="T271" s="153">
        <f t="shared" si="39"/>
        <v>-70</v>
      </c>
      <c r="U271" s="151"/>
      <c r="V271" s="151">
        <f t="shared" si="40"/>
        <v>0</v>
      </c>
    </row>
    <row r="272" spans="1:22" x14ac:dyDescent="0.25">
      <c r="A272" s="61"/>
      <c r="G272" s="18"/>
      <c r="H272" s="40">
        <v>267</v>
      </c>
      <c r="I272" s="41" t="str">
        <f t="shared" si="35"/>
        <v/>
      </c>
      <c r="J272" s="40">
        <f t="shared" si="41"/>
        <v>-7</v>
      </c>
      <c r="K272" s="40">
        <f t="shared" si="36"/>
        <v>-70</v>
      </c>
      <c r="L272" s="40"/>
      <c r="M272" s="42">
        <f t="shared" si="37"/>
        <v>0</v>
      </c>
      <c r="O272" s="150">
        <v>267</v>
      </c>
      <c r="P272" s="150"/>
      <c r="Q272" s="150"/>
      <c r="R272" s="151" t="str">
        <f t="shared" si="42"/>
        <v/>
      </c>
      <c r="S272" s="153">
        <f t="shared" si="38"/>
        <v>-7</v>
      </c>
      <c r="T272" s="153">
        <f t="shared" si="39"/>
        <v>-70</v>
      </c>
      <c r="U272" s="151"/>
      <c r="V272" s="151">
        <f t="shared" si="40"/>
        <v>0</v>
      </c>
    </row>
    <row r="273" spans="1:22" x14ac:dyDescent="0.25">
      <c r="A273" s="61"/>
      <c r="G273" s="18"/>
      <c r="H273" s="40">
        <v>268</v>
      </c>
      <c r="I273" s="41" t="str">
        <f t="shared" si="35"/>
        <v/>
      </c>
      <c r="J273" s="40">
        <f t="shared" si="41"/>
        <v>-7</v>
      </c>
      <c r="K273" s="40">
        <f t="shared" si="36"/>
        <v>-70</v>
      </c>
      <c r="L273" s="40"/>
      <c r="M273" s="42">
        <f t="shared" si="37"/>
        <v>0</v>
      </c>
      <c r="O273" s="150">
        <v>268</v>
      </c>
      <c r="P273" s="150"/>
      <c r="Q273" s="150"/>
      <c r="R273" s="151" t="str">
        <f t="shared" si="42"/>
        <v/>
      </c>
      <c r="S273" s="153">
        <f t="shared" si="38"/>
        <v>-7</v>
      </c>
      <c r="T273" s="153">
        <f t="shared" si="39"/>
        <v>-70</v>
      </c>
      <c r="U273" s="151"/>
      <c r="V273" s="151">
        <f t="shared" si="40"/>
        <v>0</v>
      </c>
    </row>
    <row r="274" spans="1:22" x14ac:dyDescent="0.25">
      <c r="A274" s="61"/>
      <c r="G274" s="18"/>
      <c r="H274" s="40">
        <v>269</v>
      </c>
      <c r="I274" s="41" t="str">
        <f t="shared" si="35"/>
        <v/>
      </c>
      <c r="J274" s="40">
        <f t="shared" si="41"/>
        <v>-7</v>
      </c>
      <c r="K274" s="40">
        <f t="shared" si="36"/>
        <v>-70</v>
      </c>
      <c r="L274" s="40"/>
      <c r="M274" s="42">
        <f t="shared" si="37"/>
        <v>0</v>
      </c>
      <c r="O274" s="150">
        <v>269</v>
      </c>
      <c r="P274" s="150"/>
      <c r="Q274" s="150"/>
      <c r="R274" s="151" t="str">
        <f t="shared" si="42"/>
        <v/>
      </c>
      <c r="S274" s="153">
        <f t="shared" si="38"/>
        <v>-7</v>
      </c>
      <c r="T274" s="153">
        <f t="shared" si="39"/>
        <v>-70</v>
      </c>
      <c r="U274" s="151"/>
      <c r="V274" s="151">
        <f t="shared" si="40"/>
        <v>0</v>
      </c>
    </row>
    <row r="275" spans="1:22" x14ac:dyDescent="0.25">
      <c r="A275" s="61"/>
      <c r="G275" s="18"/>
      <c r="H275" s="40">
        <v>270</v>
      </c>
      <c r="I275" s="41" t="str">
        <f t="shared" si="35"/>
        <v/>
      </c>
      <c r="J275" s="40">
        <f t="shared" si="41"/>
        <v>-7</v>
      </c>
      <c r="K275" s="40">
        <f t="shared" si="36"/>
        <v>-70</v>
      </c>
      <c r="L275" s="40"/>
      <c r="M275" s="42">
        <f t="shared" si="37"/>
        <v>0</v>
      </c>
      <c r="O275" s="150">
        <v>270</v>
      </c>
      <c r="P275" s="150"/>
      <c r="Q275" s="150"/>
      <c r="R275" s="151" t="str">
        <f t="shared" si="42"/>
        <v/>
      </c>
      <c r="S275" s="153">
        <f t="shared" si="38"/>
        <v>-7</v>
      </c>
      <c r="T275" s="153">
        <f t="shared" si="39"/>
        <v>-70</v>
      </c>
      <c r="U275" s="151"/>
      <c r="V275" s="151">
        <f t="shared" si="40"/>
        <v>0</v>
      </c>
    </row>
    <row r="276" spans="1:22" x14ac:dyDescent="0.25">
      <c r="A276" s="61"/>
      <c r="G276" s="18"/>
      <c r="H276" s="40">
        <v>271</v>
      </c>
      <c r="I276" s="41" t="str">
        <f t="shared" si="35"/>
        <v/>
      </c>
      <c r="J276" s="40">
        <f t="shared" si="41"/>
        <v>-7</v>
      </c>
      <c r="K276" s="40">
        <f t="shared" si="36"/>
        <v>-70</v>
      </c>
      <c r="L276" s="40"/>
      <c r="M276" s="42">
        <f t="shared" si="37"/>
        <v>0</v>
      </c>
      <c r="O276" s="150">
        <v>271</v>
      </c>
      <c r="P276" s="150"/>
      <c r="Q276" s="150"/>
      <c r="R276" s="151" t="str">
        <f t="shared" si="42"/>
        <v/>
      </c>
      <c r="S276" s="153">
        <f t="shared" si="38"/>
        <v>-7</v>
      </c>
      <c r="T276" s="153">
        <f t="shared" si="39"/>
        <v>-70</v>
      </c>
      <c r="U276" s="151"/>
      <c r="V276" s="151">
        <f t="shared" si="40"/>
        <v>0</v>
      </c>
    </row>
    <row r="277" spans="1:22" x14ac:dyDescent="0.25">
      <c r="A277" s="61"/>
      <c r="G277" s="18"/>
      <c r="H277" s="40">
        <v>272</v>
      </c>
      <c r="I277" s="41" t="str">
        <f t="shared" si="35"/>
        <v/>
      </c>
      <c r="J277" s="40">
        <f t="shared" si="41"/>
        <v>-7</v>
      </c>
      <c r="K277" s="40">
        <f t="shared" si="36"/>
        <v>-70</v>
      </c>
      <c r="L277" s="40"/>
      <c r="M277" s="42">
        <f t="shared" si="37"/>
        <v>0</v>
      </c>
      <c r="O277" s="150">
        <v>272</v>
      </c>
      <c r="P277" s="150"/>
      <c r="Q277" s="150"/>
      <c r="R277" s="151" t="str">
        <f t="shared" si="42"/>
        <v/>
      </c>
      <c r="S277" s="153">
        <f t="shared" si="38"/>
        <v>-7</v>
      </c>
      <c r="T277" s="153">
        <f t="shared" si="39"/>
        <v>-70</v>
      </c>
      <c r="U277" s="151"/>
      <c r="V277" s="151">
        <f t="shared" si="40"/>
        <v>0</v>
      </c>
    </row>
    <row r="278" spans="1:22" x14ac:dyDescent="0.25">
      <c r="A278" s="61"/>
      <c r="G278" s="18"/>
      <c r="H278" s="40">
        <v>273</v>
      </c>
      <c r="I278" s="41" t="str">
        <f t="shared" si="35"/>
        <v/>
      </c>
      <c r="J278" s="40">
        <f t="shared" si="41"/>
        <v>-7</v>
      </c>
      <c r="K278" s="40">
        <f t="shared" si="36"/>
        <v>-70</v>
      </c>
      <c r="L278" s="40"/>
      <c r="M278" s="42">
        <f t="shared" si="37"/>
        <v>0</v>
      </c>
      <c r="O278" s="150">
        <v>273</v>
      </c>
      <c r="P278" s="150"/>
      <c r="Q278" s="150"/>
      <c r="R278" s="151" t="str">
        <f t="shared" si="42"/>
        <v/>
      </c>
      <c r="S278" s="153">
        <f t="shared" si="38"/>
        <v>-7</v>
      </c>
      <c r="T278" s="153">
        <f t="shared" si="39"/>
        <v>-70</v>
      </c>
      <c r="U278" s="151"/>
      <c r="V278" s="151">
        <f t="shared" si="40"/>
        <v>0</v>
      </c>
    </row>
    <row r="279" spans="1:22" x14ac:dyDescent="0.25">
      <c r="A279" s="61"/>
      <c r="G279" s="18"/>
      <c r="H279" s="40">
        <v>274</v>
      </c>
      <c r="I279" s="41" t="str">
        <f t="shared" si="35"/>
        <v/>
      </c>
      <c r="J279" s="40">
        <f t="shared" si="41"/>
        <v>-7</v>
      </c>
      <c r="K279" s="40">
        <f t="shared" si="36"/>
        <v>-70</v>
      </c>
      <c r="L279" s="40"/>
      <c r="M279" s="42">
        <f t="shared" si="37"/>
        <v>0</v>
      </c>
      <c r="O279" s="150">
        <v>274</v>
      </c>
      <c r="P279" s="150"/>
      <c r="Q279" s="150"/>
      <c r="R279" s="151" t="str">
        <f t="shared" si="42"/>
        <v/>
      </c>
      <c r="S279" s="153">
        <f t="shared" si="38"/>
        <v>-7</v>
      </c>
      <c r="T279" s="153">
        <f t="shared" si="39"/>
        <v>-70</v>
      </c>
      <c r="U279" s="151"/>
      <c r="V279" s="151">
        <f t="shared" si="40"/>
        <v>0</v>
      </c>
    </row>
    <row r="280" spans="1:22" x14ac:dyDescent="0.25">
      <c r="A280" s="61"/>
      <c r="G280" s="18"/>
      <c r="H280" s="40">
        <v>275</v>
      </c>
      <c r="I280" s="41" t="str">
        <f t="shared" si="35"/>
        <v/>
      </c>
      <c r="J280" s="40">
        <f t="shared" si="41"/>
        <v>-7</v>
      </c>
      <c r="K280" s="40">
        <f t="shared" si="36"/>
        <v>-70</v>
      </c>
      <c r="L280" s="40"/>
      <c r="M280" s="42">
        <f t="shared" si="37"/>
        <v>0</v>
      </c>
      <c r="O280" s="150">
        <v>275</v>
      </c>
      <c r="P280" s="150"/>
      <c r="Q280" s="150"/>
      <c r="R280" s="151" t="str">
        <f t="shared" si="42"/>
        <v/>
      </c>
      <c r="S280" s="153">
        <f t="shared" si="38"/>
        <v>-7</v>
      </c>
      <c r="T280" s="153">
        <f t="shared" si="39"/>
        <v>-70</v>
      </c>
      <c r="U280" s="151"/>
      <c r="V280" s="151">
        <f t="shared" si="40"/>
        <v>0</v>
      </c>
    </row>
    <row r="281" spans="1:22" x14ac:dyDescent="0.25">
      <c r="A281" s="61"/>
      <c r="G281" s="18"/>
      <c r="H281" s="40">
        <v>276</v>
      </c>
      <c r="I281" s="41" t="str">
        <f t="shared" si="35"/>
        <v/>
      </c>
      <c r="J281" s="40">
        <f t="shared" si="41"/>
        <v>-7</v>
      </c>
      <c r="K281" s="40">
        <f t="shared" si="36"/>
        <v>-70</v>
      </c>
      <c r="L281" s="40"/>
      <c r="M281" s="42">
        <f t="shared" si="37"/>
        <v>0</v>
      </c>
      <c r="O281" s="150">
        <v>276</v>
      </c>
      <c r="P281" s="150"/>
      <c r="Q281" s="150"/>
      <c r="R281" s="151" t="str">
        <f t="shared" si="42"/>
        <v/>
      </c>
      <c r="S281" s="153">
        <f t="shared" si="38"/>
        <v>-7</v>
      </c>
      <c r="T281" s="153">
        <f t="shared" si="39"/>
        <v>-70</v>
      </c>
      <c r="U281" s="151"/>
      <c r="V281" s="151">
        <f t="shared" si="40"/>
        <v>0</v>
      </c>
    </row>
    <row r="282" spans="1:22" x14ac:dyDescent="0.25">
      <c r="A282" s="61"/>
      <c r="G282" s="18"/>
      <c r="H282" s="40">
        <v>277</v>
      </c>
      <c r="I282" s="41" t="str">
        <f t="shared" si="35"/>
        <v/>
      </c>
      <c r="J282" s="40">
        <f t="shared" si="41"/>
        <v>-7</v>
      </c>
      <c r="K282" s="40">
        <f t="shared" si="36"/>
        <v>-70</v>
      </c>
      <c r="L282" s="40"/>
      <c r="M282" s="42">
        <f t="shared" si="37"/>
        <v>0</v>
      </c>
      <c r="O282" s="150">
        <v>277</v>
      </c>
      <c r="P282" s="150"/>
      <c r="Q282" s="150"/>
      <c r="R282" s="151" t="str">
        <f t="shared" si="42"/>
        <v/>
      </c>
      <c r="S282" s="153">
        <f t="shared" si="38"/>
        <v>-7</v>
      </c>
      <c r="T282" s="153">
        <f t="shared" si="39"/>
        <v>-70</v>
      </c>
      <c r="U282" s="151"/>
      <c r="V282" s="151">
        <f t="shared" si="40"/>
        <v>0</v>
      </c>
    </row>
    <row r="283" spans="1:22" x14ac:dyDescent="0.25">
      <c r="A283" s="61"/>
      <c r="G283" s="18"/>
      <c r="H283" s="40">
        <v>278</v>
      </c>
      <c r="I283" s="41" t="str">
        <f t="shared" si="35"/>
        <v/>
      </c>
      <c r="J283" s="40">
        <f t="shared" si="41"/>
        <v>-7</v>
      </c>
      <c r="K283" s="40">
        <f t="shared" si="36"/>
        <v>-70</v>
      </c>
      <c r="L283" s="40"/>
      <c r="M283" s="42">
        <f t="shared" si="37"/>
        <v>0</v>
      </c>
      <c r="O283" s="150">
        <v>278</v>
      </c>
      <c r="P283" s="150"/>
      <c r="Q283" s="150"/>
      <c r="R283" s="151" t="str">
        <f t="shared" si="42"/>
        <v/>
      </c>
      <c r="S283" s="153">
        <f t="shared" si="38"/>
        <v>-7</v>
      </c>
      <c r="T283" s="153">
        <f t="shared" si="39"/>
        <v>-70</v>
      </c>
      <c r="U283" s="151"/>
      <c r="V283" s="151">
        <f t="shared" si="40"/>
        <v>0</v>
      </c>
    </row>
    <row r="284" spans="1:22" x14ac:dyDescent="0.25">
      <c r="A284" s="61"/>
      <c r="G284" s="18"/>
      <c r="H284" s="40">
        <v>279</v>
      </c>
      <c r="I284" s="41" t="str">
        <f t="shared" si="35"/>
        <v/>
      </c>
      <c r="J284" s="40">
        <f t="shared" si="41"/>
        <v>-7</v>
      </c>
      <c r="K284" s="40">
        <f t="shared" si="36"/>
        <v>-70</v>
      </c>
      <c r="L284" s="40"/>
      <c r="M284" s="42">
        <f t="shared" si="37"/>
        <v>0</v>
      </c>
      <c r="O284" s="150">
        <v>279</v>
      </c>
      <c r="P284" s="150"/>
      <c r="Q284" s="150"/>
      <c r="R284" s="151" t="str">
        <f t="shared" si="42"/>
        <v/>
      </c>
      <c r="S284" s="153">
        <f t="shared" si="38"/>
        <v>-7</v>
      </c>
      <c r="T284" s="153">
        <f t="shared" si="39"/>
        <v>-70</v>
      </c>
      <c r="U284" s="151"/>
      <c r="V284" s="151">
        <f t="shared" si="40"/>
        <v>0</v>
      </c>
    </row>
    <row r="285" spans="1:22" x14ac:dyDescent="0.25">
      <c r="A285" s="61"/>
      <c r="G285" s="18"/>
      <c r="H285" s="40">
        <v>280</v>
      </c>
      <c r="I285" s="41" t="str">
        <f t="shared" si="35"/>
        <v/>
      </c>
      <c r="J285" s="40">
        <f t="shared" si="41"/>
        <v>-7</v>
      </c>
      <c r="K285" s="40">
        <f t="shared" si="36"/>
        <v>-70</v>
      </c>
      <c r="L285" s="40"/>
      <c r="M285" s="42">
        <f t="shared" si="37"/>
        <v>0</v>
      </c>
      <c r="O285" s="150">
        <v>280</v>
      </c>
      <c r="P285" s="150"/>
      <c r="Q285" s="150"/>
      <c r="R285" s="151" t="str">
        <f t="shared" si="42"/>
        <v/>
      </c>
      <c r="S285" s="153">
        <f t="shared" si="38"/>
        <v>-7</v>
      </c>
      <c r="T285" s="153">
        <f t="shared" si="39"/>
        <v>-70</v>
      </c>
      <c r="U285" s="151"/>
      <c r="V285" s="151">
        <f t="shared" si="40"/>
        <v>0</v>
      </c>
    </row>
    <row r="286" spans="1:22" x14ac:dyDescent="0.25">
      <c r="A286" s="61"/>
      <c r="G286" s="18"/>
      <c r="H286" s="40">
        <v>281</v>
      </c>
      <c r="I286" s="41" t="str">
        <f t="shared" si="35"/>
        <v/>
      </c>
      <c r="J286" s="40">
        <f t="shared" si="41"/>
        <v>-7</v>
      </c>
      <c r="K286" s="40">
        <f t="shared" si="36"/>
        <v>-70</v>
      </c>
      <c r="L286" s="40"/>
      <c r="M286" s="42">
        <f t="shared" si="37"/>
        <v>0</v>
      </c>
      <c r="O286" s="150">
        <v>281</v>
      </c>
      <c r="P286" s="150"/>
      <c r="Q286" s="150"/>
      <c r="R286" s="151" t="str">
        <f t="shared" si="42"/>
        <v/>
      </c>
      <c r="S286" s="153">
        <f t="shared" si="38"/>
        <v>-7</v>
      </c>
      <c r="T286" s="153">
        <f t="shared" si="39"/>
        <v>-70</v>
      </c>
      <c r="U286" s="151"/>
      <c r="V286" s="151">
        <f t="shared" si="40"/>
        <v>0</v>
      </c>
    </row>
    <row r="287" spans="1:22" x14ac:dyDescent="0.25">
      <c r="A287" s="61"/>
      <c r="G287" s="18"/>
      <c r="H287" s="40">
        <v>282</v>
      </c>
      <c r="I287" s="41" t="str">
        <f t="shared" si="35"/>
        <v/>
      </c>
      <c r="J287" s="40">
        <f t="shared" si="41"/>
        <v>-7</v>
      </c>
      <c r="K287" s="40">
        <f t="shared" si="36"/>
        <v>-70</v>
      </c>
      <c r="L287" s="40"/>
      <c r="M287" s="42">
        <f t="shared" si="37"/>
        <v>0</v>
      </c>
      <c r="O287" s="150">
        <v>282</v>
      </c>
      <c r="P287" s="150"/>
      <c r="Q287" s="150"/>
      <c r="R287" s="151" t="str">
        <f t="shared" si="42"/>
        <v/>
      </c>
      <c r="S287" s="153">
        <f t="shared" si="38"/>
        <v>-7</v>
      </c>
      <c r="T287" s="153">
        <f t="shared" si="39"/>
        <v>-70</v>
      </c>
      <c r="U287" s="151"/>
      <c r="V287" s="151">
        <f t="shared" si="40"/>
        <v>0</v>
      </c>
    </row>
    <row r="288" spans="1:22" x14ac:dyDescent="0.25">
      <c r="A288" s="61"/>
      <c r="G288" s="18"/>
      <c r="H288" s="40">
        <v>283</v>
      </c>
      <c r="I288" s="41" t="str">
        <f t="shared" si="35"/>
        <v/>
      </c>
      <c r="J288" s="40">
        <f t="shared" si="41"/>
        <v>-7</v>
      </c>
      <c r="K288" s="40">
        <f t="shared" si="36"/>
        <v>-70</v>
      </c>
      <c r="L288" s="40"/>
      <c r="M288" s="42">
        <f t="shared" si="37"/>
        <v>0</v>
      </c>
      <c r="O288" s="150">
        <v>283</v>
      </c>
      <c r="P288" s="150"/>
      <c r="Q288" s="150"/>
      <c r="R288" s="151" t="str">
        <f t="shared" si="42"/>
        <v/>
      </c>
      <c r="S288" s="153">
        <f t="shared" si="38"/>
        <v>-7</v>
      </c>
      <c r="T288" s="153">
        <f t="shared" si="39"/>
        <v>-70</v>
      </c>
      <c r="U288" s="151"/>
      <c r="V288" s="151">
        <f t="shared" si="40"/>
        <v>0</v>
      </c>
    </row>
    <row r="289" spans="1:22" x14ac:dyDescent="0.25">
      <c r="A289" s="61"/>
      <c r="G289" s="18"/>
      <c r="H289" s="40">
        <v>284</v>
      </c>
      <c r="I289" s="41" t="str">
        <f t="shared" si="35"/>
        <v/>
      </c>
      <c r="J289" s="40">
        <f t="shared" si="41"/>
        <v>-7</v>
      </c>
      <c r="K289" s="40">
        <f t="shared" si="36"/>
        <v>-70</v>
      </c>
      <c r="L289" s="40"/>
      <c r="M289" s="42">
        <f t="shared" si="37"/>
        <v>0</v>
      </c>
      <c r="O289" s="150">
        <v>284</v>
      </c>
      <c r="P289" s="150"/>
      <c r="Q289" s="150"/>
      <c r="R289" s="151" t="str">
        <f t="shared" si="42"/>
        <v/>
      </c>
      <c r="S289" s="153">
        <f t="shared" si="38"/>
        <v>-7</v>
      </c>
      <c r="T289" s="153">
        <f t="shared" si="39"/>
        <v>-70</v>
      </c>
      <c r="U289" s="151"/>
      <c r="V289" s="151">
        <f t="shared" si="40"/>
        <v>0</v>
      </c>
    </row>
    <row r="290" spans="1:22" x14ac:dyDescent="0.25">
      <c r="A290" s="61"/>
      <c r="G290" s="18"/>
      <c r="H290" s="40">
        <v>285</v>
      </c>
      <c r="I290" s="41" t="str">
        <f t="shared" si="35"/>
        <v/>
      </c>
      <c r="J290" s="40">
        <f t="shared" si="41"/>
        <v>-7</v>
      </c>
      <c r="K290" s="40">
        <f t="shared" si="36"/>
        <v>-70</v>
      </c>
      <c r="L290" s="40"/>
      <c r="M290" s="42">
        <f t="shared" si="37"/>
        <v>0</v>
      </c>
      <c r="O290" s="150">
        <v>285</v>
      </c>
      <c r="P290" s="150"/>
      <c r="Q290" s="150"/>
      <c r="R290" s="151" t="str">
        <f t="shared" si="42"/>
        <v/>
      </c>
      <c r="S290" s="153">
        <f t="shared" si="38"/>
        <v>-7</v>
      </c>
      <c r="T290" s="153">
        <f t="shared" si="39"/>
        <v>-70</v>
      </c>
      <c r="U290" s="151"/>
      <c r="V290" s="151">
        <f t="shared" si="40"/>
        <v>0</v>
      </c>
    </row>
    <row r="291" spans="1:22" x14ac:dyDescent="0.25">
      <c r="A291" s="61"/>
      <c r="G291" s="18"/>
      <c r="H291" s="40">
        <v>286</v>
      </c>
      <c r="I291" s="41" t="str">
        <f t="shared" si="35"/>
        <v/>
      </c>
      <c r="J291" s="40">
        <f t="shared" si="41"/>
        <v>-7</v>
      </c>
      <c r="K291" s="40">
        <f t="shared" si="36"/>
        <v>-70</v>
      </c>
      <c r="L291" s="40"/>
      <c r="M291" s="42">
        <f t="shared" si="37"/>
        <v>0</v>
      </c>
      <c r="O291" s="150">
        <v>286</v>
      </c>
      <c r="P291" s="150"/>
      <c r="Q291" s="150"/>
      <c r="R291" s="151" t="str">
        <f t="shared" si="42"/>
        <v/>
      </c>
      <c r="S291" s="153">
        <f t="shared" si="38"/>
        <v>-7</v>
      </c>
      <c r="T291" s="153">
        <f t="shared" si="39"/>
        <v>-70</v>
      </c>
      <c r="U291" s="151"/>
      <c r="V291" s="151">
        <f t="shared" si="40"/>
        <v>0</v>
      </c>
    </row>
    <row r="292" spans="1:22" x14ac:dyDescent="0.25">
      <c r="A292" s="61"/>
      <c r="G292" s="18"/>
      <c r="H292" s="40">
        <v>287</v>
      </c>
      <c r="I292" s="41" t="str">
        <f t="shared" si="35"/>
        <v/>
      </c>
      <c r="J292" s="40">
        <f t="shared" si="41"/>
        <v>-7</v>
      </c>
      <c r="K292" s="40">
        <f t="shared" si="36"/>
        <v>-70</v>
      </c>
      <c r="L292" s="40"/>
      <c r="M292" s="42">
        <f t="shared" si="37"/>
        <v>0</v>
      </c>
      <c r="O292" s="150">
        <v>287</v>
      </c>
      <c r="P292" s="150"/>
      <c r="Q292" s="150"/>
      <c r="R292" s="151" t="str">
        <f t="shared" si="42"/>
        <v/>
      </c>
      <c r="S292" s="153">
        <f t="shared" si="38"/>
        <v>-7</v>
      </c>
      <c r="T292" s="153">
        <f t="shared" si="39"/>
        <v>-70</v>
      </c>
      <c r="U292" s="151"/>
      <c r="V292" s="151">
        <f t="shared" si="40"/>
        <v>0</v>
      </c>
    </row>
    <row r="293" spans="1:22" x14ac:dyDescent="0.25">
      <c r="A293" s="61"/>
      <c r="G293" s="18"/>
      <c r="H293" s="40">
        <v>288</v>
      </c>
      <c r="I293" s="41" t="str">
        <f t="shared" si="35"/>
        <v/>
      </c>
      <c r="J293" s="40">
        <f t="shared" si="41"/>
        <v>-7</v>
      </c>
      <c r="K293" s="40">
        <f t="shared" si="36"/>
        <v>-70</v>
      </c>
      <c r="L293" s="40"/>
      <c r="M293" s="42">
        <f t="shared" si="37"/>
        <v>0</v>
      </c>
      <c r="O293" s="150">
        <v>288</v>
      </c>
      <c r="P293" s="150"/>
      <c r="Q293" s="150"/>
      <c r="R293" s="151" t="str">
        <f t="shared" si="42"/>
        <v/>
      </c>
      <c r="S293" s="153">
        <f t="shared" si="38"/>
        <v>-7</v>
      </c>
      <c r="T293" s="153">
        <f t="shared" si="39"/>
        <v>-70</v>
      </c>
      <c r="U293" s="151"/>
      <c r="V293" s="151">
        <f t="shared" si="40"/>
        <v>0</v>
      </c>
    </row>
    <row r="294" spans="1:22" x14ac:dyDescent="0.25">
      <c r="A294" s="61"/>
      <c r="G294" s="18"/>
      <c r="H294" s="40">
        <v>289</v>
      </c>
      <c r="I294" s="41" t="str">
        <f t="shared" si="35"/>
        <v/>
      </c>
      <c r="J294" s="40">
        <f t="shared" si="41"/>
        <v>-7</v>
      </c>
      <c r="K294" s="40">
        <f t="shared" si="36"/>
        <v>-70</v>
      </c>
      <c r="L294" s="40"/>
      <c r="M294" s="42">
        <f t="shared" si="37"/>
        <v>0</v>
      </c>
      <c r="O294" s="150">
        <v>289</v>
      </c>
      <c r="P294" s="150"/>
      <c r="Q294" s="150"/>
      <c r="R294" s="151" t="str">
        <f t="shared" si="42"/>
        <v/>
      </c>
      <c r="S294" s="153">
        <f t="shared" si="38"/>
        <v>-7</v>
      </c>
      <c r="T294" s="153">
        <f t="shared" si="39"/>
        <v>-70</v>
      </c>
      <c r="U294" s="151"/>
      <c r="V294" s="151">
        <f t="shared" si="40"/>
        <v>0</v>
      </c>
    </row>
    <row r="295" spans="1:22" x14ac:dyDescent="0.25">
      <c r="A295" s="61"/>
      <c r="G295" s="18"/>
      <c r="H295" s="40">
        <v>290</v>
      </c>
      <c r="I295" s="41" t="str">
        <f t="shared" si="35"/>
        <v/>
      </c>
      <c r="J295" s="40">
        <f t="shared" si="41"/>
        <v>-7</v>
      </c>
      <c r="K295" s="40">
        <f t="shared" si="36"/>
        <v>-70</v>
      </c>
      <c r="L295" s="40"/>
      <c r="M295" s="42">
        <f t="shared" si="37"/>
        <v>0</v>
      </c>
      <c r="O295" s="150">
        <v>290</v>
      </c>
      <c r="P295" s="150"/>
      <c r="Q295" s="150"/>
      <c r="R295" s="151" t="str">
        <f t="shared" si="42"/>
        <v/>
      </c>
      <c r="S295" s="153">
        <f t="shared" si="38"/>
        <v>-7</v>
      </c>
      <c r="T295" s="153">
        <f t="shared" si="39"/>
        <v>-70</v>
      </c>
      <c r="U295" s="151"/>
      <c r="V295" s="151">
        <f t="shared" si="40"/>
        <v>0</v>
      </c>
    </row>
    <row r="296" spans="1:22" x14ac:dyDescent="0.25">
      <c r="A296" s="61"/>
      <c r="G296" s="18"/>
      <c r="H296" s="40">
        <v>291</v>
      </c>
      <c r="I296" s="41" t="str">
        <f t="shared" si="35"/>
        <v/>
      </c>
      <c r="J296" s="40">
        <f t="shared" si="41"/>
        <v>-7</v>
      </c>
      <c r="K296" s="40">
        <f t="shared" si="36"/>
        <v>-70</v>
      </c>
      <c r="L296" s="40"/>
      <c r="M296" s="42">
        <f t="shared" si="37"/>
        <v>0</v>
      </c>
      <c r="O296" s="150">
        <v>291</v>
      </c>
      <c r="P296" s="150"/>
      <c r="Q296" s="150"/>
      <c r="R296" s="151" t="str">
        <f t="shared" si="42"/>
        <v/>
      </c>
      <c r="S296" s="153">
        <f t="shared" si="38"/>
        <v>-7</v>
      </c>
      <c r="T296" s="153">
        <f t="shared" si="39"/>
        <v>-70</v>
      </c>
      <c r="U296" s="151"/>
      <c r="V296" s="151">
        <f t="shared" si="40"/>
        <v>0</v>
      </c>
    </row>
    <row r="297" spans="1:22" x14ac:dyDescent="0.25">
      <c r="A297" s="61"/>
      <c r="G297" s="18"/>
      <c r="H297" s="40">
        <v>292</v>
      </c>
      <c r="I297" s="41" t="str">
        <f t="shared" si="35"/>
        <v/>
      </c>
      <c r="J297" s="40">
        <f t="shared" si="41"/>
        <v>-7</v>
      </c>
      <c r="K297" s="40">
        <f t="shared" si="36"/>
        <v>-70</v>
      </c>
      <c r="L297" s="40"/>
      <c r="M297" s="42">
        <f t="shared" si="37"/>
        <v>0</v>
      </c>
      <c r="O297" s="150">
        <v>292</v>
      </c>
      <c r="P297" s="150"/>
      <c r="Q297" s="150"/>
      <c r="R297" s="151" t="str">
        <f t="shared" si="42"/>
        <v/>
      </c>
      <c r="S297" s="153">
        <f t="shared" si="38"/>
        <v>-7</v>
      </c>
      <c r="T297" s="153">
        <f t="shared" si="39"/>
        <v>-70</v>
      </c>
      <c r="U297" s="151"/>
      <c r="V297" s="151">
        <f t="shared" si="40"/>
        <v>0</v>
      </c>
    </row>
    <row r="298" spans="1:22" x14ac:dyDescent="0.25">
      <c r="A298" s="61"/>
      <c r="G298" s="18"/>
      <c r="H298" s="40">
        <v>293</v>
      </c>
      <c r="I298" s="41" t="str">
        <f t="shared" si="35"/>
        <v/>
      </c>
      <c r="J298" s="40">
        <f t="shared" si="41"/>
        <v>-7</v>
      </c>
      <c r="K298" s="40">
        <f t="shared" si="36"/>
        <v>-70</v>
      </c>
      <c r="L298" s="40"/>
      <c r="M298" s="42">
        <f t="shared" si="37"/>
        <v>0</v>
      </c>
      <c r="O298" s="150">
        <v>293</v>
      </c>
      <c r="P298" s="150"/>
      <c r="Q298" s="150"/>
      <c r="R298" s="151" t="str">
        <f t="shared" si="42"/>
        <v/>
      </c>
      <c r="S298" s="153">
        <f t="shared" si="38"/>
        <v>-7</v>
      </c>
      <c r="T298" s="153">
        <f t="shared" si="39"/>
        <v>-70</v>
      </c>
      <c r="U298" s="151"/>
      <c r="V298" s="151">
        <f t="shared" si="40"/>
        <v>0</v>
      </c>
    </row>
    <row r="299" spans="1:22" x14ac:dyDescent="0.25">
      <c r="A299" s="61"/>
      <c r="G299" s="18"/>
      <c r="H299" s="40">
        <v>294</v>
      </c>
      <c r="I299" s="41" t="str">
        <f t="shared" si="35"/>
        <v/>
      </c>
      <c r="J299" s="40">
        <f t="shared" si="41"/>
        <v>-7</v>
      </c>
      <c r="K299" s="40">
        <f t="shared" si="36"/>
        <v>-70</v>
      </c>
      <c r="L299" s="40"/>
      <c r="M299" s="42">
        <f t="shared" si="37"/>
        <v>0</v>
      </c>
      <c r="O299" s="150">
        <v>294</v>
      </c>
      <c r="P299" s="150"/>
      <c r="Q299" s="150"/>
      <c r="R299" s="151" t="str">
        <f t="shared" si="42"/>
        <v/>
      </c>
      <c r="S299" s="153">
        <f t="shared" si="38"/>
        <v>-7</v>
      </c>
      <c r="T299" s="153">
        <f t="shared" si="39"/>
        <v>-70</v>
      </c>
      <c r="U299" s="151"/>
      <c r="V299" s="151">
        <f t="shared" si="40"/>
        <v>0</v>
      </c>
    </row>
    <row r="300" spans="1:22" x14ac:dyDescent="0.25">
      <c r="A300" s="61"/>
      <c r="G300" s="18"/>
      <c r="H300" s="40">
        <v>295</v>
      </c>
      <c r="I300" s="41" t="str">
        <f t="shared" si="35"/>
        <v/>
      </c>
      <c r="J300" s="40">
        <f t="shared" si="41"/>
        <v>-7</v>
      </c>
      <c r="K300" s="40">
        <f t="shared" si="36"/>
        <v>-70</v>
      </c>
      <c r="L300" s="40"/>
      <c r="M300" s="42">
        <f t="shared" si="37"/>
        <v>0</v>
      </c>
      <c r="O300" s="150">
        <v>295</v>
      </c>
      <c r="P300" s="150"/>
      <c r="Q300" s="150"/>
      <c r="R300" s="151" t="str">
        <f t="shared" si="42"/>
        <v/>
      </c>
      <c r="S300" s="153">
        <f t="shared" si="38"/>
        <v>-7</v>
      </c>
      <c r="T300" s="153">
        <f t="shared" si="39"/>
        <v>-70</v>
      </c>
      <c r="U300" s="151"/>
      <c r="V300" s="151">
        <f t="shared" si="40"/>
        <v>0</v>
      </c>
    </row>
    <row r="301" spans="1:22" x14ac:dyDescent="0.25">
      <c r="A301" s="61"/>
      <c r="G301" s="18"/>
      <c r="H301" s="40">
        <v>296</v>
      </c>
      <c r="I301" s="41" t="str">
        <f t="shared" si="35"/>
        <v/>
      </c>
      <c r="J301" s="40">
        <f t="shared" si="41"/>
        <v>-7</v>
      </c>
      <c r="K301" s="40">
        <f t="shared" si="36"/>
        <v>-70</v>
      </c>
      <c r="L301" s="40"/>
      <c r="M301" s="42">
        <f t="shared" si="37"/>
        <v>0</v>
      </c>
      <c r="O301" s="150">
        <v>296</v>
      </c>
      <c r="P301" s="150"/>
      <c r="Q301" s="150"/>
      <c r="R301" s="151" t="str">
        <f t="shared" si="42"/>
        <v/>
      </c>
      <c r="S301" s="153">
        <f t="shared" si="38"/>
        <v>-7</v>
      </c>
      <c r="T301" s="153">
        <f t="shared" si="39"/>
        <v>-70</v>
      </c>
      <c r="U301" s="151"/>
      <c r="V301" s="151">
        <f t="shared" si="40"/>
        <v>0</v>
      </c>
    </row>
    <row r="302" spans="1:22" x14ac:dyDescent="0.25">
      <c r="A302" s="61"/>
      <c r="G302" s="18"/>
      <c r="H302" s="40">
        <v>297</v>
      </c>
      <c r="I302" s="41" t="str">
        <f t="shared" si="35"/>
        <v/>
      </c>
      <c r="J302" s="40">
        <f t="shared" si="41"/>
        <v>-7</v>
      </c>
      <c r="K302" s="40">
        <f t="shared" si="36"/>
        <v>-70</v>
      </c>
      <c r="L302" s="40"/>
      <c r="M302" s="42">
        <f t="shared" si="37"/>
        <v>0</v>
      </c>
      <c r="O302" s="150">
        <v>297</v>
      </c>
      <c r="P302" s="150"/>
      <c r="Q302" s="150"/>
      <c r="R302" s="151" t="str">
        <f t="shared" si="42"/>
        <v/>
      </c>
      <c r="S302" s="153">
        <f t="shared" si="38"/>
        <v>-7</v>
      </c>
      <c r="T302" s="153">
        <f t="shared" si="39"/>
        <v>-70</v>
      </c>
      <c r="U302" s="151"/>
      <c r="V302" s="151">
        <f t="shared" si="40"/>
        <v>0</v>
      </c>
    </row>
    <row r="303" spans="1:22" x14ac:dyDescent="0.25">
      <c r="A303" s="61"/>
      <c r="G303" s="18"/>
      <c r="H303" s="40">
        <v>298</v>
      </c>
      <c r="I303" s="41" t="str">
        <f t="shared" si="35"/>
        <v/>
      </c>
      <c r="J303" s="40">
        <f t="shared" si="41"/>
        <v>-7</v>
      </c>
      <c r="K303" s="40">
        <f t="shared" si="36"/>
        <v>-70</v>
      </c>
      <c r="L303" s="40"/>
      <c r="M303" s="42">
        <f t="shared" si="37"/>
        <v>0</v>
      </c>
      <c r="O303" s="150">
        <v>298</v>
      </c>
      <c r="P303" s="150"/>
      <c r="Q303" s="150"/>
      <c r="R303" s="151" t="str">
        <f t="shared" si="42"/>
        <v/>
      </c>
      <c r="S303" s="153">
        <f t="shared" si="38"/>
        <v>-7</v>
      </c>
      <c r="T303" s="153">
        <f t="shared" si="39"/>
        <v>-70</v>
      </c>
      <c r="U303" s="151"/>
      <c r="V303" s="151">
        <f t="shared" si="40"/>
        <v>0</v>
      </c>
    </row>
    <row r="304" spans="1:22" x14ac:dyDescent="0.25">
      <c r="A304" s="61"/>
      <c r="G304" s="18"/>
      <c r="H304" s="40">
        <v>299</v>
      </c>
      <c r="I304" s="41" t="str">
        <f t="shared" si="35"/>
        <v/>
      </c>
      <c r="J304" s="40">
        <f t="shared" si="41"/>
        <v>-7</v>
      </c>
      <c r="K304" s="40">
        <f t="shared" si="36"/>
        <v>-70</v>
      </c>
      <c r="L304" s="40"/>
      <c r="M304" s="42">
        <f t="shared" si="37"/>
        <v>0</v>
      </c>
      <c r="O304" s="150">
        <v>299</v>
      </c>
      <c r="P304" s="150"/>
      <c r="Q304" s="150"/>
      <c r="R304" s="151" t="str">
        <f t="shared" si="42"/>
        <v/>
      </c>
      <c r="S304" s="153">
        <f t="shared" si="38"/>
        <v>-7</v>
      </c>
      <c r="T304" s="153">
        <f t="shared" si="39"/>
        <v>-70</v>
      </c>
      <c r="U304" s="151"/>
      <c r="V304" s="151">
        <f t="shared" si="40"/>
        <v>0</v>
      </c>
    </row>
    <row r="305" spans="1:22" x14ac:dyDescent="0.25">
      <c r="A305" s="61"/>
      <c r="G305" s="18"/>
      <c r="H305" s="40">
        <v>300</v>
      </c>
      <c r="I305" s="41" t="str">
        <f t="shared" si="35"/>
        <v/>
      </c>
      <c r="J305" s="40">
        <f t="shared" si="41"/>
        <v>-7</v>
      </c>
      <c r="K305" s="40">
        <f t="shared" si="36"/>
        <v>-70</v>
      </c>
      <c r="L305" s="40"/>
      <c r="M305" s="42">
        <f t="shared" si="37"/>
        <v>0</v>
      </c>
      <c r="O305" s="150">
        <v>300</v>
      </c>
      <c r="P305" s="150"/>
      <c r="Q305" s="150"/>
      <c r="R305" s="151" t="str">
        <f t="shared" si="42"/>
        <v/>
      </c>
      <c r="S305" s="153">
        <f t="shared" si="38"/>
        <v>-7</v>
      </c>
      <c r="T305" s="153">
        <f t="shared" si="39"/>
        <v>-70</v>
      </c>
      <c r="U305" s="151"/>
      <c r="V305" s="151">
        <f t="shared" si="40"/>
        <v>0</v>
      </c>
    </row>
    <row r="306" spans="1:22" x14ac:dyDescent="0.25">
      <c r="A306" s="63"/>
      <c r="O306" s="155"/>
      <c r="P306" s="155"/>
      <c r="Q306" s="155"/>
      <c r="R306" s="156"/>
      <c r="S306" s="155"/>
      <c r="T306" s="155"/>
      <c r="U306" s="156"/>
      <c r="V306" s="156"/>
    </row>
    <row r="307" spans="1:22" x14ac:dyDescent="0.25">
      <c r="O307" s="155"/>
      <c r="P307" s="155"/>
      <c r="Q307" s="155"/>
      <c r="R307" s="156"/>
      <c r="S307" s="155"/>
      <c r="T307" s="155"/>
      <c r="U307" s="156"/>
      <c r="V307" s="156"/>
    </row>
    <row r="308" spans="1:22" x14ac:dyDescent="0.25">
      <c r="O308" s="155"/>
      <c r="P308" s="155"/>
      <c r="Q308" s="155"/>
      <c r="R308" s="156"/>
      <c r="S308" s="155"/>
      <c r="T308" s="155"/>
      <c r="U308" s="156"/>
      <c r="V308" s="156"/>
    </row>
    <row r="309" spans="1:22" x14ac:dyDescent="0.25">
      <c r="O309" s="155"/>
      <c r="P309" s="155"/>
      <c r="Q309" s="155"/>
      <c r="R309" s="156"/>
      <c r="S309" s="155"/>
      <c r="T309" s="155"/>
      <c r="U309" s="156"/>
      <c r="V309" s="156"/>
    </row>
    <row r="310" spans="1:22" x14ac:dyDescent="0.25">
      <c r="O310" s="155"/>
      <c r="P310" s="155"/>
      <c r="Q310" s="155"/>
      <c r="R310" s="156"/>
      <c r="S310" s="155"/>
      <c r="T310" s="155"/>
      <c r="U310" s="156"/>
      <c r="V310" s="156"/>
    </row>
    <row r="311" spans="1:22" x14ac:dyDescent="0.25">
      <c r="O311" s="155"/>
      <c r="P311" s="155"/>
      <c r="Q311" s="155"/>
      <c r="R311" s="156"/>
      <c r="S311" s="155"/>
      <c r="T311" s="155"/>
      <c r="U311" s="156"/>
      <c r="V311" s="156"/>
    </row>
    <row r="312" spans="1:22" x14ac:dyDescent="0.25">
      <c r="O312" s="155"/>
      <c r="P312" s="155"/>
      <c r="Q312" s="155"/>
      <c r="R312" s="156"/>
      <c r="S312" s="155"/>
      <c r="T312" s="155"/>
      <c r="U312" s="156"/>
      <c r="V312" s="156"/>
    </row>
    <row r="313" spans="1:22" x14ac:dyDescent="0.25">
      <c r="O313" s="155"/>
      <c r="P313" s="155"/>
      <c r="Q313" s="155"/>
      <c r="R313" s="156"/>
      <c r="S313" s="155"/>
      <c r="T313" s="155"/>
      <c r="U313" s="156"/>
      <c r="V313" s="156"/>
    </row>
    <row r="314" spans="1:22" x14ac:dyDescent="0.25">
      <c r="L314" s="66"/>
      <c r="O314" s="155"/>
      <c r="P314" s="155"/>
      <c r="Q314" s="155"/>
      <c r="R314" s="156"/>
      <c r="S314" s="155"/>
      <c r="T314" s="155"/>
      <c r="U314" s="156"/>
      <c r="V314" s="156"/>
    </row>
    <row r="315" spans="1:22" x14ac:dyDescent="0.25">
      <c r="L315" s="66"/>
      <c r="O315" s="155"/>
      <c r="P315" s="155"/>
      <c r="Q315" s="155"/>
      <c r="R315" s="156"/>
      <c r="S315" s="155"/>
      <c r="T315" s="155"/>
      <c r="U315" s="156"/>
      <c r="V315" s="156"/>
    </row>
    <row r="316" spans="1:22" x14ac:dyDescent="0.25">
      <c r="L316" s="66"/>
      <c r="O316" s="155"/>
      <c r="P316" s="155"/>
      <c r="Q316" s="155"/>
      <c r="R316" s="156"/>
      <c r="S316" s="155"/>
      <c r="T316" s="155"/>
      <c r="U316" s="156"/>
      <c r="V316" s="156"/>
    </row>
    <row r="317" spans="1:22" x14ac:dyDescent="0.25">
      <c r="L317" s="66"/>
      <c r="O317" s="155"/>
      <c r="P317" s="155"/>
      <c r="Q317" s="155"/>
      <c r="R317" s="156"/>
      <c r="S317" s="155"/>
      <c r="T317" s="155"/>
      <c r="U317" s="156"/>
      <c r="V317" s="156"/>
    </row>
    <row r="318" spans="1:22" x14ac:dyDescent="0.25">
      <c r="O318" s="155"/>
      <c r="P318" s="155"/>
      <c r="Q318" s="155"/>
      <c r="R318" s="156"/>
      <c r="S318" s="155"/>
      <c r="T318" s="155"/>
      <c r="U318" s="156"/>
      <c r="V318" s="156"/>
    </row>
  </sheetData>
  <mergeCells count="3">
    <mergeCell ref="C2:D2"/>
    <mergeCell ref="C3:D3"/>
    <mergeCell ref="O4:V4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5652F38E-51C7-4168-BB2B-A544DE9D17EC}">
      <formula1>#REF!</formula1>
    </dataValidation>
  </dataValidations>
  <hyperlinks>
    <hyperlink ref="C2:D2" r:id="rId1" display="TORUŃ" xr:uid="{57D01EAC-FF4D-4FF1-A6B2-C7E3D101C93D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F260-7A89-4A3A-95F4-4BD75640E195}">
  <sheetPr>
    <tabColor rgb="FF92D050"/>
  </sheetPr>
  <dimension ref="A1:AL317"/>
  <sheetViews>
    <sheetView workbookViewId="0">
      <selection activeCell="E30" sqref="E30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26</v>
      </c>
      <c r="I1" s="20" t="s">
        <v>27</v>
      </c>
      <c r="J1" s="20" t="s">
        <v>28</v>
      </c>
      <c r="K1" s="21" t="s">
        <v>29</v>
      </c>
      <c r="L1" s="22"/>
      <c r="M1" s="22"/>
    </row>
    <row r="2" spans="1:36" x14ac:dyDescent="0.25">
      <c r="A2" s="18"/>
      <c r="B2" s="24" t="s">
        <v>32</v>
      </c>
      <c r="C2" s="179" t="s">
        <v>64</v>
      </c>
      <c r="D2" s="179"/>
      <c r="E2" s="25"/>
      <c r="F2" s="25"/>
      <c r="G2" s="25"/>
      <c r="H2" s="26">
        <v>6</v>
      </c>
      <c r="I2" s="27">
        <v>50</v>
      </c>
      <c r="J2" s="27">
        <v>10</v>
      </c>
      <c r="K2" s="28">
        <f>3*H2^(1/3)</f>
        <v>5.4513617784964188</v>
      </c>
      <c r="L2" s="22"/>
      <c r="M2" s="22"/>
    </row>
    <row r="3" spans="1:36" x14ac:dyDescent="0.25">
      <c r="A3" s="18"/>
      <c r="B3" s="29" t="s">
        <v>34</v>
      </c>
      <c r="C3" s="177">
        <v>44729</v>
      </c>
      <c r="D3" s="177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36</v>
      </c>
      <c r="B5" s="33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32"/>
      <c r="H5" s="34" t="s">
        <v>42</v>
      </c>
      <c r="I5" s="35" t="s">
        <v>43</v>
      </c>
      <c r="J5" s="36" t="s">
        <v>44</v>
      </c>
      <c r="K5" s="35" t="s">
        <v>45</v>
      </c>
      <c r="L5" s="35" t="s">
        <v>46</v>
      </c>
      <c r="M5" s="34" t="s">
        <v>47</v>
      </c>
    </row>
    <row r="6" spans="1:36" ht="14.45" customHeight="1" x14ac:dyDescent="0.25">
      <c r="A6" s="37">
        <f>M6</f>
        <v>96.354085335489259</v>
      </c>
      <c r="B6" s="38">
        <v>1</v>
      </c>
      <c r="C6" s="73" t="s">
        <v>16</v>
      </c>
      <c r="D6" s="73" t="s">
        <v>49</v>
      </c>
      <c r="E6" s="73"/>
      <c r="F6" s="39" t="s">
        <v>65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3</v>
      </c>
      <c r="K6" s="40">
        <f t="shared" ref="K6:K69" si="0">J6*$J$2</f>
        <v>30</v>
      </c>
      <c r="L6" s="42">
        <f>3*K2</f>
        <v>16.354085335489255</v>
      </c>
      <c r="M6" s="42">
        <f t="shared" ref="M6:M69" si="1">IF(I6&lt;&gt;"",K6+I6+L6,0)</f>
        <v>96.354085335489259</v>
      </c>
    </row>
    <row r="7" spans="1:36" ht="14.45" customHeight="1" x14ac:dyDescent="0.25">
      <c r="A7" s="43">
        <f t="shared" ref="A7:A37" si="2">M7</f>
        <v>61.946936002500301</v>
      </c>
      <c r="B7" s="44">
        <v>2</v>
      </c>
      <c r="C7" s="74" t="s">
        <v>17</v>
      </c>
      <c r="D7" s="74" t="s">
        <v>63</v>
      </c>
      <c r="E7" s="74"/>
      <c r="F7" s="45" t="s">
        <v>65</v>
      </c>
      <c r="G7" s="32"/>
      <c r="H7" s="46">
        <v>2</v>
      </c>
      <c r="I7" s="47">
        <f t="shared" ref="I7:I69" si="3">IF(H7&lt;$H$2+1,($I$2-($I$2-1)*(LOG(H7)/LOG($H$2))),"")</f>
        <v>31.044212445507462</v>
      </c>
      <c r="J7" s="46">
        <f t="shared" ref="J7:J70" si="4">INT(LOG($H$2,2))-ROUNDUP(LOG(H7,2),0)+IF(OR($H$2=1,$H$2=2,$H$2=4,$H$2=8,$H$2=16,$H$2=32,$H$2=64,$H$2=128,$H$2=256),0,1)</f>
        <v>2</v>
      </c>
      <c r="K7" s="46">
        <f t="shared" si="0"/>
        <v>20</v>
      </c>
      <c r="L7" s="48">
        <f>2*K2</f>
        <v>10.902723556992838</v>
      </c>
      <c r="M7" s="48">
        <f t="shared" si="1"/>
        <v>61.946936002500301</v>
      </c>
    </row>
    <row r="8" spans="1:36" ht="14.45" customHeight="1" x14ac:dyDescent="0.25">
      <c r="A8" s="37">
        <f t="shared" si="2"/>
        <v>35.407149332988958</v>
      </c>
      <c r="B8" s="38">
        <v>3</v>
      </c>
      <c r="C8" s="73" t="s">
        <v>24</v>
      </c>
      <c r="D8" s="73"/>
      <c r="E8" s="73"/>
      <c r="F8" s="39" t="s">
        <v>65</v>
      </c>
      <c r="G8" s="32"/>
      <c r="H8" s="40">
        <v>3</v>
      </c>
      <c r="I8" s="41">
        <f t="shared" si="3"/>
        <v>19.955787554492538</v>
      </c>
      <c r="J8" s="40">
        <f t="shared" si="4"/>
        <v>1</v>
      </c>
      <c r="K8" s="40">
        <f t="shared" si="0"/>
        <v>10</v>
      </c>
      <c r="L8" s="42">
        <f>K2</f>
        <v>5.4513617784964188</v>
      </c>
      <c r="M8" s="42">
        <f t="shared" si="1"/>
        <v>35.407149332988958</v>
      </c>
    </row>
    <row r="9" spans="1:36" ht="14.45" customHeight="1" x14ac:dyDescent="0.25">
      <c r="A9" s="43">
        <f t="shared" si="2"/>
        <v>22.088424891014924</v>
      </c>
      <c r="B9" s="44">
        <v>4</v>
      </c>
      <c r="C9" s="74" t="s">
        <v>21</v>
      </c>
      <c r="D9" s="74" t="s">
        <v>66</v>
      </c>
      <c r="E9" s="74"/>
      <c r="F9" s="45" t="s">
        <v>65</v>
      </c>
      <c r="G9" s="32"/>
      <c r="H9" s="46">
        <v>4</v>
      </c>
      <c r="I9" s="47">
        <f t="shared" si="3"/>
        <v>12.088424891014924</v>
      </c>
      <c r="J9" s="46">
        <f t="shared" si="4"/>
        <v>1</v>
      </c>
      <c r="K9" s="46">
        <f t="shared" si="0"/>
        <v>10</v>
      </c>
      <c r="L9" s="48"/>
      <c r="M9" s="48">
        <f t="shared" si="1"/>
        <v>22.088424891014924</v>
      </c>
      <c r="V9" s="49"/>
      <c r="Z9" s="50"/>
      <c r="AA9" s="50"/>
      <c r="AG9" s="51"/>
      <c r="AH9" s="23" t="s">
        <v>54</v>
      </c>
      <c r="AI9" s="23">
        <v>23</v>
      </c>
    </row>
    <row r="10" spans="1:36" ht="14.45" customHeight="1" x14ac:dyDescent="0.25">
      <c r="A10" s="77">
        <v>1</v>
      </c>
      <c r="B10" s="38">
        <v>5</v>
      </c>
      <c r="C10" s="73" t="s">
        <v>20</v>
      </c>
      <c r="D10" s="39" t="s">
        <v>53</v>
      </c>
      <c r="E10" s="39"/>
      <c r="F10" s="39" t="s">
        <v>65</v>
      </c>
      <c r="G10" s="32"/>
      <c r="H10" s="40">
        <v>5</v>
      </c>
      <c r="I10" s="41">
        <f t="shared" si="3"/>
        <v>5.9860243165075602</v>
      </c>
      <c r="J10" s="40">
        <f t="shared" si="4"/>
        <v>0</v>
      </c>
      <c r="K10" s="40">
        <f t="shared" si="0"/>
        <v>0</v>
      </c>
      <c r="L10" s="40"/>
      <c r="M10" s="42">
        <f t="shared" si="1"/>
        <v>5.9860243165075602</v>
      </c>
      <c r="V10" s="49"/>
      <c r="Z10" s="50"/>
      <c r="AA10" s="50"/>
      <c r="AG10" s="51"/>
      <c r="AH10" s="23" t="s">
        <v>55</v>
      </c>
      <c r="AI10" s="23">
        <v>45</v>
      </c>
    </row>
    <row r="11" spans="1:36" ht="14.45" customHeight="1" x14ac:dyDescent="0.25">
      <c r="A11" s="43">
        <f t="shared" si="2"/>
        <v>1</v>
      </c>
      <c r="B11" s="44">
        <v>6</v>
      </c>
      <c r="C11" s="45" t="s">
        <v>52</v>
      </c>
      <c r="D11" s="45" t="s">
        <v>67</v>
      </c>
      <c r="E11" s="45"/>
      <c r="F11" s="45" t="s">
        <v>65</v>
      </c>
      <c r="G11" s="32"/>
      <c r="H11" s="46">
        <v>6</v>
      </c>
      <c r="I11" s="47">
        <f t="shared" si="3"/>
        <v>1</v>
      </c>
      <c r="J11" s="46">
        <f t="shared" si="4"/>
        <v>0</v>
      </c>
      <c r="K11" s="46">
        <f t="shared" si="0"/>
        <v>0</v>
      </c>
      <c r="L11" s="46"/>
      <c r="M11" s="48">
        <f t="shared" si="1"/>
        <v>1</v>
      </c>
      <c r="V11" s="52"/>
      <c r="Z11" s="50"/>
      <c r="AA11" s="50"/>
      <c r="AG11" s="51"/>
      <c r="AH11" s="23" t="s">
        <v>56</v>
      </c>
      <c r="AI11" s="23">
        <v>50</v>
      </c>
    </row>
    <row r="12" spans="1:36" ht="14.45" customHeight="1" x14ac:dyDescent="0.25">
      <c r="A12" s="37">
        <f t="shared" si="2"/>
        <v>0</v>
      </c>
      <c r="B12" s="38" t="str">
        <f t="shared" ref="B12:B13" si="5">IF(H12&gt;$H$2,"",(ROW()-5))</f>
        <v/>
      </c>
      <c r="C12" s="39"/>
      <c r="D12" s="39"/>
      <c r="E12" s="39"/>
      <c r="F12" s="39"/>
      <c r="G12" s="32"/>
      <c r="H12" s="40">
        <v>7</v>
      </c>
      <c r="I12" s="41" t="str">
        <f t="shared" si="3"/>
        <v/>
      </c>
      <c r="J12" s="40">
        <f t="shared" si="4"/>
        <v>0</v>
      </c>
      <c r="K12" s="40">
        <f t="shared" si="0"/>
        <v>0</v>
      </c>
      <c r="L12" s="40"/>
      <c r="M12" s="42">
        <f t="shared" si="1"/>
        <v>0</v>
      </c>
      <c r="Z12" s="50"/>
      <c r="AA12" s="50"/>
      <c r="AG12" s="51"/>
      <c r="AH12" s="23" t="s">
        <v>57</v>
      </c>
      <c r="AI12" s="23">
        <f>AI11-1</f>
        <v>49</v>
      </c>
    </row>
    <row r="13" spans="1:36" ht="14.45" customHeight="1" x14ac:dyDescent="0.25">
      <c r="A13" s="53">
        <f t="shared" si="2"/>
        <v>0</v>
      </c>
      <c r="B13" s="44" t="str">
        <f t="shared" si="5"/>
        <v/>
      </c>
      <c r="C13" s="45"/>
      <c r="D13" s="45"/>
      <c r="E13" s="45"/>
      <c r="F13" s="45"/>
      <c r="G13" s="32"/>
      <c r="H13" s="46">
        <v>8</v>
      </c>
      <c r="I13" s="47" t="str">
        <f t="shared" si="3"/>
        <v/>
      </c>
      <c r="J13" s="46">
        <f t="shared" si="4"/>
        <v>0</v>
      </c>
      <c r="K13" s="46">
        <f t="shared" si="0"/>
        <v>0</v>
      </c>
      <c r="L13" s="46"/>
      <c r="M13" s="48">
        <f t="shared" si="1"/>
        <v>0</v>
      </c>
      <c r="X13" s="49"/>
      <c r="AG13" s="51"/>
      <c r="AH13" s="23" t="s">
        <v>58</v>
      </c>
      <c r="AI13" s="23">
        <f>LOG(AI9)</f>
        <v>1.3617278360175928</v>
      </c>
    </row>
    <row r="14" spans="1:36" x14ac:dyDescent="0.25">
      <c r="A14" s="54">
        <f t="shared" si="2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3"/>
        <v/>
      </c>
      <c r="J14" s="40">
        <f t="shared" si="4"/>
        <v>-1</v>
      </c>
      <c r="K14" s="40">
        <f t="shared" si="0"/>
        <v>-10</v>
      </c>
      <c r="L14" s="40"/>
      <c r="M14" s="42">
        <f t="shared" si="1"/>
        <v>0</v>
      </c>
      <c r="X14" s="55"/>
      <c r="Z14" s="50"/>
      <c r="AA14" s="50"/>
      <c r="AG14" s="51"/>
      <c r="AH14" s="23" t="s">
        <v>59</v>
      </c>
      <c r="AI14" s="23">
        <f>LOG(AI10)</f>
        <v>1.6532125137753437</v>
      </c>
    </row>
    <row r="15" spans="1:36" x14ac:dyDescent="0.25">
      <c r="A15" s="53">
        <f t="shared" si="2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3"/>
        <v/>
      </c>
      <c r="J15" s="46">
        <f t="shared" si="4"/>
        <v>-1</v>
      </c>
      <c r="K15" s="46">
        <f t="shared" si="0"/>
        <v>-10</v>
      </c>
      <c r="L15" s="46"/>
      <c r="M15" s="48">
        <f t="shared" si="1"/>
        <v>0</v>
      </c>
      <c r="X15" s="49"/>
      <c r="Z15" s="50"/>
      <c r="AA15" s="50"/>
    </row>
    <row r="16" spans="1:36" x14ac:dyDescent="0.25">
      <c r="A16" s="54">
        <f t="shared" si="2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3"/>
        <v/>
      </c>
      <c r="J16" s="40">
        <f t="shared" si="4"/>
        <v>-1</v>
      </c>
      <c r="K16" s="40">
        <f t="shared" si="0"/>
        <v>-10</v>
      </c>
      <c r="L16" s="40"/>
      <c r="M16" s="42">
        <f t="shared" si="1"/>
        <v>0</v>
      </c>
      <c r="R16" s="56"/>
      <c r="Z16" s="50"/>
      <c r="AA16" s="50"/>
      <c r="AH16" s="57" t="s">
        <v>60</v>
      </c>
      <c r="AI16" s="23">
        <f>AI11-AI12*AI13/AI14</f>
        <v>9.6393909380186855</v>
      </c>
      <c r="AJ16" s="23" t="s">
        <v>61</v>
      </c>
    </row>
    <row r="17" spans="1:19" x14ac:dyDescent="0.25">
      <c r="A17" s="53">
        <f t="shared" si="2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3"/>
        <v/>
      </c>
      <c r="J17" s="46">
        <f t="shared" si="4"/>
        <v>-1</v>
      </c>
      <c r="K17" s="46">
        <f t="shared" si="0"/>
        <v>-10</v>
      </c>
      <c r="L17" s="46"/>
      <c r="M17" s="48">
        <f t="shared" si="1"/>
        <v>0</v>
      </c>
    </row>
    <row r="18" spans="1:19" x14ac:dyDescent="0.25">
      <c r="A18" s="54">
        <f t="shared" si="2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3"/>
        <v/>
      </c>
      <c r="J18" s="40">
        <f t="shared" si="4"/>
        <v>-1</v>
      </c>
      <c r="K18" s="40">
        <f t="shared" si="0"/>
        <v>-10</v>
      </c>
      <c r="L18" s="40"/>
      <c r="M18" s="42">
        <f t="shared" si="1"/>
        <v>0</v>
      </c>
    </row>
    <row r="19" spans="1:19" x14ac:dyDescent="0.25">
      <c r="A19" s="53">
        <f t="shared" si="2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3"/>
        <v/>
      </c>
      <c r="J19" s="46">
        <f t="shared" si="4"/>
        <v>-1</v>
      </c>
      <c r="K19" s="46">
        <f t="shared" si="0"/>
        <v>-10</v>
      </c>
      <c r="L19" s="46"/>
      <c r="M19" s="48">
        <f t="shared" si="1"/>
        <v>0</v>
      </c>
    </row>
    <row r="20" spans="1:19" x14ac:dyDescent="0.25">
      <c r="A20" s="54">
        <f t="shared" si="2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3"/>
        <v/>
      </c>
      <c r="J20" s="40">
        <f t="shared" si="4"/>
        <v>-1</v>
      </c>
      <c r="K20" s="40">
        <f t="shared" si="0"/>
        <v>-10</v>
      </c>
      <c r="L20" s="40"/>
      <c r="M20" s="42">
        <f t="shared" si="1"/>
        <v>0</v>
      </c>
      <c r="R20" s="58"/>
      <c r="S20" s="59"/>
    </row>
    <row r="21" spans="1:19" x14ac:dyDescent="0.25">
      <c r="A21" s="53">
        <f t="shared" si="2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3"/>
        <v/>
      </c>
      <c r="J21" s="46">
        <f t="shared" si="4"/>
        <v>-1</v>
      </c>
      <c r="K21" s="46">
        <f t="shared" si="0"/>
        <v>-10</v>
      </c>
      <c r="L21" s="46"/>
      <c r="M21" s="48">
        <f t="shared" si="1"/>
        <v>0</v>
      </c>
    </row>
    <row r="22" spans="1:19" x14ac:dyDescent="0.25">
      <c r="A22" s="54">
        <f t="shared" si="2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3"/>
        <v/>
      </c>
      <c r="J22" s="40">
        <f t="shared" si="4"/>
        <v>-2</v>
      </c>
      <c r="K22" s="40">
        <f t="shared" si="0"/>
        <v>-20</v>
      </c>
      <c r="L22" s="40"/>
      <c r="M22" s="42">
        <f t="shared" si="1"/>
        <v>0</v>
      </c>
    </row>
    <row r="23" spans="1:19" x14ac:dyDescent="0.25">
      <c r="A23" s="53">
        <f t="shared" si="2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3"/>
        <v/>
      </c>
      <c r="J23" s="46">
        <f t="shared" si="4"/>
        <v>-2</v>
      </c>
      <c r="K23" s="46">
        <f t="shared" si="0"/>
        <v>-20</v>
      </c>
      <c r="L23" s="46"/>
      <c r="M23" s="48">
        <f t="shared" si="1"/>
        <v>0</v>
      </c>
    </row>
    <row r="24" spans="1:19" x14ac:dyDescent="0.25">
      <c r="A24" s="54">
        <f t="shared" si="2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3"/>
        <v/>
      </c>
      <c r="J24" s="40">
        <f t="shared" si="4"/>
        <v>-2</v>
      </c>
      <c r="K24" s="40">
        <f t="shared" si="0"/>
        <v>-20</v>
      </c>
      <c r="L24" s="40"/>
      <c r="M24" s="42">
        <f t="shared" si="1"/>
        <v>0</v>
      </c>
      <c r="R24" s="58"/>
      <c r="S24" s="59"/>
    </row>
    <row r="25" spans="1:19" x14ac:dyDescent="0.25">
      <c r="A25" s="53">
        <f t="shared" si="2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3"/>
        <v/>
      </c>
      <c r="J25" s="46">
        <f t="shared" si="4"/>
        <v>-2</v>
      </c>
      <c r="K25" s="46">
        <f t="shared" si="0"/>
        <v>-20</v>
      </c>
      <c r="L25" s="46"/>
      <c r="M25" s="48">
        <f t="shared" si="1"/>
        <v>0</v>
      </c>
    </row>
    <row r="26" spans="1:19" x14ac:dyDescent="0.25">
      <c r="A26" s="54">
        <f t="shared" si="2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3"/>
        <v/>
      </c>
      <c r="J26" s="40">
        <f t="shared" si="4"/>
        <v>-2</v>
      </c>
      <c r="K26" s="40">
        <f t="shared" si="0"/>
        <v>-20</v>
      </c>
      <c r="L26" s="40"/>
      <c r="M26" s="42">
        <f t="shared" si="1"/>
        <v>0</v>
      </c>
    </row>
    <row r="27" spans="1:19" x14ac:dyDescent="0.25">
      <c r="A27" s="53">
        <f t="shared" si="2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3"/>
        <v/>
      </c>
      <c r="J27" s="46">
        <f t="shared" si="4"/>
        <v>-2</v>
      </c>
      <c r="K27" s="46">
        <f t="shared" si="0"/>
        <v>-20</v>
      </c>
      <c r="L27" s="46"/>
      <c r="M27" s="48">
        <f t="shared" si="1"/>
        <v>0</v>
      </c>
    </row>
    <row r="28" spans="1:19" x14ac:dyDescent="0.25">
      <c r="A28" s="54">
        <f t="shared" si="2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3"/>
        <v/>
      </c>
      <c r="J28" s="40">
        <f t="shared" si="4"/>
        <v>-2</v>
      </c>
      <c r="K28" s="40">
        <f t="shared" si="0"/>
        <v>-20</v>
      </c>
      <c r="L28" s="40"/>
      <c r="M28" s="42">
        <f t="shared" si="1"/>
        <v>0</v>
      </c>
      <c r="R28" s="58"/>
      <c r="S28" s="59"/>
    </row>
    <row r="29" spans="1:19" x14ac:dyDescent="0.25">
      <c r="A29" s="53">
        <f t="shared" si="2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3"/>
        <v/>
      </c>
      <c r="J29" s="46">
        <f t="shared" si="4"/>
        <v>-2</v>
      </c>
      <c r="K29" s="46">
        <f t="shared" si="0"/>
        <v>-20</v>
      </c>
      <c r="L29" s="46"/>
      <c r="M29" s="48">
        <f t="shared" si="1"/>
        <v>0</v>
      </c>
    </row>
    <row r="30" spans="1:19" x14ac:dyDescent="0.25">
      <c r="A30" s="54">
        <f t="shared" si="2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3"/>
        <v/>
      </c>
      <c r="J30" s="40">
        <f t="shared" si="4"/>
        <v>-2</v>
      </c>
      <c r="K30" s="40">
        <f t="shared" si="0"/>
        <v>-20</v>
      </c>
      <c r="L30" s="40"/>
      <c r="M30" s="42">
        <f t="shared" si="1"/>
        <v>0</v>
      </c>
    </row>
    <row r="31" spans="1:19" x14ac:dyDescent="0.25">
      <c r="A31" s="53">
        <f t="shared" si="2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3"/>
        <v/>
      </c>
      <c r="J31" s="46">
        <f t="shared" si="4"/>
        <v>-2</v>
      </c>
      <c r="K31" s="46">
        <f t="shared" si="0"/>
        <v>-20</v>
      </c>
      <c r="L31" s="46"/>
      <c r="M31" s="48">
        <f t="shared" si="1"/>
        <v>0</v>
      </c>
    </row>
    <row r="32" spans="1:19" x14ac:dyDescent="0.25">
      <c r="A32" s="54">
        <f t="shared" si="2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3"/>
        <v/>
      </c>
      <c r="J32" s="40">
        <f t="shared" si="4"/>
        <v>-2</v>
      </c>
      <c r="K32" s="40">
        <f t="shared" si="0"/>
        <v>-20</v>
      </c>
      <c r="L32" s="40"/>
      <c r="M32" s="42">
        <f t="shared" si="1"/>
        <v>0</v>
      </c>
      <c r="R32" s="58"/>
      <c r="S32" s="59"/>
    </row>
    <row r="33" spans="1:21" x14ac:dyDescent="0.25">
      <c r="A33" s="53">
        <f t="shared" si="2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3"/>
        <v/>
      </c>
      <c r="J33" s="46">
        <f t="shared" si="4"/>
        <v>-2</v>
      </c>
      <c r="K33" s="46">
        <f t="shared" si="0"/>
        <v>-20</v>
      </c>
      <c r="L33" s="46"/>
      <c r="M33" s="48">
        <f t="shared" si="1"/>
        <v>0</v>
      </c>
    </row>
    <row r="34" spans="1:21" x14ac:dyDescent="0.25">
      <c r="A34" s="54">
        <f t="shared" si="2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3"/>
        <v/>
      </c>
      <c r="J34" s="40">
        <f t="shared" si="4"/>
        <v>-2</v>
      </c>
      <c r="K34" s="40">
        <f t="shared" si="0"/>
        <v>-20</v>
      </c>
      <c r="L34" s="40"/>
      <c r="M34" s="42">
        <f t="shared" si="1"/>
        <v>0</v>
      </c>
    </row>
    <row r="35" spans="1:21" x14ac:dyDescent="0.25">
      <c r="A35" s="53">
        <f t="shared" si="2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3"/>
        <v/>
      </c>
      <c r="J35" s="46">
        <f t="shared" si="4"/>
        <v>-2</v>
      </c>
      <c r="K35" s="46">
        <f t="shared" si="0"/>
        <v>-20</v>
      </c>
      <c r="L35" s="46"/>
      <c r="M35" s="48">
        <f t="shared" si="1"/>
        <v>0</v>
      </c>
    </row>
    <row r="36" spans="1:21" x14ac:dyDescent="0.25">
      <c r="A36" s="54">
        <f t="shared" si="2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3"/>
        <v/>
      </c>
      <c r="J36" s="40">
        <f t="shared" si="4"/>
        <v>-2</v>
      </c>
      <c r="K36" s="40">
        <f t="shared" si="0"/>
        <v>-20</v>
      </c>
      <c r="L36" s="40"/>
      <c r="M36" s="42">
        <f t="shared" si="1"/>
        <v>0</v>
      </c>
      <c r="R36" s="58"/>
      <c r="S36" s="59"/>
    </row>
    <row r="37" spans="1:21" x14ac:dyDescent="0.25">
      <c r="A37" s="53">
        <f t="shared" si="2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3"/>
        <v/>
      </c>
      <c r="J37" s="46">
        <f t="shared" si="4"/>
        <v>-2</v>
      </c>
      <c r="K37" s="46">
        <f t="shared" si="0"/>
        <v>-20</v>
      </c>
      <c r="L37" s="46"/>
      <c r="M37" s="48">
        <f t="shared" si="1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3"/>
        <v/>
      </c>
      <c r="J38" s="40">
        <f t="shared" si="4"/>
        <v>-3</v>
      </c>
      <c r="K38" s="40">
        <f t="shared" si="0"/>
        <v>-30</v>
      </c>
      <c r="L38" s="40"/>
      <c r="M38" s="42">
        <f t="shared" si="1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3"/>
        <v/>
      </c>
      <c r="J39" s="46">
        <f t="shared" si="4"/>
        <v>-3</v>
      </c>
      <c r="K39" s="46">
        <f t="shared" si="0"/>
        <v>-30</v>
      </c>
      <c r="L39" s="46"/>
      <c r="M39" s="48">
        <f t="shared" si="1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3"/>
        <v/>
      </c>
      <c r="J40" s="40">
        <f t="shared" si="4"/>
        <v>-3</v>
      </c>
      <c r="K40" s="40">
        <f t="shared" si="0"/>
        <v>-30</v>
      </c>
      <c r="L40" s="40"/>
      <c r="M40" s="42">
        <f t="shared" si="1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3"/>
        <v/>
      </c>
      <c r="J41" s="46">
        <f t="shared" si="4"/>
        <v>-3</v>
      </c>
      <c r="K41" s="46">
        <f t="shared" si="0"/>
        <v>-30</v>
      </c>
      <c r="L41" s="46"/>
      <c r="M41" s="48">
        <f t="shared" si="1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3"/>
        <v/>
      </c>
      <c r="J42" s="40">
        <f t="shared" si="4"/>
        <v>-3</v>
      </c>
      <c r="K42" s="40">
        <f t="shared" si="0"/>
        <v>-30</v>
      </c>
      <c r="L42" s="40"/>
      <c r="M42" s="42">
        <f t="shared" si="1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3"/>
        <v/>
      </c>
      <c r="J43" s="46">
        <f t="shared" si="4"/>
        <v>-3</v>
      </c>
      <c r="K43" s="46">
        <f t="shared" si="0"/>
        <v>-30</v>
      </c>
      <c r="L43" s="46"/>
      <c r="M43" s="48">
        <f t="shared" si="1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3"/>
        <v/>
      </c>
      <c r="J44" s="40">
        <f t="shared" si="4"/>
        <v>-3</v>
      </c>
      <c r="K44" s="40">
        <f t="shared" si="0"/>
        <v>-30</v>
      </c>
      <c r="L44" s="40"/>
      <c r="M44" s="42">
        <f t="shared" si="1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3"/>
        <v/>
      </c>
      <c r="J45" s="46">
        <f t="shared" si="4"/>
        <v>-3</v>
      </c>
      <c r="K45" s="46">
        <f t="shared" si="0"/>
        <v>-30</v>
      </c>
      <c r="L45" s="46"/>
      <c r="M45" s="48">
        <f t="shared" si="1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3"/>
        <v/>
      </c>
      <c r="J46" s="40">
        <f t="shared" si="4"/>
        <v>-3</v>
      </c>
      <c r="K46" s="40">
        <f t="shared" si="0"/>
        <v>-30</v>
      </c>
      <c r="L46" s="40"/>
      <c r="M46" s="42">
        <f t="shared" si="1"/>
        <v>0</v>
      </c>
      <c r="R46" s="18">
        <f>LOG($H$2,2)</f>
        <v>2.5849625007211561</v>
      </c>
      <c r="T46" s="23">
        <f>LOG(H38,2)</f>
        <v>5.0443941193584534</v>
      </c>
      <c r="U46" s="23">
        <f>R46-T46</f>
        <v>-2.4594316186372973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3"/>
        <v/>
      </c>
      <c r="J47" s="46">
        <f t="shared" si="4"/>
        <v>-3</v>
      </c>
      <c r="K47" s="46">
        <f t="shared" si="0"/>
        <v>-30</v>
      </c>
      <c r="L47" s="46"/>
      <c r="M47" s="48">
        <f t="shared" si="1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3"/>
        <v/>
      </c>
      <c r="J48" s="40">
        <f t="shared" si="4"/>
        <v>-3</v>
      </c>
      <c r="K48" s="40">
        <f t="shared" si="0"/>
        <v>-30</v>
      </c>
      <c r="L48" s="40"/>
      <c r="M48" s="42">
        <f t="shared" si="1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3"/>
        <v/>
      </c>
      <c r="J49" s="46">
        <f t="shared" si="4"/>
        <v>-3</v>
      </c>
      <c r="K49" s="46">
        <f t="shared" si="0"/>
        <v>-30</v>
      </c>
      <c r="L49" s="46"/>
      <c r="M49" s="48">
        <f t="shared" si="1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3"/>
        <v/>
      </c>
      <c r="J50" s="40">
        <f t="shared" si="4"/>
        <v>-3</v>
      </c>
      <c r="K50" s="40">
        <f t="shared" si="0"/>
        <v>-30</v>
      </c>
      <c r="L50" s="40"/>
      <c r="M50" s="42">
        <f t="shared" si="1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3"/>
        <v/>
      </c>
      <c r="J51" s="46">
        <f t="shared" si="4"/>
        <v>-3</v>
      </c>
      <c r="K51" s="46">
        <f t="shared" si="0"/>
        <v>-30</v>
      </c>
      <c r="L51" s="46"/>
      <c r="M51" s="48">
        <f t="shared" si="1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3"/>
        <v/>
      </c>
      <c r="J52" s="40">
        <f t="shared" si="4"/>
        <v>-3</v>
      </c>
      <c r="K52" s="40">
        <f t="shared" si="0"/>
        <v>-30</v>
      </c>
      <c r="L52" s="40"/>
      <c r="M52" s="42">
        <f t="shared" si="1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3"/>
        <v/>
      </c>
      <c r="J53" s="46">
        <f t="shared" si="4"/>
        <v>-3</v>
      </c>
      <c r="K53" s="46">
        <f t="shared" si="0"/>
        <v>-30</v>
      </c>
      <c r="L53" s="46"/>
      <c r="M53" s="48">
        <f t="shared" si="1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3"/>
        <v/>
      </c>
      <c r="J54" s="40">
        <f t="shared" si="4"/>
        <v>-3</v>
      </c>
      <c r="K54" s="40">
        <f t="shared" si="0"/>
        <v>-30</v>
      </c>
      <c r="L54" s="40"/>
      <c r="M54" s="42">
        <f t="shared" si="1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3"/>
        <v/>
      </c>
      <c r="J55" s="46">
        <f t="shared" si="4"/>
        <v>-3</v>
      </c>
      <c r="K55" s="46">
        <f t="shared" si="0"/>
        <v>-30</v>
      </c>
      <c r="L55" s="46"/>
      <c r="M55" s="48">
        <f t="shared" si="1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3"/>
        <v/>
      </c>
      <c r="J56" s="40">
        <f t="shared" si="4"/>
        <v>-3</v>
      </c>
      <c r="K56" s="40">
        <f t="shared" si="0"/>
        <v>-30</v>
      </c>
      <c r="L56" s="40"/>
      <c r="M56" s="42">
        <f t="shared" si="1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3"/>
        <v/>
      </c>
      <c r="J57" s="46">
        <f t="shared" si="4"/>
        <v>-3</v>
      </c>
      <c r="K57" s="46">
        <f t="shared" si="0"/>
        <v>-30</v>
      </c>
      <c r="L57" s="46"/>
      <c r="M57" s="48">
        <f t="shared" si="1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3"/>
        <v/>
      </c>
      <c r="J58" s="40">
        <f t="shared" si="4"/>
        <v>-3</v>
      </c>
      <c r="K58" s="40">
        <f t="shared" si="0"/>
        <v>-30</v>
      </c>
      <c r="L58" s="40"/>
      <c r="M58" s="42">
        <f t="shared" si="1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3"/>
        <v/>
      </c>
      <c r="J59" s="46">
        <f t="shared" si="4"/>
        <v>-3</v>
      </c>
      <c r="K59" s="46">
        <f t="shared" si="0"/>
        <v>-30</v>
      </c>
      <c r="L59" s="46"/>
      <c r="M59" s="48">
        <f t="shared" si="1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3"/>
        <v/>
      </c>
      <c r="J60" s="40">
        <f t="shared" si="4"/>
        <v>-3</v>
      </c>
      <c r="K60" s="40">
        <f t="shared" si="0"/>
        <v>-30</v>
      </c>
      <c r="L60" s="40"/>
      <c r="M60" s="42">
        <f t="shared" si="1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3"/>
        <v/>
      </c>
      <c r="J61" s="46">
        <f t="shared" si="4"/>
        <v>-3</v>
      </c>
      <c r="K61" s="46">
        <f t="shared" si="0"/>
        <v>-30</v>
      </c>
      <c r="L61" s="46"/>
      <c r="M61" s="48">
        <f t="shared" si="1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3"/>
        <v/>
      </c>
      <c r="J62" s="40">
        <f t="shared" si="4"/>
        <v>-3</v>
      </c>
      <c r="K62" s="40">
        <f t="shared" si="0"/>
        <v>-30</v>
      </c>
      <c r="L62" s="40"/>
      <c r="M62" s="42">
        <f t="shared" si="1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3"/>
        <v/>
      </c>
      <c r="J63" s="46">
        <f t="shared" si="4"/>
        <v>-3</v>
      </c>
      <c r="K63" s="46">
        <f t="shared" si="0"/>
        <v>-30</v>
      </c>
      <c r="L63" s="46"/>
      <c r="M63" s="48">
        <f t="shared" si="1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3"/>
        <v/>
      </c>
      <c r="J64" s="40">
        <f t="shared" si="4"/>
        <v>-3</v>
      </c>
      <c r="K64" s="40">
        <f t="shared" si="0"/>
        <v>-30</v>
      </c>
      <c r="L64" s="40"/>
      <c r="M64" s="42">
        <f t="shared" si="1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3"/>
        <v/>
      </c>
      <c r="J65" s="46">
        <f t="shared" si="4"/>
        <v>-3</v>
      </c>
      <c r="K65" s="46">
        <f t="shared" si="0"/>
        <v>-30</v>
      </c>
      <c r="L65" s="46"/>
      <c r="M65" s="48">
        <f t="shared" si="1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3"/>
        <v/>
      </c>
      <c r="J66" s="40">
        <f t="shared" si="4"/>
        <v>-3</v>
      </c>
      <c r="K66" s="40">
        <f t="shared" si="0"/>
        <v>-30</v>
      </c>
      <c r="L66" s="40"/>
      <c r="M66" s="42">
        <f t="shared" si="1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3"/>
        <v/>
      </c>
      <c r="J67" s="40">
        <f t="shared" si="4"/>
        <v>-3</v>
      </c>
      <c r="K67" s="40">
        <f t="shared" si="0"/>
        <v>-30</v>
      </c>
      <c r="L67" s="40"/>
      <c r="M67" s="42">
        <f t="shared" si="1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3"/>
        <v/>
      </c>
      <c r="J68" s="40">
        <f t="shared" si="4"/>
        <v>-3</v>
      </c>
      <c r="K68" s="40">
        <f t="shared" si="0"/>
        <v>-30</v>
      </c>
      <c r="L68" s="40"/>
      <c r="M68" s="42">
        <f t="shared" si="1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3"/>
        <v/>
      </c>
      <c r="J69" s="40">
        <f t="shared" si="4"/>
        <v>-3</v>
      </c>
      <c r="K69" s="40">
        <f t="shared" si="0"/>
        <v>-30</v>
      </c>
      <c r="L69" s="40"/>
      <c r="M69" s="42">
        <f t="shared" si="1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4"/>
        <v>-4</v>
      </c>
      <c r="K70" s="40">
        <f t="shared" ref="K70:K133" si="8">J70*$J$2</f>
        <v>-40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-4</v>
      </c>
      <c r="K71" s="40">
        <f t="shared" si="8"/>
        <v>-40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>
        <f t="shared" si="10"/>
        <v>-4</v>
      </c>
      <c r="K72" s="40">
        <f t="shared" si="8"/>
        <v>-40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>
        <f t="shared" si="10"/>
        <v>-4</v>
      </c>
      <c r="K73" s="40">
        <f t="shared" si="8"/>
        <v>-40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>
        <f t="shared" si="10"/>
        <v>-4</v>
      </c>
      <c r="K74" s="40">
        <f t="shared" si="8"/>
        <v>-40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>
        <f t="shared" si="10"/>
        <v>-4</v>
      </c>
      <c r="K75" s="40">
        <f t="shared" si="8"/>
        <v>-40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>
        <f t="shared" si="10"/>
        <v>-4</v>
      </c>
      <c r="K76" s="40">
        <f t="shared" si="8"/>
        <v>-40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>
        <f t="shared" si="10"/>
        <v>-4</v>
      </c>
      <c r="K77" s="40">
        <f t="shared" si="8"/>
        <v>-40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>
        <f t="shared" si="10"/>
        <v>-4</v>
      </c>
      <c r="K78" s="40">
        <f t="shared" si="8"/>
        <v>-40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>
        <f t="shared" si="10"/>
        <v>-4</v>
      </c>
      <c r="K79" s="40">
        <f t="shared" si="8"/>
        <v>-40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>
        <f t="shared" si="10"/>
        <v>-4</v>
      </c>
      <c r="K80" s="40">
        <f t="shared" si="8"/>
        <v>-40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>
        <f t="shared" si="10"/>
        <v>-4</v>
      </c>
      <c r="K81" s="40">
        <f t="shared" si="8"/>
        <v>-40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>
        <f t="shared" si="10"/>
        <v>-4</v>
      </c>
      <c r="K82" s="40">
        <f t="shared" si="8"/>
        <v>-40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>
        <f t="shared" si="10"/>
        <v>-4</v>
      </c>
      <c r="K83" s="40">
        <f t="shared" si="8"/>
        <v>-40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>
        <f t="shared" si="10"/>
        <v>-4</v>
      </c>
      <c r="K84" s="40">
        <f t="shared" si="8"/>
        <v>-40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>
        <f t="shared" si="10"/>
        <v>-4</v>
      </c>
      <c r="K85" s="40">
        <f t="shared" si="8"/>
        <v>-40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>
        <f t="shared" si="10"/>
        <v>-4</v>
      </c>
      <c r="K86" s="40">
        <f t="shared" si="8"/>
        <v>-40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>
        <f t="shared" si="10"/>
        <v>-4</v>
      </c>
      <c r="K87" s="40">
        <f t="shared" si="8"/>
        <v>-40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>
        <f t="shared" si="10"/>
        <v>-4</v>
      </c>
      <c r="K88" s="40">
        <f t="shared" si="8"/>
        <v>-40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>
        <f t="shared" si="10"/>
        <v>-4</v>
      </c>
      <c r="K89" s="40">
        <f t="shared" si="8"/>
        <v>-40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>
        <f t="shared" si="10"/>
        <v>-4</v>
      </c>
      <c r="K90" s="40">
        <f t="shared" si="8"/>
        <v>-40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>
        <f t="shared" si="10"/>
        <v>-4</v>
      </c>
      <c r="K91" s="40">
        <f t="shared" si="8"/>
        <v>-40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>
        <f t="shared" si="10"/>
        <v>-4</v>
      </c>
      <c r="K92" s="40">
        <f t="shared" si="8"/>
        <v>-40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>
        <f t="shared" si="10"/>
        <v>-4</v>
      </c>
      <c r="K93" s="40">
        <f t="shared" si="8"/>
        <v>-40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>
        <f t="shared" si="10"/>
        <v>-4</v>
      </c>
      <c r="K94" s="40">
        <f t="shared" si="8"/>
        <v>-40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>
        <f t="shared" si="10"/>
        <v>-4</v>
      </c>
      <c r="K95" s="40">
        <f t="shared" si="8"/>
        <v>-40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>
        <f t="shared" si="10"/>
        <v>-4</v>
      </c>
      <c r="K96" s="40">
        <f t="shared" si="8"/>
        <v>-40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>
        <f t="shared" si="10"/>
        <v>-4</v>
      </c>
      <c r="K97" s="40">
        <f t="shared" si="8"/>
        <v>-40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>
        <f t="shared" si="10"/>
        <v>-4</v>
      </c>
      <c r="K98" s="40">
        <f t="shared" si="8"/>
        <v>-40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>
        <f t="shared" si="10"/>
        <v>-4</v>
      </c>
      <c r="K99" s="40">
        <f t="shared" si="8"/>
        <v>-40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>
        <f t="shared" si="10"/>
        <v>-4</v>
      </c>
      <c r="K100" s="40">
        <f t="shared" si="8"/>
        <v>-40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>
        <f t="shared" si="10"/>
        <v>-4</v>
      </c>
      <c r="K101" s="40">
        <f t="shared" si="8"/>
        <v>-40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>
        <f t="shared" si="10"/>
        <v>-4</v>
      </c>
      <c r="K102" s="40">
        <f t="shared" si="8"/>
        <v>-40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>
        <f t="shared" si="10"/>
        <v>-4</v>
      </c>
      <c r="K103" s="40">
        <f t="shared" si="8"/>
        <v>-40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>
        <f t="shared" si="10"/>
        <v>-4</v>
      </c>
      <c r="K104" s="40">
        <f t="shared" si="8"/>
        <v>-40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>
        <f t="shared" si="10"/>
        <v>-4</v>
      </c>
      <c r="K105" s="40">
        <f t="shared" si="8"/>
        <v>-40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>
        <f t="shared" si="10"/>
        <v>-4</v>
      </c>
      <c r="K106" s="40">
        <f t="shared" si="8"/>
        <v>-40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>
        <f t="shared" si="10"/>
        <v>-4</v>
      </c>
      <c r="K107" s="40">
        <f t="shared" si="8"/>
        <v>-40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>
        <f t="shared" si="10"/>
        <v>-4</v>
      </c>
      <c r="K108" s="40">
        <f t="shared" si="8"/>
        <v>-40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>
        <f t="shared" si="10"/>
        <v>-4</v>
      </c>
      <c r="K109" s="40">
        <f t="shared" si="8"/>
        <v>-40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>
        <f t="shared" si="10"/>
        <v>-4</v>
      </c>
      <c r="K110" s="40">
        <f t="shared" si="8"/>
        <v>-40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>
        <f t="shared" si="10"/>
        <v>-4</v>
      </c>
      <c r="K111" s="40">
        <f t="shared" si="8"/>
        <v>-40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>
        <f t="shared" si="10"/>
        <v>-4</v>
      </c>
      <c r="K112" s="40">
        <f t="shared" si="8"/>
        <v>-40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>
        <f t="shared" si="10"/>
        <v>-4</v>
      </c>
      <c r="K113" s="40">
        <f t="shared" si="8"/>
        <v>-40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>
        <f t="shared" si="10"/>
        <v>-4</v>
      </c>
      <c r="K114" s="40">
        <f t="shared" si="8"/>
        <v>-40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>
        <f t="shared" si="10"/>
        <v>-4</v>
      </c>
      <c r="K115" s="40">
        <f t="shared" si="8"/>
        <v>-40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>
        <f t="shared" si="10"/>
        <v>-4</v>
      </c>
      <c r="K116" s="40">
        <f t="shared" si="8"/>
        <v>-40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>
        <f t="shared" si="10"/>
        <v>-4</v>
      </c>
      <c r="K117" s="40">
        <f t="shared" si="8"/>
        <v>-40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>
        <f t="shared" si="10"/>
        <v>-4</v>
      </c>
      <c r="K118" s="40">
        <f t="shared" si="8"/>
        <v>-40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>
        <f t="shared" si="10"/>
        <v>-4</v>
      </c>
      <c r="K119" s="40">
        <f t="shared" si="8"/>
        <v>-40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>
        <f t="shared" si="10"/>
        <v>-4</v>
      </c>
      <c r="K120" s="40">
        <f t="shared" si="8"/>
        <v>-40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>
        <f t="shared" si="10"/>
        <v>-4</v>
      </c>
      <c r="K121" s="40">
        <f t="shared" si="8"/>
        <v>-40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>
        <f t="shared" si="10"/>
        <v>-4</v>
      </c>
      <c r="K122" s="40">
        <f t="shared" si="8"/>
        <v>-40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>
        <f t="shared" si="10"/>
        <v>-4</v>
      </c>
      <c r="K123" s="40">
        <f t="shared" si="8"/>
        <v>-40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>
        <f t="shared" si="10"/>
        <v>-4</v>
      </c>
      <c r="K124" s="40">
        <f t="shared" si="8"/>
        <v>-40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>
        <f t="shared" si="10"/>
        <v>-4</v>
      </c>
      <c r="K125" s="40">
        <f t="shared" si="8"/>
        <v>-40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>
        <f t="shared" si="10"/>
        <v>-4</v>
      </c>
      <c r="K126" s="40">
        <f t="shared" si="8"/>
        <v>-40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>
        <f t="shared" si="10"/>
        <v>-4</v>
      </c>
      <c r="K127" s="40">
        <f t="shared" si="8"/>
        <v>-40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>
        <f t="shared" si="10"/>
        <v>-4</v>
      </c>
      <c r="K128" s="40">
        <f t="shared" si="8"/>
        <v>-40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>
        <f t="shared" si="10"/>
        <v>-4</v>
      </c>
      <c r="K129" s="40">
        <f t="shared" si="8"/>
        <v>-40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>
        <f t="shared" si="10"/>
        <v>-4</v>
      </c>
      <c r="K130" s="40">
        <f t="shared" si="8"/>
        <v>-40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-4</v>
      </c>
      <c r="K131" s="40">
        <f t="shared" si="8"/>
        <v>-40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-4</v>
      </c>
      <c r="K132" s="40">
        <f t="shared" si="8"/>
        <v>-40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-4</v>
      </c>
      <c r="K133" s="40">
        <f t="shared" si="8"/>
        <v>-40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-5</v>
      </c>
      <c r="K134" s="40">
        <f t="shared" ref="K134:K197" si="12">J134*$J$2</f>
        <v>-50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-5</v>
      </c>
      <c r="K135" s="40">
        <f t="shared" si="12"/>
        <v>-50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-5</v>
      </c>
      <c r="K136" s="40">
        <f t="shared" si="12"/>
        <v>-50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-5</v>
      </c>
      <c r="K137" s="40">
        <f t="shared" si="12"/>
        <v>-50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-5</v>
      </c>
      <c r="K138" s="40">
        <f t="shared" si="12"/>
        <v>-50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-5</v>
      </c>
      <c r="K139" s="40">
        <f t="shared" si="12"/>
        <v>-50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-5</v>
      </c>
      <c r="K140" s="40">
        <f t="shared" si="12"/>
        <v>-50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-5</v>
      </c>
      <c r="K141" s="40">
        <f t="shared" si="12"/>
        <v>-50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-5</v>
      </c>
      <c r="K142" s="40">
        <f t="shared" si="12"/>
        <v>-50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-5</v>
      </c>
      <c r="K143" s="40">
        <f t="shared" si="12"/>
        <v>-50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-5</v>
      </c>
      <c r="K144" s="40">
        <f t="shared" si="12"/>
        <v>-50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-5</v>
      </c>
      <c r="K145" s="40">
        <f t="shared" si="12"/>
        <v>-50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-5</v>
      </c>
      <c r="K146" s="40">
        <f t="shared" si="12"/>
        <v>-50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-5</v>
      </c>
      <c r="K147" s="40">
        <f t="shared" si="12"/>
        <v>-50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-5</v>
      </c>
      <c r="K148" s="40">
        <f t="shared" si="12"/>
        <v>-50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-5</v>
      </c>
      <c r="K149" s="40">
        <f t="shared" si="12"/>
        <v>-50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-5</v>
      </c>
      <c r="K150" s="40">
        <f t="shared" si="12"/>
        <v>-50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-5</v>
      </c>
      <c r="K151" s="40">
        <f t="shared" si="12"/>
        <v>-50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-5</v>
      </c>
      <c r="K152" s="40">
        <f t="shared" si="12"/>
        <v>-50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-5</v>
      </c>
      <c r="K153" s="40">
        <f t="shared" si="12"/>
        <v>-50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-5</v>
      </c>
      <c r="K154" s="40">
        <f t="shared" si="12"/>
        <v>-50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-5</v>
      </c>
      <c r="K155" s="40">
        <f t="shared" si="12"/>
        <v>-50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-5</v>
      </c>
      <c r="K156" s="40">
        <f t="shared" si="12"/>
        <v>-50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-5</v>
      </c>
      <c r="K157" s="40">
        <f t="shared" si="12"/>
        <v>-50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-5</v>
      </c>
      <c r="K158" s="40">
        <f t="shared" si="12"/>
        <v>-50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-5</v>
      </c>
      <c r="K159" s="40">
        <f t="shared" si="12"/>
        <v>-50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-5</v>
      </c>
      <c r="K160" s="40">
        <f t="shared" si="12"/>
        <v>-50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-5</v>
      </c>
      <c r="K161" s="40">
        <f t="shared" si="12"/>
        <v>-50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-5</v>
      </c>
      <c r="K162" s="40">
        <f t="shared" si="12"/>
        <v>-50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-5</v>
      </c>
      <c r="K163" s="40">
        <f t="shared" si="12"/>
        <v>-50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-5</v>
      </c>
      <c r="K164" s="40">
        <f t="shared" si="12"/>
        <v>-50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-5</v>
      </c>
      <c r="K165" s="40">
        <f t="shared" si="12"/>
        <v>-50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-5</v>
      </c>
      <c r="K166" s="40">
        <f t="shared" si="12"/>
        <v>-50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-5</v>
      </c>
      <c r="K167" s="40">
        <f t="shared" si="12"/>
        <v>-50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-5</v>
      </c>
      <c r="K168" s="40">
        <f t="shared" si="12"/>
        <v>-50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-5</v>
      </c>
      <c r="K169" s="40">
        <f t="shared" si="12"/>
        <v>-50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-5</v>
      </c>
      <c r="K170" s="40">
        <f t="shared" si="12"/>
        <v>-50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-5</v>
      </c>
      <c r="K171" s="40">
        <f t="shared" si="12"/>
        <v>-50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-5</v>
      </c>
      <c r="K172" s="40">
        <f t="shared" si="12"/>
        <v>-50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-5</v>
      </c>
      <c r="K173" s="40">
        <f t="shared" si="12"/>
        <v>-50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-5</v>
      </c>
      <c r="K174" s="40">
        <f t="shared" si="12"/>
        <v>-50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-5</v>
      </c>
      <c r="K175" s="40">
        <f t="shared" si="12"/>
        <v>-50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-5</v>
      </c>
      <c r="K176" s="40">
        <f t="shared" si="12"/>
        <v>-50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-5</v>
      </c>
      <c r="K177" s="40">
        <f t="shared" si="12"/>
        <v>-50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-5</v>
      </c>
      <c r="K178" s="40">
        <f t="shared" si="12"/>
        <v>-50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-5</v>
      </c>
      <c r="K179" s="40">
        <f t="shared" si="12"/>
        <v>-50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-5</v>
      </c>
      <c r="K180" s="40">
        <f t="shared" si="12"/>
        <v>-50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-5</v>
      </c>
      <c r="K181" s="40">
        <f t="shared" si="12"/>
        <v>-50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-5</v>
      </c>
      <c r="K182" s="40">
        <f t="shared" si="12"/>
        <v>-50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-5</v>
      </c>
      <c r="K183" s="40">
        <f t="shared" si="12"/>
        <v>-50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-5</v>
      </c>
      <c r="K184" s="40">
        <f t="shared" si="12"/>
        <v>-50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-5</v>
      </c>
      <c r="K185" s="40">
        <f t="shared" si="12"/>
        <v>-50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-5</v>
      </c>
      <c r="K186" s="40">
        <f t="shared" si="12"/>
        <v>-50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-5</v>
      </c>
      <c r="K187" s="40">
        <f t="shared" si="12"/>
        <v>-50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-5</v>
      </c>
      <c r="K188" s="40">
        <f t="shared" si="12"/>
        <v>-50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-5</v>
      </c>
      <c r="K189" s="40">
        <f t="shared" si="12"/>
        <v>-50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-5</v>
      </c>
      <c r="K190" s="40">
        <f t="shared" si="12"/>
        <v>-50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-5</v>
      </c>
      <c r="K191" s="40">
        <f t="shared" si="12"/>
        <v>-50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-5</v>
      </c>
      <c r="K192" s="40">
        <f t="shared" si="12"/>
        <v>-50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-5</v>
      </c>
      <c r="K193" s="40">
        <f t="shared" si="12"/>
        <v>-50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-5</v>
      </c>
      <c r="K194" s="40">
        <f t="shared" si="12"/>
        <v>-50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-5</v>
      </c>
      <c r="K195" s="40">
        <f t="shared" si="12"/>
        <v>-50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-5</v>
      </c>
      <c r="K196" s="40">
        <f t="shared" si="12"/>
        <v>-50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-5</v>
      </c>
      <c r="K197" s="40">
        <f t="shared" si="12"/>
        <v>-50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-5</v>
      </c>
      <c r="K198" s="40">
        <f t="shared" ref="K198:K261" si="16">J198*$J$2</f>
        <v>-50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-5</v>
      </c>
      <c r="K199" s="40">
        <f t="shared" si="16"/>
        <v>-50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-5</v>
      </c>
      <c r="K200" s="40">
        <f t="shared" si="16"/>
        <v>-50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-5</v>
      </c>
      <c r="K201" s="40">
        <f t="shared" si="16"/>
        <v>-50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-5</v>
      </c>
      <c r="K202" s="40">
        <f t="shared" si="16"/>
        <v>-50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-5</v>
      </c>
      <c r="K203" s="40">
        <f t="shared" si="16"/>
        <v>-50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-5</v>
      </c>
      <c r="K204" s="40">
        <f t="shared" si="16"/>
        <v>-50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-5</v>
      </c>
      <c r="K205" s="40">
        <f t="shared" si="16"/>
        <v>-50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-5</v>
      </c>
      <c r="K206" s="40">
        <f t="shared" si="16"/>
        <v>-50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-5</v>
      </c>
      <c r="K207" s="40">
        <f t="shared" si="16"/>
        <v>-50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-5</v>
      </c>
      <c r="K208" s="40">
        <f t="shared" si="16"/>
        <v>-50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-5</v>
      </c>
      <c r="K209" s="40">
        <f t="shared" si="16"/>
        <v>-50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-5</v>
      </c>
      <c r="K210" s="40">
        <f t="shared" si="16"/>
        <v>-50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-5</v>
      </c>
      <c r="K211" s="40">
        <f t="shared" si="16"/>
        <v>-50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-5</v>
      </c>
      <c r="K212" s="40">
        <f t="shared" si="16"/>
        <v>-50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-5</v>
      </c>
      <c r="K213" s="40">
        <f t="shared" si="16"/>
        <v>-50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-5</v>
      </c>
      <c r="K214" s="40">
        <f t="shared" si="16"/>
        <v>-50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-5</v>
      </c>
      <c r="K215" s="40">
        <f t="shared" si="16"/>
        <v>-50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-5</v>
      </c>
      <c r="K216" s="40">
        <f t="shared" si="16"/>
        <v>-50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-5</v>
      </c>
      <c r="K217" s="40">
        <f t="shared" si="16"/>
        <v>-50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-5</v>
      </c>
      <c r="K218" s="40">
        <f t="shared" si="16"/>
        <v>-50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-5</v>
      </c>
      <c r="K219" s="40">
        <f t="shared" si="16"/>
        <v>-50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-5</v>
      </c>
      <c r="K220" s="40">
        <f t="shared" si="16"/>
        <v>-50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-5</v>
      </c>
      <c r="K221" s="40">
        <f t="shared" si="16"/>
        <v>-50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-5</v>
      </c>
      <c r="K222" s="40">
        <f t="shared" si="16"/>
        <v>-50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-5</v>
      </c>
      <c r="K223" s="40">
        <f t="shared" si="16"/>
        <v>-50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-5</v>
      </c>
      <c r="K224" s="40">
        <f t="shared" si="16"/>
        <v>-50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-5</v>
      </c>
      <c r="K225" s="40">
        <f t="shared" si="16"/>
        <v>-50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-5</v>
      </c>
      <c r="K226" s="40">
        <f t="shared" si="16"/>
        <v>-50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-5</v>
      </c>
      <c r="K227" s="40">
        <f t="shared" si="16"/>
        <v>-50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-5</v>
      </c>
      <c r="K228" s="40">
        <f t="shared" si="16"/>
        <v>-50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-5</v>
      </c>
      <c r="K229" s="40">
        <f t="shared" si="16"/>
        <v>-50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-5</v>
      </c>
      <c r="K230" s="40">
        <f t="shared" si="16"/>
        <v>-50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-5</v>
      </c>
      <c r="K231" s="40">
        <f t="shared" si="16"/>
        <v>-50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-5</v>
      </c>
      <c r="K232" s="40">
        <f t="shared" si="16"/>
        <v>-50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-5</v>
      </c>
      <c r="K233" s="40">
        <f t="shared" si="16"/>
        <v>-50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-5</v>
      </c>
      <c r="K234" s="40">
        <f t="shared" si="16"/>
        <v>-50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-5</v>
      </c>
      <c r="K235" s="40">
        <f t="shared" si="16"/>
        <v>-50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-5</v>
      </c>
      <c r="K236" s="40">
        <f t="shared" si="16"/>
        <v>-50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-5</v>
      </c>
      <c r="K237" s="40">
        <f t="shared" si="16"/>
        <v>-50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-5</v>
      </c>
      <c r="K238" s="40">
        <f t="shared" si="16"/>
        <v>-50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-5</v>
      </c>
      <c r="K239" s="40">
        <f t="shared" si="16"/>
        <v>-50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-5</v>
      </c>
      <c r="K240" s="40">
        <f t="shared" si="16"/>
        <v>-50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-5</v>
      </c>
      <c r="K241" s="40">
        <f t="shared" si="16"/>
        <v>-50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-5</v>
      </c>
      <c r="K242" s="40">
        <f t="shared" si="16"/>
        <v>-50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-5</v>
      </c>
      <c r="K243" s="40">
        <f t="shared" si="16"/>
        <v>-50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-5</v>
      </c>
      <c r="K244" s="40">
        <f t="shared" si="16"/>
        <v>-50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-5</v>
      </c>
      <c r="K245" s="40">
        <f t="shared" si="16"/>
        <v>-50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-5</v>
      </c>
      <c r="K246" s="40">
        <f t="shared" si="16"/>
        <v>-50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-5</v>
      </c>
      <c r="K247" s="40">
        <f t="shared" si="16"/>
        <v>-50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-5</v>
      </c>
      <c r="K248" s="40">
        <f t="shared" si="16"/>
        <v>-50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-5</v>
      </c>
      <c r="K249" s="40">
        <f t="shared" si="16"/>
        <v>-50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-5</v>
      </c>
      <c r="K250" s="40">
        <f t="shared" si="16"/>
        <v>-50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-5</v>
      </c>
      <c r="K251" s="40">
        <f t="shared" si="16"/>
        <v>-50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-5</v>
      </c>
      <c r="K252" s="40">
        <f t="shared" si="16"/>
        <v>-50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-5</v>
      </c>
      <c r="K253" s="40">
        <f t="shared" si="16"/>
        <v>-50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-5</v>
      </c>
      <c r="K254" s="40">
        <f t="shared" si="16"/>
        <v>-50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-5</v>
      </c>
      <c r="K255" s="40">
        <f t="shared" si="16"/>
        <v>-50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-5</v>
      </c>
      <c r="K256" s="40">
        <f t="shared" si="16"/>
        <v>-50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-5</v>
      </c>
      <c r="K257" s="40">
        <f t="shared" si="16"/>
        <v>-50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-5</v>
      </c>
      <c r="K258" s="40">
        <f t="shared" si="16"/>
        <v>-50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-5</v>
      </c>
      <c r="K259" s="40">
        <f t="shared" si="16"/>
        <v>-50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-5</v>
      </c>
      <c r="K260" s="40">
        <f t="shared" si="16"/>
        <v>-50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-5</v>
      </c>
      <c r="K261" s="40">
        <f t="shared" si="16"/>
        <v>-50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-6</v>
      </c>
      <c r="K262" s="40">
        <f t="shared" ref="K262:K305" si="20">J262*$J$2</f>
        <v>-60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-6</v>
      </c>
      <c r="K263" s="40">
        <f t="shared" si="20"/>
        <v>-60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-6</v>
      </c>
      <c r="K264" s="40">
        <f t="shared" si="20"/>
        <v>-60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-6</v>
      </c>
      <c r="K265" s="40">
        <f t="shared" si="20"/>
        <v>-60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-6</v>
      </c>
      <c r="K266" s="40">
        <f t="shared" si="20"/>
        <v>-60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-6</v>
      </c>
      <c r="K267" s="40">
        <f t="shared" si="20"/>
        <v>-60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-6</v>
      </c>
      <c r="K268" s="40">
        <f t="shared" si="20"/>
        <v>-60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-6</v>
      </c>
      <c r="K269" s="40">
        <f t="shared" si="20"/>
        <v>-60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-6</v>
      </c>
      <c r="K270" s="40">
        <f t="shared" si="20"/>
        <v>-60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-6</v>
      </c>
      <c r="K271" s="40">
        <f t="shared" si="20"/>
        <v>-60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-6</v>
      </c>
      <c r="K272" s="40">
        <f t="shared" si="20"/>
        <v>-60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-6</v>
      </c>
      <c r="K273" s="40">
        <f t="shared" si="20"/>
        <v>-60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-6</v>
      </c>
      <c r="K274" s="40">
        <f t="shared" si="20"/>
        <v>-60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-6</v>
      </c>
      <c r="K275" s="40">
        <f t="shared" si="20"/>
        <v>-60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-6</v>
      </c>
      <c r="K276" s="40">
        <f t="shared" si="20"/>
        <v>-60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-6</v>
      </c>
      <c r="K277" s="40">
        <f t="shared" si="20"/>
        <v>-60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-6</v>
      </c>
      <c r="K278" s="40">
        <f t="shared" si="20"/>
        <v>-60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-6</v>
      </c>
      <c r="K279" s="40">
        <f t="shared" si="20"/>
        <v>-60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-6</v>
      </c>
      <c r="K280" s="40">
        <f t="shared" si="20"/>
        <v>-60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-6</v>
      </c>
      <c r="K281" s="40">
        <f t="shared" si="20"/>
        <v>-60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-6</v>
      </c>
      <c r="K282" s="40">
        <f t="shared" si="20"/>
        <v>-60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-6</v>
      </c>
      <c r="K283" s="40">
        <f t="shared" si="20"/>
        <v>-60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-6</v>
      </c>
      <c r="K284" s="40">
        <f t="shared" si="20"/>
        <v>-60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-6</v>
      </c>
      <c r="K285" s="40">
        <f t="shared" si="20"/>
        <v>-60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-6</v>
      </c>
      <c r="K286" s="40">
        <f t="shared" si="20"/>
        <v>-60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-6</v>
      </c>
      <c r="K287" s="40">
        <f t="shared" si="20"/>
        <v>-60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-6</v>
      </c>
      <c r="K288" s="40">
        <f t="shared" si="20"/>
        <v>-60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-6</v>
      </c>
      <c r="K289" s="40">
        <f t="shared" si="20"/>
        <v>-60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-6</v>
      </c>
      <c r="K290" s="40">
        <f t="shared" si="20"/>
        <v>-60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-6</v>
      </c>
      <c r="K291" s="40">
        <f t="shared" si="20"/>
        <v>-60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-6</v>
      </c>
      <c r="K292" s="40">
        <f t="shared" si="20"/>
        <v>-60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-6</v>
      </c>
      <c r="K293" s="40">
        <f t="shared" si="20"/>
        <v>-60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-6</v>
      </c>
      <c r="K294" s="40">
        <f t="shared" si="20"/>
        <v>-60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-6</v>
      </c>
      <c r="K295" s="40">
        <f t="shared" si="20"/>
        <v>-60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-6</v>
      </c>
      <c r="K296" s="40">
        <f t="shared" si="20"/>
        <v>-60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-6</v>
      </c>
      <c r="K297" s="40">
        <f t="shared" si="20"/>
        <v>-60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-6</v>
      </c>
      <c r="K298" s="40">
        <f t="shared" si="20"/>
        <v>-60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-6</v>
      </c>
      <c r="K299" s="40">
        <f t="shared" si="20"/>
        <v>-60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-6</v>
      </c>
      <c r="K300" s="40">
        <f t="shared" si="20"/>
        <v>-60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-6</v>
      </c>
      <c r="K301" s="40">
        <f t="shared" si="20"/>
        <v>-60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-6</v>
      </c>
      <c r="K302" s="40">
        <f t="shared" si="20"/>
        <v>-60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-6</v>
      </c>
      <c r="K303" s="40">
        <f t="shared" si="20"/>
        <v>-60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-6</v>
      </c>
      <c r="K304" s="40">
        <f t="shared" si="20"/>
        <v>-60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-6</v>
      </c>
      <c r="K305" s="40">
        <f t="shared" si="20"/>
        <v>-60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D8973B03-EED8-42FE-9EDD-3287A6BB9C56}">
      <formula1>#REF!</formula1>
    </dataValidation>
  </dataValidations>
  <hyperlinks>
    <hyperlink ref="C2:D2" r:id="rId1" display="NIEPOŁOMICE" xr:uid="{9C9191C4-51EB-48DD-890C-EEE11D5AB74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76AC-93AE-4D25-A97B-C83DC69C2312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26</v>
      </c>
      <c r="I1" s="20" t="s">
        <v>27</v>
      </c>
      <c r="J1" s="20" t="s">
        <v>28</v>
      </c>
      <c r="K1" s="21" t="s">
        <v>29</v>
      </c>
      <c r="L1" s="22"/>
      <c r="M1" s="22"/>
    </row>
    <row r="2" spans="1:36" ht="14.45" customHeight="1" x14ac:dyDescent="0.25">
      <c r="A2" s="18"/>
      <c r="B2" s="24" t="s">
        <v>32</v>
      </c>
      <c r="C2" s="176" t="s">
        <v>68</v>
      </c>
      <c r="D2" s="176"/>
      <c r="E2" s="25"/>
      <c r="F2" s="25"/>
      <c r="G2" s="25"/>
      <c r="H2" s="26">
        <v>3</v>
      </c>
      <c r="I2" s="27">
        <v>50</v>
      </c>
      <c r="J2" s="27">
        <v>10</v>
      </c>
      <c r="K2" s="28">
        <f>3*H2^(1/3)</f>
        <v>4.3267487109222245</v>
      </c>
      <c r="L2" s="22"/>
      <c r="M2" s="22"/>
    </row>
    <row r="3" spans="1:36" ht="14.45" customHeight="1" x14ac:dyDescent="0.25">
      <c r="A3" s="18"/>
      <c r="B3" s="29" t="s">
        <v>34</v>
      </c>
      <c r="C3" s="177" t="s">
        <v>69</v>
      </c>
      <c r="D3" s="177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36</v>
      </c>
      <c r="B5" s="33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32"/>
      <c r="H5" s="34" t="s">
        <v>42</v>
      </c>
      <c r="I5" s="35" t="s">
        <v>43</v>
      </c>
      <c r="J5" s="36" t="s">
        <v>44</v>
      </c>
      <c r="K5" s="35" t="s">
        <v>45</v>
      </c>
      <c r="L5" s="35" t="s">
        <v>46</v>
      </c>
      <c r="M5" s="34" t="s">
        <v>47</v>
      </c>
    </row>
    <row r="6" spans="1:36" ht="14.45" customHeight="1" x14ac:dyDescent="0.25">
      <c r="A6" s="37">
        <f>M6</f>
        <v>82.980246132766666</v>
      </c>
      <c r="B6" s="38">
        <f t="shared" ref="B6:B14" si="0">IF(H6&gt;$H$2,"",(ROW()-5))</f>
        <v>1</v>
      </c>
      <c r="C6" s="39" t="s">
        <v>17</v>
      </c>
      <c r="D6" s="39" t="s">
        <v>63</v>
      </c>
      <c r="E6" s="39"/>
      <c r="F6" s="39" t="s">
        <v>65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2</v>
      </c>
      <c r="K6" s="40">
        <f t="shared" ref="K6:K69" si="1">J6*$J$2</f>
        <v>20</v>
      </c>
      <c r="L6" s="42">
        <f>3*K2</f>
        <v>12.980246132766673</v>
      </c>
      <c r="M6" s="42">
        <f t="shared" ref="M6:M69" si="2">IF(I6&lt;&gt;"",K6+I6+L6,0)</f>
        <v>82.980246132766666</v>
      </c>
    </row>
    <row r="7" spans="1:36" ht="14.45" customHeight="1" x14ac:dyDescent="0.25">
      <c r="A7" s="43">
        <f t="shared" ref="A7:A37" si="3">M7</f>
        <v>37.73793949684304</v>
      </c>
      <c r="B7" s="44">
        <f t="shared" si="0"/>
        <v>2</v>
      </c>
      <c r="C7" s="45" t="s">
        <v>16</v>
      </c>
      <c r="D7" s="45" t="s">
        <v>49</v>
      </c>
      <c r="E7" s="45"/>
      <c r="F7" s="45" t="s">
        <v>65</v>
      </c>
      <c r="G7" s="32"/>
      <c r="H7" s="46">
        <v>2</v>
      </c>
      <c r="I7" s="47">
        <f t="shared" ref="I7:I69" si="4">IF(H7&lt;$H$2+1,($I$2-($I$2-1)*(LOG(H7)/LOG($H$2))),"")</f>
        <v>19.084442074998588</v>
      </c>
      <c r="J7" s="46">
        <f t="shared" ref="J7:J70" si="5">INT(LOG($H$2,2))-ROUNDUP(LOG(H7,2),0)+IF(OR($H$2=1,$H$2=2,$H$2=4,$H$2=8,$H$2=16,$H$2=32,$H$2=64,$H$2=128,$H$2=256),0,1)</f>
        <v>1</v>
      </c>
      <c r="K7" s="46">
        <f t="shared" si="1"/>
        <v>10</v>
      </c>
      <c r="L7" s="48">
        <f>2*K2</f>
        <v>8.6534974218444489</v>
      </c>
      <c r="M7" s="48">
        <f t="shared" si="2"/>
        <v>37.73793949684304</v>
      </c>
    </row>
    <row r="8" spans="1:36" ht="14.45" customHeight="1" x14ac:dyDescent="0.25">
      <c r="A8" s="37">
        <f t="shared" si="3"/>
        <v>5.3267487109222245</v>
      </c>
      <c r="B8" s="38">
        <f t="shared" si="0"/>
        <v>3</v>
      </c>
      <c r="C8" s="39" t="s">
        <v>21</v>
      </c>
      <c r="D8" s="39" t="s">
        <v>66</v>
      </c>
      <c r="E8" s="39"/>
      <c r="F8" s="39" t="s">
        <v>65</v>
      </c>
      <c r="G8" s="32"/>
      <c r="H8" s="40">
        <v>3</v>
      </c>
      <c r="I8" s="41">
        <f t="shared" si="4"/>
        <v>1</v>
      </c>
      <c r="J8" s="40">
        <f t="shared" si="5"/>
        <v>0</v>
      </c>
      <c r="K8" s="40">
        <f t="shared" si="1"/>
        <v>0</v>
      </c>
      <c r="L8" s="42">
        <f>K2</f>
        <v>4.3267487109222245</v>
      </c>
      <c r="M8" s="42">
        <f t="shared" si="2"/>
        <v>5.3267487109222245</v>
      </c>
    </row>
    <row r="9" spans="1:36" ht="14.45" customHeight="1" x14ac:dyDescent="0.25">
      <c r="A9" s="79">
        <v>5.3267487109222245</v>
      </c>
      <c r="B9" s="80" t="s">
        <v>70</v>
      </c>
      <c r="C9" s="81" t="s">
        <v>20</v>
      </c>
      <c r="D9" s="45"/>
      <c r="E9" s="45"/>
      <c r="F9" s="45"/>
      <c r="G9" s="32"/>
      <c r="H9" s="46">
        <v>4</v>
      </c>
      <c r="I9" s="47" t="str">
        <f t="shared" si="4"/>
        <v/>
      </c>
      <c r="J9" s="46">
        <f t="shared" si="5"/>
        <v>0</v>
      </c>
      <c r="K9" s="46">
        <f t="shared" si="1"/>
        <v>0</v>
      </c>
      <c r="L9" s="48"/>
      <c r="M9" s="48">
        <f t="shared" si="2"/>
        <v>0</v>
      </c>
      <c r="V9" s="49"/>
      <c r="Z9" s="50"/>
      <c r="AA9" s="50"/>
      <c r="AG9" s="51"/>
      <c r="AH9" s="23" t="s">
        <v>54</v>
      </c>
      <c r="AI9" s="23">
        <v>23</v>
      </c>
    </row>
    <row r="10" spans="1:36" ht="14.45" customHeight="1" x14ac:dyDescent="0.25">
      <c r="A10" s="37">
        <f t="shared" si="3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>
        <f t="shared" si="5"/>
        <v>-1</v>
      </c>
      <c r="K10" s="40">
        <f t="shared" si="1"/>
        <v>-10</v>
      </c>
      <c r="L10" s="40"/>
      <c r="M10" s="42">
        <f t="shared" si="2"/>
        <v>0</v>
      </c>
      <c r="V10" s="49"/>
      <c r="Z10" s="50"/>
      <c r="AA10" s="50"/>
      <c r="AG10" s="51"/>
      <c r="AH10" s="23" t="s">
        <v>55</v>
      </c>
      <c r="AI10" s="23">
        <v>45</v>
      </c>
    </row>
    <row r="11" spans="1:36" ht="14.45" customHeight="1" x14ac:dyDescent="0.25">
      <c r="A11" s="43">
        <f t="shared" si="3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>
        <f t="shared" si="5"/>
        <v>-1</v>
      </c>
      <c r="K11" s="46">
        <f t="shared" si="1"/>
        <v>-10</v>
      </c>
      <c r="L11" s="46"/>
      <c r="M11" s="48">
        <f t="shared" si="2"/>
        <v>0</v>
      </c>
      <c r="V11" s="52"/>
      <c r="Z11" s="50"/>
      <c r="AA11" s="50"/>
      <c r="AG11" s="51"/>
      <c r="AH11" s="23" t="s">
        <v>56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>
        <f t="shared" si="5"/>
        <v>-1</v>
      </c>
      <c r="K12" s="40">
        <f t="shared" si="1"/>
        <v>-10</v>
      </c>
      <c r="L12" s="40"/>
      <c r="M12" s="42">
        <f t="shared" si="2"/>
        <v>0</v>
      </c>
      <c r="Z12" s="50"/>
      <c r="AA12" s="50"/>
      <c r="AG12" s="51"/>
      <c r="AH12" s="23" t="s">
        <v>57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>
        <f t="shared" si="5"/>
        <v>-1</v>
      </c>
      <c r="K13" s="46">
        <f t="shared" si="1"/>
        <v>-10</v>
      </c>
      <c r="L13" s="46"/>
      <c r="M13" s="48">
        <f t="shared" si="2"/>
        <v>0</v>
      </c>
      <c r="X13" s="49"/>
      <c r="AG13" s="51"/>
      <c r="AH13" s="23" t="s">
        <v>58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 t="shared" si="0"/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>
        <f t="shared" si="5"/>
        <v>-2</v>
      </c>
      <c r="K14" s="40">
        <f t="shared" si="1"/>
        <v>-20</v>
      </c>
      <c r="L14" s="40"/>
      <c r="M14" s="42">
        <f t="shared" si="2"/>
        <v>0</v>
      </c>
      <c r="X14" s="55"/>
      <c r="Z14" s="50"/>
      <c r="AA14" s="50"/>
      <c r="AG14" s="51"/>
      <c r="AH14" s="23" t="s">
        <v>59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/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>
        <f t="shared" si="5"/>
        <v>-2</v>
      </c>
      <c r="K15" s="46">
        <f t="shared" si="1"/>
        <v>-20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ref="B16:B65" si="6">IF(H16&gt;$H$2,"",(ROW()-5))</f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5"/>
        <v>-2</v>
      </c>
      <c r="K16" s="40">
        <f t="shared" si="1"/>
        <v>-20</v>
      </c>
      <c r="L16" s="40"/>
      <c r="M16" s="42">
        <f t="shared" si="2"/>
        <v>0</v>
      </c>
      <c r="R16" s="56"/>
      <c r="Z16" s="50"/>
      <c r="AA16" s="50"/>
      <c r="AH16" s="57" t="s">
        <v>60</v>
      </c>
      <c r="AI16" s="23">
        <f>AI11-AI12*AI13/AI14</f>
        <v>9.6393909380186855</v>
      </c>
      <c r="AJ16" s="23" t="s">
        <v>61</v>
      </c>
    </row>
    <row r="17" spans="1:19" x14ac:dyDescent="0.25">
      <c r="A17" s="53">
        <f t="shared" si="3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5"/>
        <v>-2</v>
      </c>
      <c r="K17" s="46">
        <f t="shared" si="1"/>
        <v>-20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5"/>
        <v>-2</v>
      </c>
      <c r="K18" s="40">
        <f t="shared" si="1"/>
        <v>-20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5"/>
        <v>-2</v>
      </c>
      <c r="K19" s="46">
        <f t="shared" si="1"/>
        <v>-20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5"/>
        <v>-2</v>
      </c>
      <c r="K20" s="40">
        <f t="shared" si="1"/>
        <v>-20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5"/>
        <v>-2</v>
      </c>
      <c r="K21" s="46">
        <f t="shared" si="1"/>
        <v>-20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5"/>
        <v>-3</v>
      </c>
      <c r="K22" s="40">
        <f t="shared" si="1"/>
        <v>-30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5"/>
        <v>-3</v>
      </c>
      <c r="K23" s="46">
        <f t="shared" si="1"/>
        <v>-30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5"/>
        <v>-3</v>
      </c>
      <c r="K24" s="40">
        <f t="shared" si="1"/>
        <v>-30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5"/>
        <v>-3</v>
      </c>
      <c r="K25" s="46">
        <f t="shared" si="1"/>
        <v>-30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5"/>
        <v>-3</v>
      </c>
      <c r="K26" s="40">
        <f t="shared" si="1"/>
        <v>-30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5"/>
        <v>-3</v>
      </c>
      <c r="K27" s="46">
        <f t="shared" si="1"/>
        <v>-30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5"/>
        <v>-3</v>
      </c>
      <c r="K28" s="40">
        <f t="shared" si="1"/>
        <v>-30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5"/>
        <v>-3</v>
      </c>
      <c r="K29" s="46">
        <f t="shared" si="1"/>
        <v>-30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5"/>
        <v>-3</v>
      </c>
      <c r="K30" s="40">
        <f t="shared" si="1"/>
        <v>-30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5"/>
        <v>-3</v>
      </c>
      <c r="K31" s="46">
        <f t="shared" si="1"/>
        <v>-30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5"/>
        <v>-3</v>
      </c>
      <c r="K32" s="40">
        <f t="shared" si="1"/>
        <v>-30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5"/>
        <v>-3</v>
      </c>
      <c r="K33" s="46">
        <f t="shared" si="1"/>
        <v>-30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5"/>
        <v>-3</v>
      </c>
      <c r="K34" s="40">
        <f t="shared" si="1"/>
        <v>-30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5"/>
        <v>-3</v>
      </c>
      <c r="K35" s="46">
        <f t="shared" si="1"/>
        <v>-30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5"/>
        <v>-3</v>
      </c>
      <c r="K36" s="40">
        <f t="shared" si="1"/>
        <v>-30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5"/>
        <v>-3</v>
      </c>
      <c r="K37" s="46">
        <f t="shared" si="1"/>
        <v>-30</v>
      </c>
      <c r="L37" s="46"/>
      <c r="M37" s="48">
        <f t="shared" si="2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5"/>
        <v>-4</v>
      </c>
      <c r="K38" s="40">
        <f t="shared" si="1"/>
        <v>-40</v>
      </c>
      <c r="L38" s="40"/>
      <c r="M38" s="42">
        <f t="shared" si="2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5"/>
        <v>-4</v>
      </c>
      <c r="K39" s="46">
        <f t="shared" si="1"/>
        <v>-40</v>
      </c>
      <c r="L39" s="46"/>
      <c r="M39" s="48">
        <f t="shared" si="2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5"/>
        <v>-4</v>
      </c>
      <c r="K40" s="40">
        <f t="shared" si="1"/>
        <v>-40</v>
      </c>
      <c r="L40" s="40"/>
      <c r="M40" s="42">
        <f t="shared" si="2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5"/>
        <v>-4</v>
      </c>
      <c r="K41" s="46">
        <f t="shared" si="1"/>
        <v>-40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5"/>
        <v>-4</v>
      </c>
      <c r="K42" s="40">
        <f t="shared" si="1"/>
        <v>-40</v>
      </c>
      <c r="L42" s="40"/>
      <c r="M42" s="42">
        <f t="shared" si="2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5"/>
        <v>-4</v>
      </c>
      <c r="K43" s="46">
        <f t="shared" si="1"/>
        <v>-40</v>
      </c>
      <c r="L43" s="46"/>
      <c r="M43" s="48">
        <f t="shared" si="2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5"/>
        <v>-4</v>
      </c>
      <c r="K44" s="40">
        <f t="shared" si="1"/>
        <v>-40</v>
      </c>
      <c r="L44" s="40"/>
      <c r="M44" s="42">
        <f t="shared" si="2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5"/>
        <v>-4</v>
      </c>
      <c r="K45" s="46">
        <f t="shared" si="1"/>
        <v>-40</v>
      </c>
      <c r="L45" s="46"/>
      <c r="M45" s="48">
        <f t="shared" si="2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5"/>
        <v>-4</v>
      </c>
      <c r="K46" s="40">
        <f t="shared" si="1"/>
        <v>-40</v>
      </c>
      <c r="L46" s="40"/>
      <c r="M46" s="42">
        <f t="shared" si="2"/>
        <v>0</v>
      </c>
      <c r="R46" s="18">
        <f>LOG($H$2,2)</f>
        <v>1.5849625007211563</v>
      </c>
      <c r="T46" s="23">
        <f>LOG(H38,2)</f>
        <v>5.0443941193584534</v>
      </c>
      <c r="U46" s="23">
        <f>R46-T46</f>
        <v>-3.4594316186372973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5"/>
        <v>-4</v>
      </c>
      <c r="K47" s="46">
        <f t="shared" si="1"/>
        <v>-40</v>
      </c>
      <c r="L47" s="46"/>
      <c r="M47" s="48">
        <f t="shared" si="2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5"/>
        <v>-4</v>
      </c>
      <c r="K48" s="40">
        <f t="shared" si="1"/>
        <v>-40</v>
      </c>
      <c r="L48" s="40"/>
      <c r="M48" s="42">
        <f t="shared" si="2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5"/>
        <v>-4</v>
      </c>
      <c r="K49" s="46">
        <f t="shared" si="1"/>
        <v>-40</v>
      </c>
      <c r="L49" s="46"/>
      <c r="M49" s="48">
        <f t="shared" si="2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5"/>
        <v>-4</v>
      </c>
      <c r="K50" s="40">
        <f t="shared" si="1"/>
        <v>-40</v>
      </c>
      <c r="L50" s="40"/>
      <c r="M50" s="42">
        <f t="shared" si="2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5"/>
        <v>-4</v>
      </c>
      <c r="K51" s="46">
        <f t="shared" si="1"/>
        <v>-40</v>
      </c>
      <c r="L51" s="46"/>
      <c r="M51" s="48">
        <f t="shared" si="2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5"/>
        <v>-4</v>
      </c>
      <c r="K52" s="40">
        <f t="shared" si="1"/>
        <v>-40</v>
      </c>
      <c r="L52" s="40"/>
      <c r="M52" s="42">
        <f t="shared" si="2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5"/>
        <v>-4</v>
      </c>
      <c r="K53" s="46">
        <f t="shared" si="1"/>
        <v>-40</v>
      </c>
      <c r="L53" s="46"/>
      <c r="M53" s="48">
        <f t="shared" si="2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5"/>
        <v>-4</v>
      </c>
      <c r="K54" s="40">
        <f t="shared" si="1"/>
        <v>-40</v>
      </c>
      <c r="L54" s="40"/>
      <c r="M54" s="42">
        <f t="shared" si="2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5"/>
        <v>-4</v>
      </c>
      <c r="K55" s="46">
        <f t="shared" si="1"/>
        <v>-40</v>
      </c>
      <c r="L55" s="46"/>
      <c r="M55" s="48">
        <f t="shared" si="2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5"/>
        <v>-4</v>
      </c>
      <c r="K56" s="40">
        <f t="shared" si="1"/>
        <v>-40</v>
      </c>
      <c r="L56" s="40"/>
      <c r="M56" s="42">
        <f t="shared" si="2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5"/>
        <v>-4</v>
      </c>
      <c r="K57" s="46">
        <f t="shared" si="1"/>
        <v>-40</v>
      </c>
      <c r="L57" s="46"/>
      <c r="M57" s="48">
        <f t="shared" si="2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5"/>
        <v>-4</v>
      </c>
      <c r="K58" s="40">
        <f t="shared" si="1"/>
        <v>-40</v>
      </c>
      <c r="L58" s="40"/>
      <c r="M58" s="42">
        <f t="shared" si="2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5"/>
        <v>-4</v>
      </c>
      <c r="K59" s="46">
        <f t="shared" si="1"/>
        <v>-40</v>
      </c>
      <c r="L59" s="46"/>
      <c r="M59" s="48">
        <f t="shared" si="2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5"/>
        <v>-4</v>
      </c>
      <c r="K60" s="40">
        <f t="shared" si="1"/>
        <v>-40</v>
      </c>
      <c r="L60" s="40"/>
      <c r="M60" s="42">
        <f t="shared" si="2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5"/>
        <v>-4</v>
      </c>
      <c r="K61" s="46">
        <f t="shared" si="1"/>
        <v>-40</v>
      </c>
      <c r="L61" s="46"/>
      <c r="M61" s="48">
        <f t="shared" si="2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5"/>
        <v>-4</v>
      </c>
      <c r="K62" s="40">
        <f t="shared" si="1"/>
        <v>-40</v>
      </c>
      <c r="L62" s="40"/>
      <c r="M62" s="42">
        <f t="shared" si="2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5"/>
        <v>-4</v>
      </c>
      <c r="K63" s="46">
        <f t="shared" si="1"/>
        <v>-40</v>
      </c>
      <c r="L63" s="46"/>
      <c r="M63" s="48">
        <f t="shared" si="2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5"/>
        <v>-4</v>
      </c>
      <c r="K64" s="40">
        <f t="shared" si="1"/>
        <v>-40</v>
      </c>
      <c r="L64" s="40"/>
      <c r="M64" s="42">
        <f t="shared" si="2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5"/>
        <v>-4</v>
      </c>
      <c r="K65" s="46">
        <f t="shared" si="1"/>
        <v>-40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>
        <f t="shared" si="5"/>
        <v>-4</v>
      </c>
      <c r="K66" s="40">
        <f t="shared" si="1"/>
        <v>-40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>
        <f t="shared" si="5"/>
        <v>-4</v>
      </c>
      <c r="K67" s="40">
        <f t="shared" si="1"/>
        <v>-40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>
        <f t="shared" si="5"/>
        <v>-4</v>
      </c>
      <c r="K68" s="40">
        <f t="shared" si="1"/>
        <v>-40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>
        <f t="shared" si="5"/>
        <v>-4</v>
      </c>
      <c r="K69" s="40">
        <f t="shared" si="1"/>
        <v>-40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5"/>
        <v>-5</v>
      </c>
      <c r="K70" s="40">
        <f t="shared" ref="K70:K133" si="8">J70*$J$2</f>
        <v>-50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-5</v>
      </c>
      <c r="K71" s="40">
        <f t="shared" si="8"/>
        <v>-50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>
        <f t="shared" si="10"/>
        <v>-5</v>
      </c>
      <c r="K72" s="40">
        <f t="shared" si="8"/>
        <v>-50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>
        <f t="shared" si="10"/>
        <v>-5</v>
      </c>
      <c r="K73" s="40">
        <f t="shared" si="8"/>
        <v>-50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>
        <f t="shared" si="10"/>
        <v>-5</v>
      </c>
      <c r="K74" s="40">
        <f t="shared" si="8"/>
        <v>-50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>
        <f t="shared" si="10"/>
        <v>-5</v>
      </c>
      <c r="K75" s="40">
        <f t="shared" si="8"/>
        <v>-50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>
        <f t="shared" si="10"/>
        <v>-5</v>
      </c>
      <c r="K76" s="40">
        <f t="shared" si="8"/>
        <v>-50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>
        <f t="shared" si="10"/>
        <v>-5</v>
      </c>
      <c r="K77" s="40">
        <f t="shared" si="8"/>
        <v>-50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>
        <f t="shared" si="10"/>
        <v>-5</v>
      </c>
      <c r="K78" s="40">
        <f t="shared" si="8"/>
        <v>-50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>
        <f t="shared" si="10"/>
        <v>-5</v>
      </c>
      <c r="K79" s="40">
        <f t="shared" si="8"/>
        <v>-50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>
        <f t="shared" si="10"/>
        <v>-5</v>
      </c>
      <c r="K80" s="40">
        <f t="shared" si="8"/>
        <v>-50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>
        <f t="shared" si="10"/>
        <v>-5</v>
      </c>
      <c r="K81" s="40">
        <f t="shared" si="8"/>
        <v>-50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>
        <f t="shared" si="10"/>
        <v>-5</v>
      </c>
      <c r="K82" s="40">
        <f t="shared" si="8"/>
        <v>-50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>
        <f t="shared" si="10"/>
        <v>-5</v>
      </c>
      <c r="K83" s="40">
        <f t="shared" si="8"/>
        <v>-50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>
        <f t="shared" si="10"/>
        <v>-5</v>
      </c>
      <c r="K84" s="40">
        <f t="shared" si="8"/>
        <v>-50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>
        <f t="shared" si="10"/>
        <v>-5</v>
      </c>
      <c r="K85" s="40">
        <f t="shared" si="8"/>
        <v>-50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>
        <f t="shared" si="10"/>
        <v>-5</v>
      </c>
      <c r="K86" s="40">
        <f t="shared" si="8"/>
        <v>-50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>
        <f t="shared" si="10"/>
        <v>-5</v>
      </c>
      <c r="K87" s="40">
        <f t="shared" si="8"/>
        <v>-50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>
        <f t="shared" si="10"/>
        <v>-5</v>
      </c>
      <c r="K88" s="40">
        <f t="shared" si="8"/>
        <v>-50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>
        <f t="shared" si="10"/>
        <v>-5</v>
      </c>
      <c r="K89" s="40">
        <f t="shared" si="8"/>
        <v>-50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>
        <f t="shared" si="10"/>
        <v>-5</v>
      </c>
      <c r="K90" s="40">
        <f t="shared" si="8"/>
        <v>-50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>
        <f t="shared" si="10"/>
        <v>-5</v>
      </c>
      <c r="K91" s="40">
        <f t="shared" si="8"/>
        <v>-50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>
        <f t="shared" si="10"/>
        <v>-5</v>
      </c>
      <c r="K92" s="40">
        <f t="shared" si="8"/>
        <v>-50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>
        <f t="shared" si="10"/>
        <v>-5</v>
      </c>
      <c r="K93" s="40">
        <f t="shared" si="8"/>
        <v>-50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>
        <f t="shared" si="10"/>
        <v>-5</v>
      </c>
      <c r="K94" s="40">
        <f t="shared" si="8"/>
        <v>-50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>
        <f t="shared" si="10"/>
        <v>-5</v>
      </c>
      <c r="K95" s="40">
        <f t="shared" si="8"/>
        <v>-50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>
        <f t="shared" si="10"/>
        <v>-5</v>
      </c>
      <c r="K96" s="40">
        <f t="shared" si="8"/>
        <v>-50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>
        <f t="shared" si="10"/>
        <v>-5</v>
      </c>
      <c r="K97" s="40">
        <f t="shared" si="8"/>
        <v>-50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>
        <f t="shared" si="10"/>
        <v>-5</v>
      </c>
      <c r="K98" s="40">
        <f t="shared" si="8"/>
        <v>-50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>
        <f t="shared" si="10"/>
        <v>-5</v>
      </c>
      <c r="K99" s="40">
        <f t="shared" si="8"/>
        <v>-50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>
        <f t="shared" si="10"/>
        <v>-5</v>
      </c>
      <c r="K100" s="40">
        <f t="shared" si="8"/>
        <v>-50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>
        <f t="shared" si="10"/>
        <v>-5</v>
      </c>
      <c r="K101" s="40">
        <f t="shared" si="8"/>
        <v>-50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>
        <f t="shared" si="10"/>
        <v>-5</v>
      </c>
      <c r="K102" s="40">
        <f t="shared" si="8"/>
        <v>-50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>
        <f t="shared" si="10"/>
        <v>-5</v>
      </c>
      <c r="K103" s="40">
        <f t="shared" si="8"/>
        <v>-50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>
        <f t="shared" si="10"/>
        <v>-5</v>
      </c>
      <c r="K104" s="40">
        <f t="shared" si="8"/>
        <v>-50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>
        <f t="shared" si="10"/>
        <v>-5</v>
      </c>
      <c r="K105" s="40">
        <f t="shared" si="8"/>
        <v>-50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>
        <f t="shared" si="10"/>
        <v>-5</v>
      </c>
      <c r="K106" s="40">
        <f t="shared" si="8"/>
        <v>-50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>
        <f t="shared" si="10"/>
        <v>-5</v>
      </c>
      <c r="K107" s="40">
        <f t="shared" si="8"/>
        <v>-50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>
        <f t="shared" si="10"/>
        <v>-5</v>
      </c>
      <c r="K108" s="40">
        <f t="shared" si="8"/>
        <v>-50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>
        <f t="shared" si="10"/>
        <v>-5</v>
      </c>
      <c r="K109" s="40">
        <f t="shared" si="8"/>
        <v>-50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>
        <f t="shared" si="10"/>
        <v>-5</v>
      </c>
      <c r="K110" s="40">
        <f t="shared" si="8"/>
        <v>-50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>
        <f t="shared" si="10"/>
        <v>-5</v>
      </c>
      <c r="K111" s="40">
        <f t="shared" si="8"/>
        <v>-50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>
        <f t="shared" si="10"/>
        <v>-5</v>
      </c>
      <c r="K112" s="40">
        <f t="shared" si="8"/>
        <v>-50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>
        <f t="shared" si="10"/>
        <v>-5</v>
      </c>
      <c r="K113" s="40">
        <f t="shared" si="8"/>
        <v>-50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>
        <f t="shared" si="10"/>
        <v>-5</v>
      </c>
      <c r="K114" s="40">
        <f t="shared" si="8"/>
        <v>-50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>
        <f t="shared" si="10"/>
        <v>-5</v>
      </c>
      <c r="K115" s="40">
        <f t="shared" si="8"/>
        <v>-50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>
        <f t="shared" si="10"/>
        <v>-5</v>
      </c>
      <c r="K116" s="40">
        <f t="shared" si="8"/>
        <v>-50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>
        <f t="shared" si="10"/>
        <v>-5</v>
      </c>
      <c r="K117" s="40">
        <f t="shared" si="8"/>
        <v>-50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>
        <f t="shared" si="10"/>
        <v>-5</v>
      </c>
      <c r="K118" s="40">
        <f t="shared" si="8"/>
        <v>-50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>
        <f t="shared" si="10"/>
        <v>-5</v>
      </c>
      <c r="K119" s="40">
        <f t="shared" si="8"/>
        <v>-50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>
        <f t="shared" si="10"/>
        <v>-5</v>
      </c>
      <c r="K120" s="40">
        <f t="shared" si="8"/>
        <v>-50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>
        <f t="shared" si="10"/>
        <v>-5</v>
      </c>
      <c r="K121" s="40">
        <f t="shared" si="8"/>
        <v>-50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>
        <f t="shared" si="10"/>
        <v>-5</v>
      </c>
      <c r="K122" s="40">
        <f t="shared" si="8"/>
        <v>-50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>
        <f t="shared" si="10"/>
        <v>-5</v>
      </c>
      <c r="K123" s="40">
        <f t="shared" si="8"/>
        <v>-50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>
        <f t="shared" si="10"/>
        <v>-5</v>
      </c>
      <c r="K124" s="40">
        <f t="shared" si="8"/>
        <v>-50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>
        <f t="shared" si="10"/>
        <v>-5</v>
      </c>
      <c r="K125" s="40">
        <f t="shared" si="8"/>
        <v>-50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>
        <f t="shared" si="10"/>
        <v>-5</v>
      </c>
      <c r="K126" s="40">
        <f t="shared" si="8"/>
        <v>-50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>
        <f t="shared" si="10"/>
        <v>-5</v>
      </c>
      <c r="K127" s="40">
        <f t="shared" si="8"/>
        <v>-50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>
        <f t="shared" si="10"/>
        <v>-5</v>
      </c>
      <c r="K128" s="40">
        <f t="shared" si="8"/>
        <v>-50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>
        <f t="shared" si="10"/>
        <v>-5</v>
      </c>
      <c r="K129" s="40">
        <f t="shared" si="8"/>
        <v>-50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>
        <f t="shared" si="10"/>
        <v>-5</v>
      </c>
      <c r="K130" s="40">
        <f t="shared" si="8"/>
        <v>-50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-5</v>
      </c>
      <c r="K131" s="40">
        <f t="shared" si="8"/>
        <v>-50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-5</v>
      </c>
      <c r="K132" s="40">
        <f t="shared" si="8"/>
        <v>-50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-5</v>
      </c>
      <c r="K133" s="40">
        <f t="shared" si="8"/>
        <v>-50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-6</v>
      </c>
      <c r="K134" s="40">
        <f t="shared" ref="K134:K197" si="12">J134*$J$2</f>
        <v>-60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-6</v>
      </c>
      <c r="K135" s="40">
        <f t="shared" si="12"/>
        <v>-60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-6</v>
      </c>
      <c r="K136" s="40">
        <f t="shared" si="12"/>
        <v>-60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-6</v>
      </c>
      <c r="K137" s="40">
        <f t="shared" si="12"/>
        <v>-60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-6</v>
      </c>
      <c r="K138" s="40">
        <f t="shared" si="12"/>
        <v>-60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-6</v>
      </c>
      <c r="K139" s="40">
        <f t="shared" si="12"/>
        <v>-60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-6</v>
      </c>
      <c r="K140" s="40">
        <f t="shared" si="12"/>
        <v>-60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-6</v>
      </c>
      <c r="K141" s="40">
        <f t="shared" si="12"/>
        <v>-60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-6</v>
      </c>
      <c r="K142" s="40">
        <f t="shared" si="12"/>
        <v>-60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-6</v>
      </c>
      <c r="K143" s="40">
        <f t="shared" si="12"/>
        <v>-60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-6</v>
      </c>
      <c r="K144" s="40">
        <f t="shared" si="12"/>
        <v>-60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-6</v>
      </c>
      <c r="K145" s="40">
        <f t="shared" si="12"/>
        <v>-60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-6</v>
      </c>
      <c r="K146" s="40">
        <f t="shared" si="12"/>
        <v>-60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-6</v>
      </c>
      <c r="K147" s="40">
        <f t="shared" si="12"/>
        <v>-60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-6</v>
      </c>
      <c r="K148" s="40">
        <f t="shared" si="12"/>
        <v>-60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-6</v>
      </c>
      <c r="K149" s="40">
        <f t="shared" si="12"/>
        <v>-60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-6</v>
      </c>
      <c r="K150" s="40">
        <f t="shared" si="12"/>
        <v>-60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-6</v>
      </c>
      <c r="K151" s="40">
        <f t="shared" si="12"/>
        <v>-60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-6</v>
      </c>
      <c r="K152" s="40">
        <f t="shared" si="12"/>
        <v>-60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-6</v>
      </c>
      <c r="K153" s="40">
        <f t="shared" si="12"/>
        <v>-60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-6</v>
      </c>
      <c r="K154" s="40">
        <f t="shared" si="12"/>
        <v>-60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-6</v>
      </c>
      <c r="K155" s="40">
        <f t="shared" si="12"/>
        <v>-60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-6</v>
      </c>
      <c r="K156" s="40">
        <f t="shared" si="12"/>
        <v>-60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-6</v>
      </c>
      <c r="K157" s="40">
        <f t="shared" si="12"/>
        <v>-60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-6</v>
      </c>
      <c r="K158" s="40">
        <f t="shared" si="12"/>
        <v>-60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-6</v>
      </c>
      <c r="K159" s="40">
        <f t="shared" si="12"/>
        <v>-60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-6</v>
      </c>
      <c r="K160" s="40">
        <f t="shared" si="12"/>
        <v>-60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-6</v>
      </c>
      <c r="K161" s="40">
        <f t="shared" si="12"/>
        <v>-60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-6</v>
      </c>
      <c r="K162" s="40">
        <f t="shared" si="12"/>
        <v>-60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-6</v>
      </c>
      <c r="K163" s="40">
        <f t="shared" si="12"/>
        <v>-60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-6</v>
      </c>
      <c r="K164" s="40">
        <f t="shared" si="12"/>
        <v>-60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-6</v>
      </c>
      <c r="K165" s="40">
        <f t="shared" si="12"/>
        <v>-60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-6</v>
      </c>
      <c r="K166" s="40">
        <f t="shared" si="12"/>
        <v>-60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-6</v>
      </c>
      <c r="K167" s="40">
        <f t="shared" si="12"/>
        <v>-60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-6</v>
      </c>
      <c r="K168" s="40">
        <f t="shared" si="12"/>
        <v>-60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-6</v>
      </c>
      <c r="K169" s="40">
        <f t="shared" si="12"/>
        <v>-60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-6</v>
      </c>
      <c r="K170" s="40">
        <f t="shared" si="12"/>
        <v>-60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-6</v>
      </c>
      <c r="K171" s="40">
        <f t="shared" si="12"/>
        <v>-60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-6</v>
      </c>
      <c r="K172" s="40">
        <f t="shared" si="12"/>
        <v>-60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-6</v>
      </c>
      <c r="K173" s="40">
        <f t="shared" si="12"/>
        <v>-60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-6</v>
      </c>
      <c r="K174" s="40">
        <f t="shared" si="12"/>
        <v>-60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-6</v>
      </c>
      <c r="K175" s="40">
        <f t="shared" si="12"/>
        <v>-60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-6</v>
      </c>
      <c r="K176" s="40">
        <f t="shared" si="12"/>
        <v>-60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-6</v>
      </c>
      <c r="K177" s="40">
        <f t="shared" si="12"/>
        <v>-60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-6</v>
      </c>
      <c r="K178" s="40">
        <f t="shared" si="12"/>
        <v>-60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-6</v>
      </c>
      <c r="K179" s="40">
        <f t="shared" si="12"/>
        <v>-60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-6</v>
      </c>
      <c r="K180" s="40">
        <f t="shared" si="12"/>
        <v>-60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-6</v>
      </c>
      <c r="K181" s="40">
        <f t="shared" si="12"/>
        <v>-60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-6</v>
      </c>
      <c r="K182" s="40">
        <f t="shared" si="12"/>
        <v>-60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-6</v>
      </c>
      <c r="K183" s="40">
        <f t="shared" si="12"/>
        <v>-60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-6</v>
      </c>
      <c r="K184" s="40">
        <f t="shared" si="12"/>
        <v>-60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-6</v>
      </c>
      <c r="K185" s="40">
        <f t="shared" si="12"/>
        <v>-60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-6</v>
      </c>
      <c r="K186" s="40">
        <f t="shared" si="12"/>
        <v>-60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-6</v>
      </c>
      <c r="K187" s="40">
        <f t="shared" si="12"/>
        <v>-60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-6</v>
      </c>
      <c r="K188" s="40">
        <f t="shared" si="12"/>
        <v>-60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-6</v>
      </c>
      <c r="K189" s="40">
        <f t="shared" si="12"/>
        <v>-60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-6</v>
      </c>
      <c r="K190" s="40">
        <f t="shared" si="12"/>
        <v>-60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-6</v>
      </c>
      <c r="K191" s="40">
        <f t="shared" si="12"/>
        <v>-60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-6</v>
      </c>
      <c r="K192" s="40">
        <f t="shared" si="12"/>
        <v>-60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-6</v>
      </c>
      <c r="K193" s="40">
        <f t="shared" si="12"/>
        <v>-60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-6</v>
      </c>
      <c r="K194" s="40">
        <f t="shared" si="12"/>
        <v>-60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-6</v>
      </c>
      <c r="K195" s="40">
        <f t="shared" si="12"/>
        <v>-60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-6</v>
      </c>
      <c r="K196" s="40">
        <f t="shared" si="12"/>
        <v>-60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-6</v>
      </c>
      <c r="K197" s="40">
        <f t="shared" si="12"/>
        <v>-60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-6</v>
      </c>
      <c r="K198" s="40">
        <f t="shared" ref="K198:K261" si="16">J198*$J$2</f>
        <v>-60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-6</v>
      </c>
      <c r="K199" s="40">
        <f t="shared" si="16"/>
        <v>-60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-6</v>
      </c>
      <c r="K200" s="40">
        <f t="shared" si="16"/>
        <v>-60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-6</v>
      </c>
      <c r="K201" s="40">
        <f t="shared" si="16"/>
        <v>-60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-6</v>
      </c>
      <c r="K202" s="40">
        <f t="shared" si="16"/>
        <v>-60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-6</v>
      </c>
      <c r="K203" s="40">
        <f t="shared" si="16"/>
        <v>-60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-6</v>
      </c>
      <c r="K204" s="40">
        <f t="shared" si="16"/>
        <v>-60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-6</v>
      </c>
      <c r="K205" s="40">
        <f t="shared" si="16"/>
        <v>-60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-6</v>
      </c>
      <c r="K206" s="40">
        <f t="shared" si="16"/>
        <v>-60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-6</v>
      </c>
      <c r="K207" s="40">
        <f t="shared" si="16"/>
        <v>-60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-6</v>
      </c>
      <c r="K208" s="40">
        <f t="shared" si="16"/>
        <v>-60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-6</v>
      </c>
      <c r="K209" s="40">
        <f t="shared" si="16"/>
        <v>-60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-6</v>
      </c>
      <c r="K210" s="40">
        <f t="shared" si="16"/>
        <v>-60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-6</v>
      </c>
      <c r="K211" s="40">
        <f t="shared" si="16"/>
        <v>-60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-6</v>
      </c>
      <c r="K212" s="40">
        <f t="shared" si="16"/>
        <v>-60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-6</v>
      </c>
      <c r="K213" s="40">
        <f t="shared" si="16"/>
        <v>-60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-6</v>
      </c>
      <c r="K214" s="40">
        <f t="shared" si="16"/>
        <v>-60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-6</v>
      </c>
      <c r="K215" s="40">
        <f t="shared" si="16"/>
        <v>-60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-6</v>
      </c>
      <c r="K216" s="40">
        <f t="shared" si="16"/>
        <v>-60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-6</v>
      </c>
      <c r="K217" s="40">
        <f t="shared" si="16"/>
        <v>-60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-6</v>
      </c>
      <c r="K218" s="40">
        <f t="shared" si="16"/>
        <v>-60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-6</v>
      </c>
      <c r="K219" s="40">
        <f t="shared" si="16"/>
        <v>-60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-6</v>
      </c>
      <c r="K220" s="40">
        <f t="shared" si="16"/>
        <v>-60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-6</v>
      </c>
      <c r="K221" s="40">
        <f t="shared" si="16"/>
        <v>-60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-6</v>
      </c>
      <c r="K222" s="40">
        <f t="shared" si="16"/>
        <v>-60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-6</v>
      </c>
      <c r="K223" s="40">
        <f t="shared" si="16"/>
        <v>-60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-6</v>
      </c>
      <c r="K224" s="40">
        <f t="shared" si="16"/>
        <v>-60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-6</v>
      </c>
      <c r="K225" s="40">
        <f t="shared" si="16"/>
        <v>-60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-6</v>
      </c>
      <c r="K226" s="40">
        <f t="shared" si="16"/>
        <v>-60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-6</v>
      </c>
      <c r="K227" s="40">
        <f t="shared" si="16"/>
        <v>-60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-6</v>
      </c>
      <c r="K228" s="40">
        <f t="shared" si="16"/>
        <v>-60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-6</v>
      </c>
      <c r="K229" s="40">
        <f t="shared" si="16"/>
        <v>-60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-6</v>
      </c>
      <c r="K230" s="40">
        <f t="shared" si="16"/>
        <v>-60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-6</v>
      </c>
      <c r="K231" s="40">
        <f t="shared" si="16"/>
        <v>-60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-6</v>
      </c>
      <c r="K232" s="40">
        <f t="shared" si="16"/>
        <v>-60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-6</v>
      </c>
      <c r="K233" s="40">
        <f t="shared" si="16"/>
        <v>-60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-6</v>
      </c>
      <c r="K234" s="40">
        <f t="shared" si="16"/>
        <v>-60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-6</v>
      </c>
      <c r="K235" s="40">
        <f t="shared" si="16"/>
        <v>-60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-6</v>
      </c>
      <c r="K236" s="40">
        <f t="shared" si="16"/>
        <v>-60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-6</v>
      </c>
      <c r="K237" s="40">
        <f t="shared" si="16"/>
        <v>-60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-6</v>
      </c>
      <c r="K238" s="40">
        <f t="shared" si="16"/>
        <v>-60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-6</v>
      </c>
      <c r="K239" s="40">
        <f t="shared" si="16"/>
        <v>-60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-6</v>
      </c>
      <c r="K240" s="40">
        <f t="shared" si="16"/>
        <v>-60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-6</v>
      </c>
      <c r="K241" s="40">
        <f t="shared" si="16"/>
        <v>-60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-6</v>
      </c>
      <c r="K242" s="40">
        <f t="shared" si="16"/>
        <v>-60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-6</v>
      </c>
      <c r="K243" s="40">
        <f t="shared" si="16"/>
        <v>-60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-6</v>
      </c>
      <c r="K244" s="40">
        <f t="shared" si="16"/>
        <v>-60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-6</v>
      </c>
      <c r="K245" s="40">
        <f t="shared" si="16"/>
        <v>-60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-6</v>
      </c>
      <c r="K246" s="40">
        <f t="shared" si="16"/>
        <v>-60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-6</v>
      </c>
      <c r="K247" s="40">
        <f t="shared" si="16"/>
        <v>-60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-6</v>
      </c>
      <c r="K248" s="40">
        <f t="shared" si="16"/>
        <v>-60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-6</v>
      </c>
      <c r="K249" s="40">
        <f t="shared" si="16"/>
        <v>-60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-6</v>
      </c>
      <c r="K250" s="40">
        <f t="shared" si="16"/>
        <v>-60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-6</v>
      </c>
      <c r="K251" s="40">
        <f t="shared" si="16"/>
        <v>-60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-6</v>
      </c>
      <c r="K252" s="40">
        <f t="shared" si="16"/>
        <v>-60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-6</v>
      </c>
      <c r="K253" s="40">
        <f t="shared" si="16"/>
        <v>-60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-6</v>
      </c>
      <c r="K254" s="40">
        <f t="shared" si="16"/>
        <v>-60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-6</v>
      </c>
      <c r="K255" s="40">
        <f t="shared" si="16"/>
        <v>-60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-6</v>
      </c>
      <c r="K256" s="40">
        <f t="shared" si="16"/>
        <v>-60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-6</v>
      </c>
      <c r="K257" s="40">
        <f t="shared" si="16"/>
        <v>-60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-6</v>
      </c>
      <c r="K258" s="40">
        <f t="shared" si="16"/>
        <v>-60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-6</v>
      </c>
      <c r="K259" s="40">
        <f t="shared" si="16"/>
        <v>-60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-6</v>
      </c>
      <c r="K260" s="40">
        <f t="shared" si="16"/>
        <v>-60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-6</v>
      </c>
      <c r="K261" s="40">
        <f t="shared" si="16"/>
        <v>-60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-7</v>
      </c>
      <c r="K262" s="40">
        <f t="shared" ref="K262:K305" si="20">J262*$J$2</f>
        <v>-70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-7</v>
      </c>
      <c r="K263" s="40">
        <f t="shared" si="20"/>
        <v>-70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-7</v>
      </c>
      <c r="K264" s="40">
        <f t="shared" si="20"/>
        <v>-70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-7</v>
      </c>
      <c r="K265" s="40">
        <f t="shared" si="20"/>
        <v>-70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-7</v>
      </c>
      <c r="K266" s="40">
        <f t="shared" si="20"/>
        <v>-70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-7</v>
      </c>
      <c r="K267" s="40">
        <f t="shared" si="20"/>
        <v>-70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-7</v>
      </c>
      <c r="K268" s="40">
        <f t="shared" si="20"/>
        <v>-70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-7</v>
      </c>
      <c r="K269" s="40">
        <f t="shared" si="20"/>
        <v>-70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-7</v>
      </c>
      <c r="K270" s="40">
        <f t="shared" si="20"/>
        <v>-70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-7</v>
      </c>
      <c r="K271" s="40">
        <f t="shared" si="20"/>
        <v>-70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-7</v>
      </c>
      <c r="K272" s="40">
        <f t="shared" si="20"/>
        <v>-70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-7</v>
      </c>
      <c r="K273" s="40">
        <f t="shared" si="20"/>
        <v>-70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-7</v>
      </c>
      <c r="K274" s="40">
        <f t="shared" si="20"/>
        <v>-70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-7</v>
      </c>
      <c r="K275" s="40">
        <f t="shared" si="20"/>
        <v>-70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-7</v>
      </c>
      <c r="K276" s="40">
        <f t="shared" si="20"/>
        <v>-70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-7</v>
      </c>
      <c r="K277" s="40">
        <f t="shared" si="20"/>
        <v>-70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-7</v>
      </c>
      <c r="K278" s="40">
        <f t="shared" si="20"/>
        <v>-70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-7</v>
      </c>
      <c r="K279" s="40">
        <f t="shared" si="20"/>
        <v>-70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-7</v>
      </c>
      <c r="K280" s="40">
        <f t="shared" si="20"/>
        <v>-70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-7</v>
      </c>
      <c r="K281" s="40">
        <f t="shared" si="20"/>
        <v>-70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-7</v>
      </c>
      <c r="K282" s="40">
        <f t="shared" si="20"/>
        <v>-70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-7</v>
      </c>
      <c r="K283" s="40">
        <f t="shared" si="20"/>
        <v>-70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-7</v>
      </c>
      <c r="K284" s="40">
        <f t="shared" si="20"/>
        <v>-70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-7</v>
      </c>
      <c r="K285" s="40">
        <f t="shared" si="20"/>
        <v>-70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-7</v>
      </c>
      <c r="K286" s="40">
        <f t="shared" si="20"/>
        <v>-70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-7</v>
      </c>
      <c r="K287" s="40">
        <f t="shared" si="20"/>
        <v>-70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-7</v>
      </c>
      <c r="K288" s="40">
        <f t="shared" si="20"/>
        <v>-70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-7</v>
      </c>
      <c r="K289" s="40">
        <f t="shared" si="20"/>
        <v>-70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-7</v>
      </c>
      <c r="K290" s="40">
        <f t="shared" si="20"/>
        <v>-70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-7</v>
      </c>
      <c r="K291" s="40">
        <f t="shared" si="20"/>
        <v>-70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-7</v>
      </c>
      <c r="K292" s="40">
        <f t="shared" si="20"/>
        <v>-70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-7</v>
      </c>
      <c r="K293" s="40">
        <f t="shared" si="20"/>
        <v>-70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-7</v>
      </c>
      <c r="K294" s="40">
        <f t="shared" si="20"/>
        <v>-70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-7</v>
      </c>
      <c r="K295" s="40">
        <f t="shared" si="20"/>
        <v>-70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-7</v>
      </c>
      <c r="K296" s="40">
        <f t="shared" si="20"/>
        <v>-70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-7</v>
      </c>
      <c r="K297" s="40">
        <f t="shared" si="20"/>
        <v>-70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-7</v>
      </c>
      <c r="K298" s="40">
        <f t="shared" si="20"/>
        <v>-70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-7</v>
      </c>
      <c r="K299" s="40">
        <f t="shared" si="20"/>
        <v>-70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-7</v>
      </c>
      <c r="K300" s="40">
        <f t="shared" si="20"/>
        <v>-70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-7</v>
      </c>
      <c r="K301" s="40">
        <f t="shared" si="20"/>
        <v>-70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-7</v>
      </c>
      <c r="K302" s="40">
        <f t="shared" si="20"/>
        <v>-70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-7</v>
      </c>
      <c r="K303" s="40">
        <f t="shared" si="20"/>
        <v>-70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-7</v>
      </c>
      <c r="K304" s="40">
        <f t="shared" si="20"/>
        <v>-70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-7</v>
      </c>
      <c r="K305" s="40">
        <f t="shared" si="20"/>
        <v>-70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3F012F7A-ED91-4D04-8689-688C3A0907A1}">
      <formula1>#REF!</formula1>
    </dataValidation>
  </dataValidations>
  <hyperlinks>
    <hyperlink ref="C2:D2" r:id="rId1" display="KATOWICE" xr:uid="{2C989504-0E90-4DFB-A93B-A3DEA4B46F4C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CD54-238C-40CA-BCA1-835CE5A57A9A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" style="64" customWidth="1"/>
    <col min="11" max="11" width="8.7109375" style="64" customWidth="1"/>
    <col min="12" max="12" width="11" style="64" customWidth="1"/>
    <col min="13" max="13" width="11.710937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26</v>
      </c>
      <c r="I1" s="20" t="s">
        <v>27</v>
      </c>
      <c r="J1" s="20" t="s">
        <v>28</v>
      </c>
      <c r="K1" s="21" t="s">
        <v>29</v>
      </c>
      <c r="L1" s="22"/>
      <c r="M1" s="22"/>
    </row>
    <row r="2" spans="1:36" x14ac:dyDescent="0.25">
      <c r="A2" s="18"/>
      <c r="B2" s="24" t="s">
        <v>32</v>
      </c>
      <c r="C2" s="176" t="s">
        <v>71</v>
      </c>
      <c r="D2" s="176"/>
      <c r="E2" s="25"/>
      <c r="F2" s="25"/>
      <c r="G2" s="25"/>
      <c r="H2" s="26">
        <v>1</v>
      </c>
      <c r="I2" s="27">
        <v>50</v>
      </c>
      <c r="J2" s="27">
        <v>10</v>
      </c>
      <c r="K2" s="28">
        <f>3*H2^(1/3)</f>
        <v>3</v>
      </c>
      <c r="L2" s="22"/>
      <c r="M2" s="22"/>
    </row>
    <row r="3" spans="1:36" x14ac:dyDescent="0.25">
      <c r="A3" s="18"/>
      <c r="B3" s="29" t="s">
        <v>34</v>
      </c>
      <c r="C3" s="177" t="s">
        <v>72</v>
      </c>
      <c r="D3" s="177"/>
      <c r="E3" s="30"/>
      <c r="F3" s="30"/>
      <c r="G3" s="30"/>
      <c r="H3" s="22"/>
      <c r="I3" s="22"/>
      <c r="J3" s="22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22"/>
      <c r="K4" s="22"/>
      <c r="L4" s="22"/>
      <c r="M4" s="22"/>
    </row>
    <row r="5" spans="1:36" ht="36" x14ac:dyDescent="0.25">
      <c r="A5" s="1" t="s">
        <v>36</v>
      </c>
      <c r="B5" s="33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32"/>
      <c r="H5" s="34" t="s">
        <v>42</v>
      </c>
      <c r="I5" s="35" t="s">
        <v>43</v>
      </c>
      <c r="J5" s="35" t="s">
        <v>44</v>
      </c>
      <c r="K5" s="35" t="s">
        <v>45</v>
      </c>
      <c r="L5" s="35" t="s">
        <v>46</v>
      </c>
      <c r="M5" s="34" t="s">
        <v>47</v>
      </c>
    </row>
    <row r="6" spans="1:36" ht="14.45" customHeight="1" x14ac:dyDescent="0.25">
      <c r="A6" s="37">
        <v>59</v>
      </c>
      <c r="B6" s="38">
        <f t="shared" ref="B6:B13" si="0">IF(H6&gt;$H$2,"",(ROW()-5))</f>
        <v>1</v>
      </c>
      <c r="C6" s="39" t="s">
        <v>16</v>
      </c>
      <c r="D6" s="39"/>
      <c r="E6" s="39"/>
      <c r="F6" s="39"/>
      <c r="G6" s="32"/>
      <c r="H6" s="40">
        <v>1</v>
      </c>
      <c r="I6" s="41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0</v>
      </c>
      <c r="K6" s="40">
        <f t="shared" ref="K6:K69" si="1">J6*$J$2</f>
        <v>0</v>
      </c>
      <c r="L6" s="42">
        <f>3*K2</f>
        <v>9</v>
      </c>
      <c r="M6" s="42">
        <f t="shared" ref="M6:M69" si="2">IF(I6&lt;&gt;"",K6+I6+L6,0)</f>
        <v>59</v>
      </c>
    </row>
    <row r="7" spans="1:36" ht="14.45" customHeight="1" x14ac:dyDescent="0.25">
      <c r="A7" s="79">
        <v>15.930621888236271</v>
      </c>
      <c r="B7" s="80" t="s">
        <v>70</v>
      </c>
      <c r="C7" s="81" t="s">
        <v>20</v>
      </c>
      <c r="D7" s="45" t="s">
        <v>73</v>
      </c>
      <c r="E7" s="45"/>
      <c r="F7" s="45"/>
      <c r="G7" s="32"/>
      <c r="H7" s="46">
        <v>2</v>
      </c>
      <c r="I7" s="47" t="str">
        <f t="shared" ref="I7:I69" si="3">IF(H7&lt;$H$2+1,($I$2-($I$2-1)*(LOG(H7)/LOG($H$2))),"")</f>
        <v/>
      </c>
      <c r="J7" s="47">
        <f t="shared" ref="J7:J70" si="4">INT(LOG($H$2,2))-ROUNDUP(LOG(H7,2),0)+IF(OR($H$2=1,$H$2=2,$H$2=4,$H$2=8,$H$2=16,$H$2=32,$H$2=64,$H$2=128,$H$2=256),0,1)</f>
        <v>-1</v>
      </c>
      <c r="K7" s="46">
        <f t="shared" si="1"/>
        <v>-10</v>
      </c>
      <c r="L7" s="48">
        <f>2*K2</f>
        <v>6</v>
      </c>
      <c r="M7" s="48">
        <f t="shared" si="2"/>
        <v>0</v>
      </c>
    </row>
    <row r="8" spans="1:36" ht="14.45" customHeight="1" x14ac:dyDescent="0.25">
      <c r="A8" s="37">
        <f t="shared" ref="A8:A37" si="5">M8</f>
        <v>0</v>
      </c>
      <c r="B8" s="38" t="str">
        <f>IF(H8&gt;$H$2,"",(ROW()-5))</f>
        <v/>
      </c>
      <c r="C8" s="39"/>
      <c r="D8" s="39"/>
      <c r="E8" s="39"/>
      <c r="F8" s="39"/>
      <c r="G8" s="32"/>
      <c r="H8" s="40">
        <v>3</v>
      </c>
      <c r="I8" s="41" t="str">
        <f t="shared" si="3"/>
        <v/>
      </c>
      <c r="J8" s="41">
        <f t="shared" si="4"/>
        <v>-2</v>
      </c>
      <c r="K8" s="40">
        <f t="shared" si="1"/>
        <v>-20</v>
      </c>
      <c r="L8" s="42">
        <f>K2</f>
        <v>3</v>
      </c>
      <c r="M8" s="42">
        <f t="shared" si="2"/>
        <v>0</v>
      </c>
    </row>
    <row r="9" spans="1:36" ht="14.45" customHeight="1" x14ac:dyDescent="0.25">
      <c r="A9" s="43">
        <f t="shared" si="5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3"/>
        <v/>
      </c>
      <c r="J9" s="47">
        <f t="shared" si="4"/>
        <v>-2</v>
      </c>
      <c r="K9" s="46">
        <f t="shared" si="1"/>
        <v>-20</v>
      </c>
      <c r="L9" s="48"/>
      <c r="M9" s="48">
        <f t="shared" si="2"/>
        <v>0</v>
      </c>
      <c r="V9" s="49"/>
      <c r="Z9" s="50"/>
      <c r="AA9" s="50"/>
      <c r="AG9" s="51"/>
      <c r="AH9" s="23" t="s">
        <v>54</v>
      </c>
      <c r="AI9" s="23">
        <v>23</v>
      </c>
    </row>
    <row r="10" spans="1:36" ht="14.45" customHeight="1" x14ac:dyDescent="0.25">
      <c r="A10" s="37">
        <f t="shared" si="5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3"/>
        <v/>
      </c>
      <c r="J10" s="41">
        <f t="shared" si="4"/>
        <v>-3</v>
      </c>
      <c r="K10" s="40">
        <f t="shared" si="1"/>
        <v>-30</v>
      </c>
      <c r="L10" s="40"/>
      <c r="M10" s="42">
        <f t="shared" si="2"/>
        <v>0</v>
      </c>
      <c r="V10" s="49"/>
      <c r="Z10" s="50"/>
      <c r="AA10" s="50"/>
      <c r="AG10" s="51"/>
      <c r="AH10" s="23" t="s">
        <v>55</v>
      </c>
      <c r="AI10" s="23">
        <v>45</v>
      </c>
    </row>
    <row r="11" spans="1:36" ht="14.45" customHeight="1" x14ac:dyDescent="0.25">
      <c r="A11" s="43">
        <f t="shared" si="5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3"/>
        <v/>
      </c>
      <c r="J11" s="47">
        <f t="shared" si="4"/>
        <v>-3</v>
      </c>
      <c r="K11" s="46">
        <f t="shared" si="1"/>
        <v>-30</v>
      </c>
      <c r="L11" s="46"/>
      <c r="M11" s="48">
        <f t="shared" si="2"/>
        <v>0</v>
      </c>
      <c r="V11" s="52"/>
      <c r="Z11" s="50"/>
      <c r="AA11" s="50"/>
      <c r="AG11" s="51"/>
      <c r="AH11" s="23" t="s">
        <v>56</v>
      </c>
      <c r="AI11" s="23">
        <v>50</v>
      </c>
    </row>
    <row r="12" spans="1:36" ht="14.45" customHeight="1" x14ac:dyDescent="0.25">
      <c r="A12" s="37">
        <f t="shared" si="5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3"/>
        <v/>
      </c>
      <c r="J12" s="41">
        <f t="shared" si="4"/>
        <v>-3</v>
      </c>
      <c r="K12" s="40">
        <f t="shared" si="1"/>
        <v>-30</v>
      </c>
      <c r="L12" s="40"/>
      <c r="M12" s="42">
        <f t="shared" si="2"/>
        <v>0</v>
      </c>
      <c r="Z12" s="50"/>
      <c r="AA12" s="50"/>
      <c r="AG12" s="51"/>
      <c r="AH12" s="23" t="s">
        <v>57</v>
      </c>
      <c r="AI12" s="23">
        <f>AI11-1</f>
        <v>49</v>
      </c>
    </row>
    <row r="13" spans="1:36" ht="14.45" customHeight="1" x14ac:dyDescent="0.25">
      <c r="A13" s="53">
        <f t="shared" si="5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3"/>
        <v/>
      </c>
      <c r="J13" s="47">
        <f t="shared" si="4"/>
        <v>-3</v>
      </c>
      <c r="K13" s="46">
        <f t="shared" si="1"/>
        <v>-30</v>
      </c>
      <c r="L13" s="46"/>
      <c r="M13" s="48">
        <f t="shared" si="2"/>
        <v>0</v>
      </c>
      <c r="X13" s="49"/>
      <c r="AG13" s="51"/>
      <c r="AH13" s="23" t="s">
        <v>58</v>
      </c>
      <c r="AI13" s="23">
        <f>LOG(AI9)</f>
        <v>1.3617278360175928</v>
      </c>
    </row>
    <row r="14" spans="1:36" x14ac:dyDescent="0.25">
      <c r="A14" s="54">
        <f t="shared" si="5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3"/>
        <v/>
      </c>
      <c r="J14" s="41">
        <f t="shared" si="4"/>
        <v>-4</v>
      </c>
      <c r="K14" s="40">
        <f t="shared" si="1"/>
        <v>-40</v>
      </c>
      <c r="L14" s="40"/>
      <c r="M14" s="42">
        <f t="shared" si="2"/>
        <v>0</v>
      </c>
      <c r="X14" s="55"/>
      <c r="Z14" s="50"/>
      <c r="AA14" s="50"/>
      <c r="AG14" s="51"/>
      <c r="AH14" s="23" t="s">
        <v>59</v>
      </c>
      <c r="AI14" s="23">
        <f>LOG(AI10)</f>
        <v>1.6532125137753437</v>
      </c>
    </row>
    <row r="15" spans="1:36" x14ac:dyDescent="0.25">
      <c r="A15" s="53">
        <f t="shared" si="5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3"/>
        <v/>
      </c>
      <c r="J15" s="47">
        <f t="shared" si="4"/>
        <v>-4</v>
      </c>
      <c r="K15" s="46">
        <f t="shared" si="1"/>
        <v>-40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5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3"/>
        <v/>
      </c>
      <c r="J16" s="41">
        <f t="shared" si="4"/>
        <v>-4</v>
      </c>
      <c r="K16" s="40">
        <f t="shared" si="1"/>
        <v>-40</v>
      </c>
      <c r="L16" s="40"/>
      <c r="M16" s="42">
        <f t="shared" si="2"/>
        <v>0</v>
      </c>
      <c r="R16" s="56"/>
      <c r="Z16" s="50"/>
      <c r="AA16" s="50"/>
      <c r="AH16" s="57" t="s">
        <v>60</v>
      </c>
      <c r="AI16" s="23">
        <f>AI11-AI12*AI13/AI14</f>
        <v>9.6393909380186855</v>
      </c>
      <c r="AJ16" s="23" t="s">
        <v>61</v>
      </c>
    </row>
    <row r="17" spans="1:19" x14ac:dyDescent="0.25">
      <c r="A17" s="53">
        <f t="shared" si="5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3"/>
        <v/>
      </c>
      <c r="J17" s="47">
        <f t="shared" si="4"/>
        <v>-4</v>
      </c>
      <c r="K17" s="46">
        <f t="shared" si="1"/>
        <v>-40</v>
      </c>
      <c r="L17" s="46"/>
      <c r="M17" s="48">
        <f t="shared" si="2"/>
        <v>0</v>
      </c>
    </row>
    <row r="18" spans="1:19" x14ac:dyDescent="0.25">
      <c r="A18" s="54">
        <f t="shared" si="5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3"/>
        <v/>
      </c>
      <c r="J18" s="41">
        <f t="shared" si="4"/>
        <v>-4</v>
      </c>
      <c r="K18" s="40">
        <f t="shared" si="1"/>
        <v>-40</v>
      </c>
      <c r="L18" s="40"/>
      <c r="M18" s="42">
        <f t="shared" si="2"/>
        <v>0</v>
      </c>
    </row>
    <row r="19" spans="1:19" x14ac:dyDescent="0.25">
      <c r="A19" s="53">
        <f t="shared" si="5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3"/>
        <v/>
      </c>
      <c r="J19" s="47">
        <f t="shared" si="4"/>
        <v>-4</v>
      </c>
      <c r="K19" s="46">
        <f t="shared" si="1"/>
        <v>-40</v>
      </c>
      <c r="L19" s="46"/>
      <c r="M19" s="48">
        <f t="shared" si="2"/>
        <v>0</v>
      </c>
    </row>
    <row r="20" spans="1:19" x14ac:dyDescent="0.25">
      <c r="A20" s="54">
        <f t="shared" si="5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3"/>
        <v/>
      </c>
      <c r="J20" s="41">
        <f t="shared" si="4"/>
        <v>-4</v>
      </c>
      <c r="K20" s="40">
        <f t="shared" si="1"/>
        <v>-40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5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3"/>
        <v/>
      </c>
      <c r="J21" s="47">
        <f t="shared" si="4"/>
        <v>-4</v>
      </c>
      <c r="K21" s="46">
        <f t="shared" si="1"/>
        <v>-40</v>
      </c>
      <c r="L21" s="46"/>
      <c r="M21" s="48">
        <f t="shared" si="2"/>
        <v>0</v>
      </c>
    </row>
    <row r="22" spans="1:19" x14ac:dyDescent="0.25">
      <c r="A22" s="54">
        <f t="shared" si="5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3"/>
        <v/>
      </c>
      <c r="J22" s="41">
        <f t="shared" si="4"/>
        <v>-5</v>
      </c>
      <c r="K22" s="40">
        <f t="shared" si="1"/>
        <v>-50</v>
      </c>
      <c r="L22" s="40"/>
      <c r="M22" s="42">
        <f t="shared" si="2"/>
        <v>0</v>
      </c>
    </row>
    <row r="23" spans="1:19" x14ac:dyDescent="0.25">
      <c r="A23" s="53">
        <f t="shared" si="5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3"/>
        <v/>
      </c>
      <c r="J23" s="47">
        <f t="shared" si="4"/>
        <v>-5</v>
      </c>
      <c r="K23" s="46">
        <f t="shared" si="1"/>
        <v>-50</v>
      </c>
      <c r="L23" s="46"/>
      <c r="M23" s="48">
        <f t="shared" si="2"/>
        <v>0</v>
      </c>
    </row>
    <row r="24" spans="1:19" x14ac:dyDescent="0.25">
      <c r="A24" s="54">
        <f t="shared" si="5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3"/>
        <v/>
      </c>
      <c r="J24" s="41">
        <f t="shared" si="4"/>
        <v>-5</v>
      </c>
      <c r="K24" s="40">
        <f t="shared" si="1"/>
        <v>-50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5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3"/>
        <v/>
      </c>
      <c r="J25" s="47">
        <f t="shared" si="4"/>
        <v>-5</v>
      </c>
      <c r="K25" s="46">
        <f t="shared" si="1"/>
        <v>-50</v>
      </c>
      <c r="L25" s="46"/>
      <c r="M25" s="48">
        <f t="shared" si="2"/>
        <v>0</v>
      </c>
    </row>
    <row r="26" spans="1:19" x14ac:dyDescent="0.25">
      <c r="A26" s="54">
        <f t="shared" si="5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3"/>
        <v/>
      </c>
      <c r="J26" s="41">
        <f t="shared" si="4"/>
        <v>-5</v>
      </c>
      <c r="K26" s="40">
        <f t="shared" si="1"/>
        <v>-50</v>
      </c>
      <c r="L26" s="40"/>
      <c r="M26" s="42">
        <f t="shared" si="2"/>
        <v>0</v>
      </c>
    </row>
    <row r="27" spans="1:19" x14ac:dyDescent="0.25">
      <c r="A27" s="53">
        <f t="shared" si="5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3"/>
        <v/>
      </c>
      <c r="J27" s="47">
        <f t="shared" si="4"/>
        <v>-5</v>
      </c>
      <c r="K27" s="46">
        <f t="shared" si="1"/>
        <v>-50</v>
      </c>
      <c r="L27" s="46"/>
      <c r="M27" s="48">
        <f t="shared" si="2"/>
        <v>0</v>
      </c>
    </row>
    <row r="28" spans="1:19" x14ac:dyDescent="0.25">
      <c r="A28" s="54">
        <f t="shared" si="5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3"/>
        <v/>
      </c>
      <c r="J28" s="41">
        <f t="shared" si="4"/>
        <v>-5</v>
      </c>
      <c r="K28" s="40">
        <f t="shared" si="1"/>
        <v>-50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5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3"/>
        <v/>
      </c>
      <c r="J29" s="47">
        <f t="shared" si="4"/>
        <v>-5</v>
      </c>
      <c r="K29" s="46">
        <f t="shared" si="1"/>
        <v>-50</v>
      </c>
      <c r="L29" s="46"/>
      <c r="M29" s="48">
        <f t="shared" si="2"/>
        <v>0</v>
      </c>
    </row>
    <row r="30" spans="1:19" x14ac:dyDescent="0.25">
      <c r="A30" s="54">
        <f t="shared" si="5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3"/>
        <v/>
      </c>
      <c r="J30" s="41">
        <f t="shared" si="4"/>
        <v>-5</v>
      </c>
      <c r="K30" s="40">
        <f t="shared" si="1"/>
        <v>-50</v>
      </c>
      <c r="L30" s="40"/>
      <c r="M30" s="42">
        <f t="shared" si="2"/>
        <v>0</v>
      </c>
    </row>
    <row r="31" spans="1:19" x14ac:dyDescent="0.25">
      <c r="A31" s="53">
        <f t="shared" si="5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3"/>
        <v/>
      </c>
      <c r="J31" s="47">
        <f t="shared" si="4"/>
        <v>-5</v>
      </c>
      <c r="K31" s="46">
        <f t="shared" si="1"/>
        <v>-50</v>
      </c>
      <c r="L31" s="46"/>
      <c r="M31" s="48">
        <f t="shared" si="2"/>
        <v>0</v>
      </c>
    </row>
    <row r="32" spans="1:19" x14ac:dyDescent="0.25">
      <c r="A32" s="54">
        <f t="shared" si="5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3"/>
        <v/>
      </c>
      <c r="J32" s="41">
        <f t="shared" si="4"/>
        <v>-5</v>
      </c>
      <c r="K32" s="40">
        <f t="shared" si="1"/>
        <v>-50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5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3"/>
        <v/>
      </c>
      <c r="J33" s="47">
        <f t="shared" si="4"/>
        <v>-5</v>
      </c>
      <c r="K33" s="46">
        <f t="shared" si="1"/>
        <v>-50</v>
      </c>
      <c r="L33" s="46"/>
      <c r="M33" s="48">
        <f t="shared" si="2"/>
        <v>0</v>
      </c>
    </row>
    <row r="34" spans="1:21" x14ac:dyDescent="0.25">
      <c r="A34" s="54">
        <f t="shared" si="5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3"/>
        <v/>
      </c>
      <c r="J34" s="41">
        <f t="shared" si="4"/>
        <v>-5</v>
      </c>
      <c r="K34" s="40">
        <f t="shared" si="1"/>
        <v>-50</v>
      </c>
      <c r="L34" s="40"/>
      <c r="M34" s="42">
        <f t="shared" si="2"/>
        <v>0</v>
      </c>
    </row>
    <row r="35" spans="1:21" x14ac:dyDescent="0.25">
      <c r="A35" s="53">
        <f t="shared" si="5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3"/>
        <v/>
      </c>
      <c r="J35" s="47">
        <f t="shared" si="4"/>
        <v>-5</v>
      </c>
      <c r="K35" s="46">
        <f t="shared" si="1"/>
        <v>-50</v>
      </c>
      <c r="L35" s="46"/>
      <c r="M35" s="48">
        <f t="shared" si="2"/>
        <v>0</v>
      </c>
    </row>
    <row r="36" spans="1:21" x14ac:dyDescent="0.25">
      <c r="A36" s="54">
        <f t="shared" si="5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3"/>
        <v/>
      </c>
      <c r="J36" s="41">
        <f t="shared" si="4"/>
        <v>-5</v>
      </c>
      <c r="K36" s="40">
        <f t="shared" si="1"/>
        <v>-50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5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3"/>
        <v/>
      </c>
      <c r="J37" s="47">
        <f t="shared" si="4"/>
        <v>-5</v>
      </c>
      <c r="K37" s="46">
        <f t="shared" si="1"/>
        <v>-50</v>
      </c>
      <c r="L37" s="46"/>
      <c r="M37" s="48">
        <f t="shared" si="2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3"/>
        <v/>
      </c>
      <c r="J38" s="41">
        <f t="shared" si="4"/>
        <v>-6</v>
      </c>
      <c r="K38" s="40">
        <f t="shared" si="1"/>
        <v>-60</v>
      </c>
      <c r="L38" s="40"/>
      <c r="M38" s="42">
        <f t="shared" si="2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3"/>
        <v/>
      </c>
      <c r="J39" s="47">
        <f t="shared" si="4"/>
        <v>-6</v>
      </c>
      <c r="K39" s="46">
        <f t="shared" si="1"/>
        <v>-60</v>
      </c>
      <c r="L39" s="46"/>
      <c r="M39" s="48">
        <f t="shared" si="2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3"/>
        <v/>
      </c>
      <c r="J40" s="41">
        <f t="shared" si="4"/>
        <v>-6</v>
      </c>
      <c r="K40" s="40">
        <f t="shared" si="1"/>
        <v>-60</v>
      </c>
      <c r="L40" s="40"/>
      <c r="M40" s="42">
        <f t="shared" si="2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3"/>
        <v/>
      </c>
      <c r="J41" s="47">
        <f t="shared" si="4"/>
        <v>-6</v>
      </c>
      <c r="K41" s="46">
        <f t="shared" si="1"/>
        <v>-60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3"/>
        <v/>
      </c>
      <c r="J42" s="41">
        <f t="shared" si="4"/>
        <v>-6</v>
      </c>
      <c r="K42" s="40">
        <f t="shared" si="1"/>
        <v>-60</v>
      </c>
      <c r="L42" s="40"/>
      <c r="M42" s="42">
        <f t="shared" si="2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3"/>
        <v/>
      </c>
      <c r="J43" s="47">
        <f t="shared" si="4"/>
        <v>-6</v>
      </c>
      <c r="K43" s="46">
        <f t="shared" si="1"/>
        <v>-60</v>
      </c>
      <c r="L43" s="46"/>
      <c r="M43" s="48">
        <f t="shared" si="2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3"/>
        <v/>
      </c>
      <c r="J44" s="41">
        <f t="shared" si="4"/>
        <v>-6</v>
      </c>
      <c r="K44" s="40">
        <f t="shared" si="1"/>
        <v>-60</v>
      </c>
      <c r="L44" s="40"/>
      <c r="M44" s="42">
        <f t="shared" si="2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3"/>
        <v/>
      </c>
      <c r="J45" s="47">
        <f t="shared" si="4"/>
        <v>-6</v>
      </c>
      <c r="K45" s="46">
        <f t="shared" si="1"/>
        <v>-60</v>
      </c>
      <c r="L45" s="46"/>
      <c r="M45" s="48">
        <f t="shared" si="2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3"/>
        <v/>
      </c>
      <c r="J46" s="41">
        <f t="shared" si="4"/>
        <v>-6</v>
      </c>
      <c r="K46" s="40">
        <f t="shared" si="1"/>
        <v>-60</v>
      </c>
      <c r="L46" s="40"/>
      <c r="M46" s="42">
        <f t="shared" si="2"/>
        <v>0</v>
      </c>
      <c r="R46" s="18">
        <f>LOG($H$2,2)</f>
        <v>0</v>
      </c>
      <c r="T46" s="23">
        <f>LOG(H38,2)</f>
        <v>5.0443941193584534</v>
      </c>
      <c r="U46" s="23">
        <f>R46-T46</f>
        <v>-5.0443941193584534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3"/>
        <v/>
      </c>
      <c r="J47" s="47">
        <f t="shared" si="4"/>
        <v>-6</v>
      </c>
      <c r="K47" s="46">
        <f t="shared" si="1"/>
        <v>-60</v>
      </c>
      <c r="L47" s="46"/>
      <c r="M47" s="48">
        <f t="shared" si="2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3"/>
        <v/>
      </c>
      <c r="J48" s="41">
        <f t="shared" si="4"/>
        <v>-6</v>
      </c>
      <c r="K48" s="40">
        <f t="shared" si="1"/>
        <v>-60</v>
      </c>
      <c r="L48" s="40"/>
      <c r="M48" s="42">
        <f t="shared" si="2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3"/>
        <v/>
      </c>
      <c r="J49" s="47">
        <f t="shared" si="4"/>
        <v>-6</v>
      </c>
      <c r="K49" s="46">
        <f t="shared" si="1"/>
        <v>-60</v>
      </c>
      <c r="L49" s="46"/>
      <c r="M49" s="48">
        <f t="shared" si="2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3"/>
        <v/>
      </c>
      <c r="J50" s="41">
        <f t="shared" si="4"/>
        <v>-6</v>
      </c>
      <c r="K50" s="40">
        <f t="shared" si="1"/>
        <v>-60</v>
      </c>
      <c r="L50" s="40"/>
      <c r="M50" s="42">
        <f t="shared" si="2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3"/>
        <v/>
      </c>
      <c r="J51" s="47">
        <f t="shared" si="4"/>
        <v>-6</v>
      </c>
      <c r="K51" s="46">
        <f t="shared" si="1"/>
        <v>-60</v>
      </c>
      <c r="L51" s="46"/>
      <c r="M51" s="48">
        <f t="shared" si="2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3"/>
        <v/>
      </c>
      <c r="J52" s="41">
        <f t="shared" si="4"/>
        <v>-6</v>
      </c>
      <c r="K52" s="40">
        <f t="shared" si="1"/>
        <v>-60</v>
      </c>
      <c r="L52" s="40"/>
      <c r="M52" s="42">
        <f t="shared" si="2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3"/>
        <v/>
      </c>
      <c r="J53" s="47">
        <f t="shared" si="4"/>
        <v>-6</v>
      </c>
      <c r="K53" s="46">
        <f t="shared" si="1"/>
        <v>-60</v>
      </c>
      <c r="L53" s="46"/>
      <c r="M53" s="48">
        <f t="shared" si="2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3"/>
        <v/>
      </c>
      <c r="J54" s="41">
        <f t="shared" si="4"/>
        <v>-6</v>
      </c>
      <c r="K54" s="40">
        <f t="shared" si="1"/>
        <v>-60</v>
      </c>
      <c r="L54" s="40"/>
      <c r="M54" s="42">
        <f t="shared" si="2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3"/>
        <v/>
      </c>
      <c r="J55" s="47">
        <f t="shared" si="4"/>
        <v>-6</v>
      </c>
      <c r="K55" s="46">
        <f t="shared" si="1"/>
        <v>-60</v>
      </c>
      <c r="L55" s="46"/>
      <c r="M55" s="48">
        <f t="shared" si="2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3"/>
        <v/>
      </c>
      <c r="J56" s="41">
        <f t="shared" si="4"/>
        <v>-6</v>
      </c>
      <c r="K56" s="40">
        <f t="shared" si="1"/>
        <v>-60</v>
      </c>
      <c r="L56" s="40"/>
      <c r="M56" s="42">
        <f t="shared" si="2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3"/>
        <v/>
      </c>
      <c r="J57" s="47">
        <f t="shared" si="4"/>
        <v>-6</v>
      </c>
      <c r="K57" s="46">
        <f t="shared" si="1"/>
        <v>-60</v>
      </c>
      <c r="L57" s="46"/>
      <c r="M57" s="48">
        <f t="shared" si="2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3"/>
        <v/>
      </c>
      <c r="J58" s="41">
        <f t="shared" si="4"/>
        <v>-6</v>
      </c>
      <c r="K58" s="40">
        <f t="shared" si="1"/>
        <v>-60</v>
      </c>
      <c r="L58" s="40"/>
      <c r="M58" s="42">
        <f t="shared" si="2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3"/>
        <v/>
      </c>
      <c r="J59" s="47">
        <f t="shared" si="4"/>
        <v>-6</v>
      </c>
      <c r="K59" s="46">
        <f t="shared" si="1"/>
        <v>-60</v>
      </c>
      <c r="L59" s="46"/>
      <c r="M59" s="48">
        <f t="shared" si="2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3"/>
        <v/>
      </c>
      <c r="J60" s="41">
        <f t="shared" si="4"/>
        <v>-6</v>
      </c>
      <c r="K60" s="40">
        <f t="shared" si="1"/>
        <v>-60</v>
      </c>
      <c r="L60" s="40"/>
      <c r="M60" s="42">
        <f t="shared" si="2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3"/>
        <v/>
      </c>
      <c r="J61" s="47">
        <f t="shared" si="4"/>
        <v>-6</v>
      </c>
      <c r="K61" s="46">
        <f t="shared" si="1"/>
        <v>-60</v>
      </c>
      <c r="L61" s="46"/>
      <c r="M61" s="48">
        <f t="shared" si="2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3"/>
        <v/>
      </c>
      <c r="J62" s="41">
        <f t="shared" si="4"/>
        <v>-6</v>
      </c>
      <c r="K62" s="40">
        <f t="shared" si="1"/>
        <v>-60</v>
      </c>
      <c r="L62" s="40"/>
      <c r="M62" s="42">
        <f t="shared" si="2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3"/>
        <v/>
      </c>
      <c r="J63" s="47">
        <f t="shared" si="4"/>
        <v>-6</v>
      </c>
      <c r="K63" s="46">
        <f t="shared" si="1"/>
        <v>-60</v>
      </c>
      <c r="L63" s="46"/>
      <c r="M63" s="48">
        <f t="shared" si="2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3"/>
        <v/>
      </c>
      <c r="J64" s="41">
        <f t="shared" si="4"/>
        <v>-6</v>
      </c>
      <c r="K64" s="40">
        <f t="shared" si="1"/>
        <v>-60</v>
      </c>
      <c r="L64" s="40"/>
      <c r="M64" s="42">
        <f t="shared" si="2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3"/>
        <v/>
      </c>
      <c r="J65" s="47">
        <f t="shared" si="4"/>
        <v>-6</v>
      </c>
      <c r="K65" s="46">
        <f t="shared" si="1"/>
        <v>-60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3"/>
        <v/>
      </c>
      <c r="J66" s="41">
        <f t="shared" si="4"/>
        <v>-6</v>
      </c>
      <c r="K66" s="40">
        <f t="shared" si="1"/>
        <v>-60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3"/>
        <v/>
      </c>
      <c r="J67" s="41">
        <f t="shared" si="4"/>
        <v>-6</v>
      </c>
      <c r="K67" s="40">
        <f t="shared" si="1"/>
        <v>-60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3"/>
        <v/>
      </c>
      <c r="J68" s="41">
        <f t="shared" si="4"/>
        <v>-6</v>
      </c>
      <c r="K68" s="40">
        <f t="shared" si="1"/>
        <v>-60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3"/>
        <v/>
      </c>
      <c r="J69" s="41">
        <f t="shared" si="4"/>
        <v>-6</v>
      </c>
      <c r="K69" s="40">
        <f t="shared" si="1"/>
        <v>-60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1">
        <f t="shared" si="4"/>
        <v>-7</v>
      </c>
      <c r="K70" s="40">
        <f t="shared" ref="K70:K133" si="8">J70*$J$2</f>
        <v>-70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1">
        <f t="shared" ref="J71:J134" si="10">INT(LOG($H$2,2))-ROUNDUP(LOG(H71,2),0)+IF(OR($H$2=1,$H$2=2,$H$2=4,$H$2=8,$H$2=16,$H$2=32,$H$2=64,$H$2=128,$H$2=256),0,1)</f>
        <v>-7</v>
      </c>
      <c r="K71" s="40">
        <f t="shared" si="8"/>
        <v>-70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1">
        <f t="shared" si="10"/>
        <v>-7</v>
      </c>
      <c r="K72" s="40">
        <f t="shared" si="8"/>
        <v>-70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1">
        <f t="shared" si="10"/>
        <v>-7</v>
      </c>
      <c r="K73" s="40">
        <f t="shared" si="8"/>
        <v>-70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1">
        <f t="shared" si="10"/>
        <v>-7</v>
      </c>
      <c r="K74" s="40">
        <f t="shared" si="8"/>
        <v>-70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1">
        <f t="shared" si="10"/>
        <v>-7</v>
      </c>
      <c r="K75" s="40">
        <f t="shared" si="8"/>
        <v>-70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1">
        <f t="shared" si="10"/>
        <v>-7</v>
      </c>
      <c r="K76" s="40">
        <f t="shared" si="8"/>
        <v>-70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1">
        <f t="shared" si="10"/>
        <v>-7</v>
      </c>
      <c r="K77" s="40">
        <f t="shared" si="8"/>
        <v>-70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1">
        <f t="shared" si="10"/>
        <v>-7</v>
      </c>
      <c r="K78" s="40">
        <f t="shared" si="8"/>
        <v>-70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1">
        <f t="shared" si="10"/>
        <v>-7</v>
      </c>
      <c r="K79" s="40">
        <f t="shared" si="8"/>
        <v>-70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1">
        <f t="shared" si="10"/>
        <v>-7</v>
      </c>
      <c r="K80" s="40">
        <f t="shared" si="8"/>
        <v>-70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1">
        <f t="shared" si="10"/>
        <v>-7</v>
      </c>
      <c r="K81" s="40">
        <f t="shared" si="8"/>
        <v>-70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1">
        <f t="shared" si="10"/>
        <v>-7</v>
      </c>
      <c r="K82" s="40">
        <f t="shared" si="8"/>
        <v>-70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1">
        <f t="shared" si="10"/>
        <v>-7</v>
      </c>
      <c r="K83" s="40">
        <f t="shared" si="8"/>
        <v>-70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1">
        <f t="shared" si="10"/>
        <v>-7</v>
      </c>
      <c r="K84" s="40">
        <f t="shared" si="8"/>
        <v>-70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1">
        <f t="shared" si="10"/>
        <v>-7</v>
      </c>
      <c r="K85" s="40">
        <f t="shared" si="8"/>
        <v>-70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1">
        <f t="shared" si="10"/>
        <v>-7</v>
      </c>
      <c r="K86" s="40">
        <f t="shared" si="8"/>
        <v>-70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1">
        <f t="shared" si="10"/>
        <v>-7</v>
      </c>
      <c r="K87" s="40">
        <f t="shared" si="8"/>
        <v>-70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1">
        <f t="shared" si="10"/>
        <v>-7</v>
      </c>
      <c r="K88" s="40">
        <f t="shared" si="8"/>
        <v>-70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1">
        <f t="shared" si="10"/>
        <v>-7</v>
      </c>
      <c r="K89" s="40">
        <f t="shared" si="8"/>
        <v>-70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1">
        <f t="shared" si="10"/>
        <v>-7</v>
      </c>
      <c r="K90" s="40">
        <f t="shared" si="8"/>
        <v>-70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1">
        <f t="shared" si="10"/>
        <v>-7</v>
      </c>
      <c r="K91" s="40">
        <f t="shared" si="8"/>
        <v>-70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1">
        <f t="shared" si="10"/>
        <v>-7</v>
      </c>
      <c r="K92" s="40">
        <f t="shared" si="8"/>
        <v>-70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1">
        <f t="shared" si="10"/>
        <v>-7</v>
      </c>
      <c r="K93" s="40">
        <f t="shared" si="8"/>
        <v>-70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1">
        <f t="shared" si="10"/>
        <v>-7</v>
      </c>
      <c r="K94" s="40">
        <f t="shared" si="8"/>
        <v>-70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1">
        <f t="shared" si="10"/>
        <v>-7</v>
      </c>
      <c r="K95" s="40">
        <f t="shared" si="8"/>
        <v>-70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1">
        <f t="shared" si="10"/>
        <v>-7</v>
      </c>
      <c r="K96" s="40">
        <f t="shared" si="8"/>
        <v>-70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1">
        <f t="shared" si="10"/>
        <v>-7</v>
      </c>
      <c r="K97" s="40">
        <f t="shared" si="8"/>
        <v>-70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1">
        <f t="shared" si="10"/>
        <v>-7</v>
      </c>
      <c r="K98" s="40">
        <f t="shared" si="8"/>
        <v>-70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1">
        <f t="shared" si="10"/>
        <v>-7</v>
      </c>
      <c r="K99" s="40">
        <f t="shared" si="8"/>
        <v>-70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1">
        <f t="shared" si="10"/>
        <v>-7</v>
      </c>
      <c r="K100" s="40">
        <f t="shared" si="8"/>
        <v>-70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1">
        <f t="shared" si="10"/>
        <v>-7</v>
      </c>
      <c r="K101" s="40">
        <f t="shared" si="8"/>
        <v>-70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1">
        <f t="shared" si="10"/>
        <v>-7</v>
      </c>
      <c r="K102" s="40">
        <f t="shared" si="8"/>
        <v>-70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1">
        <f t="shared" si="10"/>
        <v>-7</v>
      </c>
      <c r="K103" s="40">
        <f t="shared" si="8"/>
        <v>-70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1">
        <f t="shared" si="10"/>
        <v>-7</v>
      </c>
      <c r="K104" s="40">
        <f t="shared" si="8"/>
        <v>-70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1">
        <f t="shared" si="10"/>
        <v>-7</v>
      </c>
      <c r="K105" s="40">
        <f t="shared" si="8"/>
        <v>-70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1">
        <f t="shared" si="10"/>
        <v>-7</v>
      </c>
      <c r="K106" s="40">
        <f t="shared" si="8"/>
        <v>-70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1">
        <f t="shared" si="10"/>
        <v>-7</v>
      </c>
      <c r="K107" s="40">
        <f t="shared" si="8"/>
        <v>-70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1">
        <f t="shared" si="10"/>
        <v>-7</v>
      </c>
      <c r="K108" s="40">
        <f t="shared" si="8"/>
        <v>-70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1">
        <f t="shared" si="10"/>
        <v>-7</v>
      </c>
      <c r="K109" s="40">
        <f t="shared" si="8"/>
        <v>-70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1">
        <f t="shared" si="10"/>
        <v>-7</v>
      </c>
      <c r="K110" s="40">
        <f t="shared" si="8"/>
        <v>-70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1">
        <f t="shared" si="10"/>
        <v>-7</v>
      </c>
      <c r="K111" s="40">
        <f t="shared" si="8"/>
        <v>-70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1">
        <f t="shared" si="10"/>
        <v>-7</v>
      </c>
      <c r="K112" s="40">
        <f t="shared" si="8"/>
        <v>-70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1">
        <f t="shared" si="10"/>
        <v>-7</v>
      </c>
      <c r="K113" s="40">
        <f t="shared" si="8"/>
        <v>-70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1">
        <f t="shared" si="10"/>
        <v>-7</v>
      </c>
      <c r="K114" s="40">
        <f t="shared" si="8"/>
        <v>-70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1">
        <f t="shared" si="10"/>
        <v>-7</v>
      </c>
      <c r="K115" s="40">
        <f t="shared" si="8"/>
        <v>-70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1">
        <f t="shared" si="10"/>
        <v>-7</v>
      </c>
      <c r="K116" s="40">
        <f t="shared" si="8"/>
        <v>-70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1">
        <f t="shared" si="10"/>
        <v>-7</v>
      </c>
      <c r="K117" s="40">
        <f t="shared" si="8"/>
        <v>-70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1">
        <f t="shared" si="10"/>
        <v>-7</v>
      </c>
      <c r="K118" s="40">
        <f t="shared" si="8"/>
        <v>-70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1">
        <f t="shared" si="10"/>
        <v>-7</v>
      </c>
      <c r="K119" s="40">
        <f t="shared" si="8"/>
        <v>-70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1">
        <f t="shared" si="10"/>
        <v>-7</v>
      </c>
      <c r="K120" s="40">
        <f t="shared" si="8"/>
        <v>-70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1">
        <f t="shared" si="10"/>
        <v>-7</v>
      </c>
      <c r="K121" s="40">
        <f t="shared" si="8"/>
        <v>-70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1">
        <f t="shared" si="10"/>
        <v>-7</v>
      </c>
      <c r="K122" s="40">
        <f t="shared" si="8"/>
        <v>-70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1">
        <f t="shared" si="10"/>
        <v>-7</v>
      </c>
      <c r="K123" s="40">
        <f t="shared" si="8"/>
        <v>-70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1">
        <f t="shared" si="10"/>
        <v>-7</v>
      </c>
      <c r="K124" s="40">
        <f t="shared" si="8"/>
        <v>-70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1">
        <f t="shared" si="10"/>
        <v>-7</v>
      </c>
      <c r="K125" s="40">
        <f t="shared" si="8"/>
        <v>-70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1">
        <f t="shared" si="10"/>
        <v>-7</v>
      </c>
      <c r="K126" s="40">
        <f t="shared" si="8"/>
        <v>-70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1">
        <f t="shared" si="10"/>
        <v>-7</v>
      </c>
      <c r="K127" s="40">
        <f t="shared" si="8"/>
        <v>-70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1">
        <f t="shared" si="10"/>
        <v>-7</v>
      </c>
      <c r="K128" s="40">
        <f t="shared" si="8"/>
        <v>-70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1">
        <f t="shared" si="10"/>
        <v>-7</v>
      </c>
      <c r="K129" s="40">
        <f t="shared" si="8"/>
        <v>-70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1">
        <f t="shared" si="10"/>
        <v>-7</v>
      </c>
      <c r="K130" s="40">
        <f t="shared" si="8"/>
        <v>-70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1">
        <f t="shared" si="10"/>
        <v>-7</v>
      </c>
      <c r="K131" s="40">
        <f t="shared" si="8"/>
        <v>-70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1">
        <f t="shared" si="10"/>
        <v>-7</v>
      </c>
      <c r="K132" s="40">
        <f t="shared" si="8"/>
        <v>-70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1">
        <f t="shared" si="10"/>
        <v>-7</v>
      </c>
      <c r="K133" s="40">
        <f t="shared" si="8"/>
        <v>-70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1">
        <f t="shared" si="10"/>
        <v>-8</v>
      </c>
      <c r="K134" s="40">
        <f t="shared" ref="K134:K197" si="12">J134*$J$2</f>
        <v>-80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1">
        <f t="shared" ref="J135:J198" si="14">INT(LOG($H$2,2))-ROUNDUP(LOG(H135,2),0)+IF(OR($H$2=1,$H$2=2,$H$2=4,$H$2=8,$H$2=16,$H$2=32,$H$2=64,$H$2=128,$H$2=256),0,1)</f>
        <v>-8</v>
      </c>
      <c r="K135" s="40">
        <f t="shared" si="12"/>
        <v>-80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1">
        <f t="shared" si="14"/>
        <v>-8</v>
      </c>
      <c r="K136" s="40">
        <f t="shared" si="12"/>
        <v>-80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1">
        <f t="shared" si="14"/>
        <v>-8</v>
      </c>
      <c r="K137" s="40">
        <f t="shared" si="12"/>
        <v>-80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1">
        <f t="shared" si="14"/>
        <v>-8</v>
      </c>
      <c r="K138" s="40">
        <f t="shared" si="12"/>
        <v>-80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1">
        <f t="shared" si="14"/>
        <v>-8</v>
      </c>
      <c r="K139" s="40">
        <f t="shared" si="12"/>
        <v>-80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1">
        <f t="shared" si="14"/>
        <v>-8</v>
      </c>
      <c r="K140" s="40">
        <f t="shared" si="12"/>
        <v>-80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1">
        <f t="shared" si="14"/>
        <v>-8</v>
      </c>
      <c r="K141" s="40">
        <f t="shared" si="12"/>
        <v>-80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1">
        <f t="shared" si="14"/>
        <v>-8</v>
      </c>
      <c r="K142" s="40">
        <f t="shared" si="12"/>
        <v>-80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1">
        <f t="shared" si="14"/>
        <v>-8</v>
      </c>
      <c r="K143" s="40">
        <f t="shared" si="12"/>
        <v>-80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1">
        <f t="shared" si="14"/>
        <v>-8</v>
      </c>
      <c r="K144" s="40">
        <f t="shared" si="12"/>
        <v>-80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1">
        <f t="shared" si="14"/>
        <v>-8</v>
      </c>
      <c r="K145" s="40">
        <f t="shared" si="12"/>
        <v>-80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1">
        <f t="shared" si="14"/>
        <v>-8</v>
      </c>
      <c r="K146" s="40">
        <f t="shared" si="12"/>
        <v>-80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1">
        <f t="shared" si="14"/>
        <v>-8</v>
      </c>
      <c r="K147" s="40">
        <f t="shared" si="12"/>
        <v>-80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1">
        <f t="shared" si="14"/>
        <v>-8</v>
      </c>
      <c r="K148" s="40">
        <f t="shared" si="12"/>
        <v>-80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1">
        <f t="shared" si="14"/>
        <v>-8</v>
      </c>
      <c r="K149" s="40">
        <f t="shared" si="12"/>
        <v>-80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1">
        <f t="shared" si="14"/>
        <v>-8</v>
      </c>
      <c r="K150" s="40">
        <f t="shared" si="12"/>
        <v>-80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1">
        <f t="shared" si="14"/>
        <v>-8</v>
      </c>
      <c r="K151" s="40">
        <f t="shared" si="12"/>
        <v>-80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1">
        <f t="shared" si="14"/>
        <v>-8</v>
      </c>
      <c r="K152" s="40">
        <f t="shared" si="12"/>
        <v>-80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1">
        <f t="shared" si="14"/>
        <v>-8</v>
      </c>
      <c r="K153" s="40">
        <f t="shared" si="12"/>
        <v>-80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1">
        <f t="shared" si="14"/>
        <v>-8</v>
      </c>
      <c r="K154" s="40">
        <f t="shared" si="12"/>
        <v>-80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1">
        <f t="shared" si="14"/>
        <v>-8</v>
      </c>
      <c r="K155" s="40">
        <f t="shared" si="12"/>
        <v>-80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1">
        <f t="shared" si="14"/>
        <v>-8</v>
      </c>
      <c r="K156" s="40">
        <f t="shared" si="12"/>
        <v>-80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1">
        <f t="shared" si="14"/>
        <v>-8</v>
      </c>
      <c r="K157" s="40">
        <f t="shared" si="12"/>
        <v>-80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1">
        <f t="shared" si="14"/>
        <v>-8</v>
      </c>
      <c r="K158" s="40">
        <f t="shared" si="12"/>
        <v>-80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1">
        <f t="shared" si="14"/>
        <v>-8</v>
      </c>
      <c r="K159" s="40">
        <f t="shared" si="12"/>
        <v>-80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1">
        <f t="shared" si="14"/>
        <v>-8</v>
      </c>
      <c r="K160" s="40">
        <f t="shared" si="12"/>
        <v>-80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1">
        <f t="shared" si="14"/>
        <v>-8</v>
      </c>
      <c r="K161" s="40">
        <f t="shared" si="12"/>
        <v>-80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1">
        <f t="shared" si="14"/>
        <v>-8</v>
      </c>
      <c r="K162" s="40">
        <f t="shared" si="12"/>
        <v>-80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1">
        <f t="shared" si="14"/>
        <v>-8</v>
      </c>
      <c r="K163" s="40">
        <f t="shared" si="12"/>
        <v>-80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1">
        <f t="shared" si="14"/>
        <v>-8</v>
      </c>
      <c r="K164" s="40">
        <f t="shared" si="12"/>
        <v>-80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1">
        <f t="shared" si="14"/>
        <v>-8</v>
      </c>
      <c r="K165" s="40">
        <f t="shared" si="12"/>
        <v>-80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1">
        <f t="shared" si="14"/>
        <v>-8</v>
      </c>
      <c r="K166" s="40">
        <f t="shared" si="12"/>
        <v>-80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1">
        <f t="shared" si="14"/>
        <v>-8</v>
      </c>
      <c r="K167" s="40">
        <f t="shared" si="12"/>
        <v>-80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1">
        <f t="shared" si="14"/>
        <v>-8</v>
      </c>
      <c r="K168" s="40">
        <f t="shared" si="12"/>
        <v>-80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1">
        <f t="shared" si="14"/>
        <v>-8</v>
      </c>
      <c r="K169" s="40">
        <f t="shared" si="12"/>
        <v>-80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1">
        <f t="shared" si="14"/>
        <v>-8</v>
      </c>
      <c r="K170" s="40">
        <f t="shared" si="12"/>
        <v>-80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1">
        <f t="shared" si="14"/>
        <v>-8</v>
      </c>
      <c r="K171" s="40">
        <f t="shared" si="12"/>
        <v>-80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1">
        <f t="shared" si="14"/>
        <v>-8</v>
      </c>
      <c r="K172" s="40">
        <f t="shared" si="12"/>
        <v>-80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1">
        <f t="shared" si="14"/>
        <v>-8</v>
      </c>
      <c r="K173" s="40">
        <f t="shared" si="12"/>
        <v>-80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1">
        <f t="shared" si="14"/>
        <v>-8</v>
      </c>
      <c r="K174" s="40">
        <f t="shared" si="12"/>
        <v>-80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1">
        <f t="shared" si="14"/>
        <v>-8</v>
      </c>
      <c r="K175" s="40">
        <f t="shared" si="12"/>
        <v>-80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1">
        <f t="shared" si="14"/>
        <v>-8</v>
      </c>
      <c r="K176" s="40">
        <f t="shared" si="12"/>
        <v>-80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1">
        <f t="shared" si="14"/>
        <v>-8</v>
      </c>
      <c r="K177" s="40">
        <f t="shared" si="12"/>
        <v>-80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1">
        <f t="shared" si="14"/>
        <v>-8</v>
      </c>
      <c r="K178" s="40">
        <f t="shared" si="12"/>
        <v>-80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1">
        <f t="shared" si="14"/>
        <v>-8</v>
      </c>
      <c r="K179" s="40">
        <f t="shared" si="12"/>
        <v>-80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1">
        <f t="shared" si="14"/>
        <v>-8</v>
      </c>
      <c r="K180" s="40">
        <f t="shared" si="12"/>
        <v>-80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1">
        <f t="shared" si="14"/>
        <v>-8</v>
      </c>
      <c r="K181" s="40">
        <f t="shared" si="12"/>
        <v>-80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1">
        <f t="shared" si="14"/>
        <v>-8</v>
      </c>
      <c r="K182" s="40">
        <f t="shared" si="12"/>
        <v>-80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1">
        <f t="shared" si="14"/>
        <v>-8</v>
      </c>
      <c r="K183" s="40">
        <f t="shared" si="12"/>
        <v>-80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1">
        <f t="shared" si="14"/>
        <v>-8</v>
      </c>
      <c r="K184" s="40">
        <f t="shared" si="12"/>
        <v>-80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1">
        <f t="shared" si="14"/>
        <v>-8</v>
      </c>
      <c r="K185" s="40">
        <f t="shared" si="12"/>
        <v>-80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1">
        <f t="shared" si="14"/>
        <v>-8</v>
      </c>
      <c r="K186" s="40">
        <f t="shared" si="12"/>
        <v>-80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1">
        <f t="shared" si="14"/>
        <v>-8</v>
      </c>
      <c r="K187" s="40">
        <f t="shared" si="12"/>
        <v>-80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1">
        <f t="shared" si="14"/>
        <v>-8</v>
      </c>
      <c r="K188" s="40">
        <f t="shared" si="12"/>
        <v>-80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1">
        <f t="shared" si="14"/>
        <v>-8</v>
      </c>
      <c r="K189" s="40">
        <f t="shared" si="12"/>
        <v>-80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1">
        <f t="shared" si="14"/>
        <v>-8</v>
      </c>
      <c r="K190" s="40">
        <f t="shared" si="12"/>
        <v>-80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1">
        <f t="shared" si="14"/>
        <v>-8</v>
      </c>
      <c r="K191" s="40">
        <f t="shared" si="12"/>
        <v>-80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1">
        <f t="shared" si="14"/>
        <v>-8</v>
      </c>
      <c r="K192" s="40">
        <f t="shared" si="12"/>
        <v>-80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1">
        <f t="shared" si="14"/>
        <v>-8</v>
      </c>
      <c r="K193" s="40">
        <f t="shared" si="12"/>
        <v>-80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1">
        <f t="shared" si="14"/>
        <v>-8</v>
      </c>
      <c r="K194" s="40">
        <f t="shared" si="12"/>
        <v>-80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1">
        <f t="shared" si="14"/>
        <v>-8</v>
      </c>
      <c r="K195" s="40">
        <f t="shared" si="12"/>
        <v>-80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1">
        <f t="shared" si="14"/>
        <v>-8</v>
      </c>
      <c r="K196" s="40">
        <f t="shared" si="12"/>
        <v>-80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1">
        <f t="shared" si="14"/>
        <v>-8</v>
      </c>
      <c r="K197" s="40">
        <f t="shared" si="12"/>
        <v>-80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1">
        <f t="shared" si="14"/>
        <v>-8</v>
      </c>
      <c r="K198" s="40">
        <f t="shared" ref="K198:K261" si="16">J198*$J$2</f>
        <v>-80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1">
        <f t="shared" ref="J199:J262" si="18">INT(LOG($H$2,2))-ROUNDUP(LOG(H199,2),0)+IF(OR($H$2=1,$H$2=2,$H$2=4,$H$2=8,$H$2=16,$H$2=32,$H$2=64,$H$2=128,$H$2=256),0,1)</f>
        <v>-8</v>
      </c>
      <c r="K199" s="40">
        <f t="shared" si="16"/>
        <v>-80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1">
        <f t="shared" si="18"/>
        <v>-8</v>
      </c>
      <c r="K200" s="40">
        <f t="shared" si="16"/>
        <v>-80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1">
        <f t="shared" si="18"/>
        <v>-8</v>
      </c>
      <c r="K201" s="40">
        <f t="shared" si="16"/>
        <v>-80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1">
        <f t="shared" si="18"/>
        <v>-8</v>
      </c>
      <c r="K202" s="40">
        <f t="shared" si="16"/>
        <v>-80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1">
        <f t="shared" si="18"/>
        <v>-8</v>
      </c>
      <c r="K203" s="40">
        <f t="shared" si="16"/>
        <v>-80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1">
        <f t="shared" si="18"/>
        <v>-8</v>
      </c>
      <c r="K204" s="40">
        <f t="shared" si="16"/>
        <v>-80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1">
        <f t="shared" si="18"/>
        <v>-8</v>
      </c>
      <c r="K205" s="40">
        <f t="shared" si="16"/>
        <v>-80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1">
        <f t="shared" si="18"/>
        <v>-8</v>
      </c>
      <c r="K206" s="40">
        <f t="shared" si="16"/>
        <v>-80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1">
        <f t="shared" si="18"/>
        <v>-8</v>
      </c>
      <c r="K207" s="40">
        <f t="shared" si="16"/>
        <v>-80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1">
        <f t="shared" si="18"/>
        <v>-8</v>
      </c>
      <c r="K208" s="40">
        <f t="shared" si="16"/>
        <v>-80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1">
        <f t="shared" si="18"/>
        <v>-8</v>
      </c>
      <c r="K209" s="40">
        <f t="shared" si="16"/>
        <v>-80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1">
        <f t="shared" si="18"/>
        <v>-8</v>
      </c>
      <c r="K210" s="40">
        <f t="shared" si="16"/>
        <v>-80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1">
        <f t="shared" si="18"/>
        <v>-8</v>
      </c>
      <c r="K211" s="40">
        <f t="shared" si="16"/>
        <v>-80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1">
        <f t="shared" si="18"/>
        <v>-8</v>
      </c>
      <c r="K212" s="40">
        <f t="shared" si="16"/>
        <v>-80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1">
        <f t="shared" si="18"/>
        <v>-8</v>
      </c>
      <c r="K213" s="40">
        <f t="shared" si="16"/>
        <v>-80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1">
        <f t="shared" si="18"/>
        <v>-8</v>
      </c>
      <c r="K214" s="40">
        <f t="shared" si="16"/>
        <v>-80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1">
        <f t="shared" si="18"/>
        <v>-8</v>
      </c>
      <c r="K215" s="40">
        <f t="shared" si="16"/>
        <v>-80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1">
        <f t="shared" si="18"/>
        <v>-8</v>
      </c>
      <c r="K216" s="40">
        <f t="shared" si="16"/>
        <v>-80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1">
        <f t="shared" si="18"/>
        <v>-8</v>
      </c>
      <c r="K217" s="40">
        <f t="shared" si="16"/>
        <v>-80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1">
        <f t="shared" si="18"/>
        <v>-8</v>
      </c>
      <c r="K218" s="40">
        <f t="shared" si="16"/>
        <v>-80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1">
        <f t="shared" si="18"/>
        <v>-8</v>
      </c>
      <c r="K219" s="40">
        <f t="shared" si="16"/>
        <v>-80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1">
        <f t="shared" si="18"/>
        <v>-8</v>
      </c>
      <c r="K220" s="40">
        <f t="shared" si="16"/>
        <v>-80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1">
        <f t="shared" si="18"/>
        <v>-8</v>
      </c>
      <c r="K221" s="40">
        <f t="shared" si="16"/>
        <v>-80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1">
        <f t="shared" si="18"/>
        <v>-8</v>
      </c>
      <c r="K222" s="40">
        <f t="shared" si="16"/>
        <v>-80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1">
        <f t="shared" si="18"/>
        <v>-8</v>
      </c>
      <c r="K223" s="40">
        <f t="shared" si="16"/>
        <v>-80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1">
        <f t="shared" si="18"/>
        <v>-8</v>
      </c>
      <c r="K224" s="40">
        <f t="shared" si="16"/>
        <v>-80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1">
        <f t="shared" si="18"/>
        <v>-8</v>
      </c>
      <c r="K225" s="40">
        <f t="shared" si="16"/>
        <v>-80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1">
        <f t="shared" si="18"/>
        <v>-8</v>
      </c>
      <c r="K226" s="40">
        <f t="shared" si="16"/>
        <v>-80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1">
        <f t="shared" si="18"/>
        <v>-8</v>
      </c>
      <c r="K227" s="40">
        <f t="shared" si="16"/>
        <v>-80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1">
        <f t="shared" si="18"/>
        <v>-8</v>
      </c>
      <c r="K228" s="40">
        <f t="shared" si="16"/>
        <v>-80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1">
        <f t="shared" si="18"/>
        <v>-8</v>
      </c>
      <c r="K229" s="40">
        <f t="shared" si="16"/>
        <v>-80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1">
        <f t="shared" si="18"/>
        <v>-8</v>
      </c>
      <c r="K230" s="40">
        <f t="shared" si="16"/>
        <v>-80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1">
        <f t="shared" si="18"/>
        <v>-8</v>
      </c>
      <c r="K231" s="40">
        <f t="shared" si="16"/>
        <v>-80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1">
        <f t="shared" si="18"/>
        <v>-8</v>
      </c>
      <c r="K232" s="40">
        <f t="shared" si="16"/>
        <v>-80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1">
        <f t="shared" si="18"/>
        <v>-8</v>
      </c>
      <c r="K233" s="40">
        <f t="shared" si="16"/>
        <v>-80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1">
        <f t="shared" si="18"/>
        <v>-8</v>
      </c>
      <c r="K234" s="40">
        <f t="shared" si="16"/>
        <v>-80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1">
        <f t="shared" si="18"/>
        <v>-8</v>
      </c>
      <c r="K235" s="40">
        <f t="shared" si="16"/>
        <v>-80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1">
        <f t="shared" si="18"/>
        <v>-8</v>
      </c>
      <c r="K236" s="40">
        <f t="shared" si="16"/>
        <v>-80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1">
        <f t="shared" si="18"/>
        <v>-8</v>
      </c>
      <c r="K237" s="40">
        <f t="shared" si="16"/>
        <v>-80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1">
        <f t="shared" si="18"/>
        <v>-8</v>
      </c>
      <c r="K238" s="40">
        <f t="shared" si="16"/>
        <v>-80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1">
        <f t="shared" si="18"/>
        <v>-8</v>
      </c>
      <c r="K239" s="40">
        <f t="shared" si="16"/>
        <v>-80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1">
        <f t="shared" si="18"/>
        <v>-8</v>
      </c>
      <c r="K240" s="40">
        <f t="shared" si="16"/>
        <v>-80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1">
        <f t="shared" si="18"/>
        <v>-8</v>
      </c>
      <c r="K241" s="40">
        <f t="shared" si="16"/>
        <v>-80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1">
        <f t="shared" si="18"/>
        <v>-8</v>
      </c>
      <c r="K242" s="40">
        <f t="shared" si="16"/>
        <v>-80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1">
        <f t="shared" si="18"/>
        <v>-8</v>
      </c>
      <c r="K243" s="40">
        <f t="shared" si="16"/>
        <v>-80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1">
        <f t="shared" si="18"/>
        <v>-8</v>
      </c>
      <c r="K244" s="40">
        <f t="shared" si="16"/>
        <v>-80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1">
        <f t="shared" si="18"/>
        <v>-8</v>
      </c>
      <c r="K245" s="40">
        <f t="shared" si="16"/>
        <v>-80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1">
        <f t="shared" si="18"/>
        <v>-8</v>
      </c>
      <c r="K246" s="40">
        <f t="shared" si="16"/>
        <v>-80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1">
        <f t="shared" si="18"/>
        <v>-8</v>
      </c>
      <c r="K247" s="40">
        <f t="shared" si="16"/>
        <v>-80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1">
        <f t="shared" si="18"/>
        <v>-8</v>
      </c>
      <c r="K248" s="40">
        <f t="shared" si="16"/>
        <v>-80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1">
        <f t="shared" si="18"/>
        <v>-8</v>
      </c>
      <c r="K249" s="40">
        <f t="shared" si="16"/>
        <v>-80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1">
        <f t="shared" si="18"/>
        <v>-8</v>
      </c>
      <c r="K250" s="40">
        <f t="shared" si="16"/>
        <v>-80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1">
        <f t="shared" si="18"/>
        <v>-8</v>
      </c>
      <c r="K251" s="40">
        <f t="shared" si="16"/>
        <v>-80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1">
        <f t="shared" si="18"/>
        <v>-8</v>
      </c>
      <c r="K252" s="40">
        <f t="shared" si="16"/>
        <v>-80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1">
        <f t="shared" si="18"/>
        <v>-8</v>
      </c>
      <c r="K253" s="40">
        <f t="shared" si="16"/>
        <v>-80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1">
        <f t="shared" si="18"/>
        <v>-8</v>
      </c>
      <c r="K254" s="40">
        <f t="shared" si="16"/>
        <v>-80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1">
        <f t="shared" si="18"/>
        <v>-8</v>
      </c>
      <c r="K255" s="40">
        <f t="shared" si="16"/>
        <v>-80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1">
        <f t="shared" si="18"/>
        <v>-8</v>
      </c>
      <c r="K256" s="40">
        <f t="shared" si="16"/>
        <v>-80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1">
        <f t="shared" si="18"/>
        <v>-8</v>
      </c>
      <c r="K257" s="40">
        <f t="shared" si="16"/>
        <v>-80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1">
        <f t="shared" si="18"/>
        <v>-8</v>
      </c>
      <c r="K258" s="40">
        <f t="shared" si="16"/>
        <v>-80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1">
        <f t="shared" si="18"/>
        <v>-8</v>
      </c>
      <c r="K259" s="40">
        <f t="shared" si="16"/>
        <v>-80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1">
        <f t="shared" si="18"/>
        <v>-8</v>
      </c>
      <c r="K260" s="40">
        <f t="shared" si="16"/>
        <v>-80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1">
        <f t="shared" si="18"/>
        <v>-8</v>
      </c>
      <c r="K261" s="40">
        <f t="shared" si="16"/>
        <v>-80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1">
        <f t="shared" si="18"/>
        <v>-9</v>
      </c>
      <c r="K262" s="40">
        <f t="shared" ref="K262:K305" si="20">J262*$J$2</f>
        <v>-90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1">
        <f t="shared" ref="J263:J305" si="22">INT(LOG($H$2,2))-ROUNDUP(LOG(H263,2),0)+IF(OR($H$2=1,$H$2=2,$H$2=4,$H$2=8,$H$2=16,$H$2=32,$H$2=64,$H$2=128,$H$2=256),0,1)</f>
        <v>-9</v>
      </c>
      <c r="K263" s="40">
        <f t="shared" si="20"/>
        <v>-90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1">
        <f t="shared" si="22"/>
        <v>-9</v>
      </c>
      <c r="K264" s="40">
        <f t="shared" si="20"/>
        <v>-90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1">
        <f t="shared" si="22"/>
        <v>-9</v>
      </c>
      <c r="K265" s="40">
        <f t="shared" si="20"/>
        <v>-90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1">
        <f t="shared" si="22"/>
        <v>-9</v>
      </c>
      <c r="K266" s="40">
        <f t="shared" si="20"/>
        <v>-90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1">
        <f t="shared" si="22"/>
        <v>-9</v>
      </c>
      <c r="K267" s="40">
        <f t="shared" si="20"/>
        <v>-90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1">
        <f t="shared" si="22"/>
        <v>-9</v>
      </c>
      <c r="K268" s="40">
        <f t="shared" si="20"/>
        <v>-90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1">
        <f t="shared" si="22"/>
        <v>-9</v>
      </c>
      <c r="K269" s="40">
        <f t="shared" si="20"/>
        <v>-90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1">
        <f t="shared" si="22"/>
        <v>-9</v>
      </c>
      <c r="K270" s="40">
        <f t="shared" si="20"/>
        <v>-90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1">
        <f t="shared" si="22"/>
        <v>-9</v>
      </c>
      <c r="K271" s="40">
        <f t="shared" si="20"/>
        <v>-90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1">
        <f t="shared" si="22"/>
        <v>-9</v>
      </c>
      <c r="K272" s="40">
        <f t="shared" si="20"/>
        <v>-90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1">
        <f t="shared" si="22"/>
        <v>-9</v>
      </c>
      <c r="K273" s="40">
        <f t="shared" si="20"/>
        <v>-90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1">
        <f t="shared" si="22"/>
        <v>-9</v>
      </c>
      <c r="K274" s="40">
        <f t="shared" si="20"/>
        <v>-90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1">
        <f t="shared" si="22"/>
        <v>-9</v>
      </c>
      <c r="K275" s="40">
        <f t="shared" si="20"/>
        <v>-90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1">
        <f t="shared" si="22"/>
        <v>-9</v>
      </c>
      <c r="K276" s="40">
        <f t="shared" si="20"/>
        <v>-90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1">
        <f t="shared" si="22"/>
        <v>-9</v>
      </c>
      <c r="K277" s="40">
        <f t="shared" si="20"/>
        <v>-90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1">
        <f t="shared" si="22"/>
        <v>-9</v>
      </c>
      <c r="K278" s="40">
        <f t="shared" si="20"/>
        <v>-90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1">
        <f t="shared" si="22"/>
        <v>-9</v>
      </c>
      <c r="K279" s="40">
        <f t="shared" si="20"/>
        <v>-90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1">
        <f t="shared" si="22"/>
        <v>-9</v>
      </c>
      <c r="K280" s="40">
        <f t="shared" si="20"/>
        <v>-90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1">
        <f t="shared" si="22"/>
        <v>-9</v>
      </c>
      <c r="K281" s="40">
        <f t="shared" si="20"/>
        <v>-90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1">
        <f t="shared" si="22"/>
        <v>-9</v>
      </c>
      <c r="K282" s="40">
        <f t="shared" si="20"/>
        <v>-90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1">
        <f t="shared" si="22"/>
        <v>-9</v>
      </c>
      <c r="K283" s="40">
        <f t="shared" si="20"/>
        <v>-90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1">
        <f t="shared" si="22"/>
        <v>-9</v>
      </c>
      <c r="K284" s="40">
        <f t="shared" si="20"/>
        <v>-90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1">
        <f t="shared" si="22"/>
        <v>-9</v>
      </c>
      <c r="K285" s="40">
        <f t="shared" si="20"/>
        <v>-90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1">
        <f t="shared" si="22"/>
        <v>-9</v>
      </c>
      <c r="K286" s="40">
        <f t="shared" si="20"/>
        <v>-90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1">
        <f t="shared" si="22"/>
        <v>-9</v>
      </c>
      <c r="K287" s="40">
        <f t="shared" si="20"/>
        <v>-90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1">
        <f t="shared" si="22"/>
        <v>-9</v>
      </c>
      <c r="K288" s="40">
        <f t="shared" si="20"/>
        <v>-90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1">
        <f t="shared" si="22"/>
        <v>-9</v>
      </c>
      <c r="K289" s="40">
        <f t="shared" si="20"/>
        <v>-90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1">
        <f t="shared" si="22"/>
        <v>-9</v>
      </c>
      <c r="K290" s="40">
        <f t="shared" si="20"/>
        <v>-90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1">
        <f t="shared" si="22"/>
        <v>-9</v>
      </c>
      <c r="K291" s="40">
        <f t="shared" si="20"/>
        <v>-90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1">
        <f t="shared" si="22"/>
        <v>-9</v>
      </c>
      <c r="K292" s="40">
        <f t="shared" si="20"/>
        <v>-90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1">
        <f t="shared" si="22"/>
        <v>-9</v>
      </c>
      <c r="K293" s="40">
        <f t="shared" si="20"/>
        <v>-90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1">
        <f t="shared" si="22"/>
        <v>-9</v>
      </c>
      <c r="K294" s="40">
        <f t="shared" si="20"/>
        <v>-90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1">
        <f t="shared" si="22"/>
        <v>-9</v>
      </c>
      <c r="K295" s="40">
        <f t="shared" si="20"/>
        <v>-90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1">
        <f t="shared" si="22"/>
        <v>-9</v>
      </c>
      <c r="K296" s="40">
        <f t="shared" si="20"/>
        <v>-90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1">
        <f t="shared" si="22"/>
        <v>-9</v>
      </c>
      <c r="K297" s="40">
        <f t="shared" si="20"/>
        <v>-90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1">
        <f t="shared" si="22"/>
        <v>-9</v>
      </c>
      <c r="K298" s="40">
        <f t="shared" si="20"/>
        <v>-90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1">
        <f t="shared" si="22"/>
        <v>-9</v>
      </c>
      <c r="K299" s="40">
        <f t="shared" si="20"/>
        <v>-90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1">
        <f t="shared" si="22"/>
        <v>-9</v>
      </c>
      <c r="K300" s="40">
        <f t="shared" si="20"/>
        <v>-90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1">
        <f t="shared" si="22"/>
        <v>-9</v>
      </c>
      <c r="K301" s="40">
        <f t="shared" si="20"/>
        <v>-90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1">
        <f t="shared" si="22"/>
        <v>-9</v>
      </c>
      <c r="K302" s="40">
        <f t="shared" si="20"/>
        <v>-90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1">
        <f t="shared" si="22"/>
        <v>-9</v>
      </c>
      <c r="K303" s="40">
        <f t="shared" si="20"/>
        <v>-90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1">
        <f t="shared" si="22"/>
        <v>-9</v>
      </c>
      <c r="K304" s="40">
        <f t="shared" si="20"/>
        <v>-90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1">
        <f t="shared" si="22"/>
        <v>-9</v>
      </c>
      <c r="K305" s="40">
        <f t="shared" si="20"/>
        <v>-90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K6:K305">
    <cfRule type="cellIs" dxfId="18" priority="1" operator="lessThanOrEqual">
      <formula>0</formula>
    </cfRule>
  </conditionalFormatting>
  <dataValidations disablePrompts="1" count="1">
    <dataValidation type="list" allowBlank="1" showInputMessage="1" showErrorMessage="1" sqref="C38:C69" xr:uid="{1BF49238-D8DD-407F-A19D-4F3AADCCFA3E}">
      <formula1>#REF!</formula1>
    </dataValidation>
  </dataValidations>
  <hyperlinks>
    <hyperlink ref="C2:D2" r:id="rId1" display="ŚWIDNICA" xr:uid="{302D4AA0-9C8C-4C7C-9EC2-0E7824E65DEA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A3A6-9AA4-496C-A21E-B5FBF80F4326}">
  <sheetPr>
    <tabColor theme="7" tint="0.79998168889431442"/>
  </sheetPr>
  <dimension ref="A1:AM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1.7109375" style="64" customWidth="1"/>
    <col min="14" max="14" width="11.7109375" style="65" customWidth="1"/>
    <col min="15" max="16" width="13.85546875" style="18" customWidth="1"/>
    <col min="17" max="19" width="8.85546875" style="18"/>
    <col min="20" max="21" width="8.85546875" style="23"/>
    <col min="22" max="22" width="12.140625" style="23" customWidth="1"/>
    <col min="23" max="23" width="27.42578125" style="23" customWidth="1"/>
    <col min="24" max="39" width="8.85546875" style="23"/>
    <col min="40" max="16384" width="8.85546875" style="62"/>
  </cols>
  <sheetData>
    <row r="1" spans="1:37" x14ac:dyDescent="0.25">
      <c r="A1" s="18"/>
      <c r="B1" s="18"/>
      <c r="C1" s="18"/>
      <c r="D1" s="18"/>
      <c r="E1" s="18"/>
      <c r="F1" s="18"/>
      <c r="G1" s="18"/>
      <c r="H1" s="19" t="s">
        <v>26</v>
      </c>
      <c r="I1" s="20" t="s">
        <v>27</v>
      </c>
      <c r="J1" s="20" t="s">
        <v>28</v>
      </c>
      <c r="K1" s="21" t="s">
        <v>74</v>
      </c>
      <c r="L1" s="67" t="s">
        <v>75</v>
      </c>
      <c r="M1" s="68"/>
      <c r="N1" s="22"/>
    </row>
    <row r="2" spans="1:37" x14ac:dyDescent="0.25">
      <c r="A2" s="18"/>
      <c r="B2" s="24" t="s">
        <v>32</v>
      </c>
      <c r="C2" s="176" t="s">
        <v>76</v>
      </c>
      <c r="D2" s="176"/>
      <c r="E2" s="25"/>
      <c r="F2" s="25"/>
      <c r="G2" s="25"/>
      <c r="H2" s="26">
        <v>3</v>
      </c>
      <c r="I2" s="27">
        <v>50</v>
      </c>
      <c r="J2" s="27">
        <v>10</v>
      </c>
      <c r="K2" s="28">
        <f>3*H2^(1/3)</f>
        <v>4.3267487109222245</v>
      </c>
      <c r="L2" s="69">
        <f>1.2</f>
        <v>1.2</v>
      </c>
      <c r="M2" s="22"/>
      <c r="N2" s="22"/>
    </row>
    <row r="3" spans="1:37" ht="14.25" customHeight="1" x14ac:dyDescent="0.25">
      <c r="A3" s="18"/>
      <c r="B3" s="29" t="s">
        <v>34</v>
      </c>
      <c r="C3" s="177" t="s">
        <v>77</v>
      </c>
      <c r="D3" s="177"/>
      <c r="E3" s="30"/>
      <c r="F3" s="30"/>
      <c r="G3" s="30"/>
      <c r="H3" s="22"/>
      <c r="I3" s="22"/>
      <c r="J3" s="31"/>
      <c r="K3" s="22"/>
      <c r="L3" s="22"/>
      <c r="M3" s="22"/>
      <c r="N3" s="22"/>
    </row>
    <row r="4" spans="1:37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  <c r="N4" s="22"/>
    </row>
    <row r="5" spans="1:37" ht="36" x14ac:dyDescent="0.25">
      <c r="A5" s="1" t="s">
        <v>36</v>
      </c>
      <c r="B5" s="33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32"/>
      <c r="H5" s="34" t="s">
        <v>42</v>
      </c>
      <c r="I5" s="35" t="s">
        <v>43</v>
      </c>
      <c r="J5" s="36" t="s">
        <v>44</v>
      </c>
      <c r="K5" s="35" t="s">
        <v>45</v>
      </c>
      <c r="L5" s="35" t="s">
        <v>46</v>
      </c>
      <c r="M5" s="34" t="s">
        <v>47</v>
      </c>
      <c r="N5" s="34" t="s">
        <v>78</v>
      </c>
    </row>
    <row r="6" spans="1:37" ht="14.45" customHeight="1" x14ac:dyDescent="0.25">
      <c r="A6" s="37">
        <f>N6</f>
        <v>99.57629535932</v>
      </c>
      <c r="B6" s="38">
        <v>1</v>
      </c>
      <c r="C6" s="39" t="s">
        <v>17</v>
      </c>
      <c r="D6" s="39" t="s">
        <v>79</v>
      </c>
      <c r="E6" s="39"/>
      <c r="F6" s="39" t="s">
        <v>65</v>
      </c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2</v>
      </c>
      <c r="K6" s="40">
        <f t="shared" ref="K6:K69" si="0">J6*$J$2</f>
        <v>20</v>
      </c>
      <c r="L6" s="42">
        <f>3*K2</f>
        <v>12.980246132766673</v>
      </c>
      <c r="M6" s="42">
        <f t="shared" ref="M6:M69" si="1">IF(I6&lt;&gt;"",K6+I6+L6,0)</f>
        <v>82.980246132766666</v>
      </c>
      <c r="N6" s="42">
        <f t="shared" ref="N6:N69" si="2">IF(I6&lt;&gt;"",M6*L$2,0)</f>
        <v>99.57629535932</v>
      </c>
    </row>
    <row r="7" spans="1:37" ht="14.45" customHeight="1" x14ac:dyDescent="0.25">
      <c r="A7" s="43">
        <f t="shared" ref="A7:A70" si="3">N7</f>
        <v>45.285527396211648</v>
      </c>
      <c r="B7" s="44">
        <v>2</v>
      </c>
      <c r="C7" s="45" t="s">
        <v>16</v>
      </c>
      <c r="D7" s="45" t="s">
        <v>80</v>
      </c>
      <c r="E7" s="45"/>
      <c r="F7" s="45" t="s">
        <v>65</v>
      </c>
      <c r="G7" s="32"/>
      <c r="H7" s="46">
        <v>2</v>
      </c>
      <c r="I7" s="47">
        <f t="shared" ref="I7:I69" si="4">IF(H7&lt;$H$2+1,($I$2-($I$2-1)*(LOG(H7)/LOG($H$2))),"")</f>
        <v>19.084442074998588</v>
      </c>
      <c r="J7" s="46">
        <f t="shared" ref="J7:J70" si="5">INT(LOG($H$2,2))-ROUNDUP(LOG(H7,2),0)+IF(OR($H$2=1,$H$2=2,$H$2=4,$H$2=8,$H$2=16,$H$2=32,$H$2=64,$H$2=128,$H$2=256),0,1)</f>
        <v>1</v>
      </c>
      <c r="K7" s="46">
        <f t="shared" si="0"/>
        <v>10</v>
      </c>
      <c r="L7" s="48">
        <f>2*K2</f>
        <v>8.6534974218444489</v>
      </c>
      <c r="M7" s="48">
        <f t="shared" si="1"/>
        <v>37.73793949684304</v>
      </c>
      <c r="N7" s="48">
        <f t="shared" si="2"/>
        <v>45.285527396211648</v>
      </c>
    </row>
    <row r="8" spans="1:37" ht="14.45" customHeight="1" x14ac:dyDescent="0.25">
      <c r="A8" s="37">
        <f t="shared" si="3"/>
        <v>6.3920984531066694</v>
      </c>
      <c r="B8" s="38">
        <v>3</v>
      </c>
      <c r="C8" s="39" t="s">
        <v>21</v>
      </c>
      <c r="D8" s="39" t="s">
        <v>66</v>
      </c>
      <c r="E8" s="39"/>
      <c r="F8" s="39" t="s">
        <v>65</v>
      </c>
      <c r="G8" s="32"/>
      <c r="H8" s="40">
        <v>3</v>
      </c>
      <c r="I8" s="41">
        <f t="shared" si="4"/>
        <v>1</v>
      </c>
      <c r="J8" s="40">
        <f t="shared" si="5"/>
        <v>0</v>
      </c>
      <c r="K8" s="40">
        <f t="shared" si="0"/>
        <v>0</v>
      </c>
      <c r="L8" s="42">
        <f>K2</f>
        <v>4.3267487109222245</v>
      </c>
      <c r="M8" s="42">
        <f t="shared" si="1"/>
        <v>5.3267487109222245</v>
      </c>
      <c r="N8" s="42">
        <f t="shared" si="2"/>
        <v>6.3920984531066694</v>
      </c>
    </row>
    <row r="9" spans="1:37" ht="14.45" customHeight="1" x14ac:dyDescent="0.25">
      <c r="A9" s="79">
        <v>1.2</v>
      </c>
      <c r="B9" s="80" t="s">
        <v>81</v>
      </c>
      <c r="C9" s="81" t="s">
        <v>20</v>
      </c>
      <c r="D9" s="45" t="s">
        <v>82</v>
      </c>
      <c r="E9" s="45"/>
      <c r="F9" s="45"/>
      <c r="G9" s="32"/>
      <c r="H9" s="46">
        <v>4</v>
      </c>
      <c r="I9" s="47" t="str">
        <f t="shared" si="4"/>
        <v/>
      </c>
      <c r="J9" s="46">
        <f t="shared" si="5"/>
        <v>0</v>
      </c>
      <c r="K9" s="46">
        <f t="shared" si="0"/>
        <v>0</v>
      </c>
      <c r="L9" s="48"/>
      <c r="M9" s="48">
        <f t="shared" si="1"/>
        <v>0</v>
      </c>
      <c r="N9" s="48">
        <f t="shared" si="2"/>
        <v>0</v>
      </c>
      <c r="W9" s="49"/>
      <c r="AA9" s="50"/>
      <c r="AB9" s="50"/>
      <c r="AH9" s="51"/>
      <c r="AI9" s="23" t="s">
        <v>54</v>
      </c>
      <c r="AJ9" s="23">
        <v>23</v>
      </c>
    </row>
    <row r="10" spans="1:37" ht="14.45" customHeight="1" x14ac:dyDescent="0.25">
      <c r="A10" s="37">
        <f t="shared" si="3"/>
        <v>0</v>
      </c>
      <c r="B10" s="38" t="str">
        <f t="shared" ref="B10:B13" si="6">IF(H10&gt;$H$2,"",(ROW()-5))</f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>
        <f t="shared" si="5"/>
        <v>-1</v>
      </c>
      <c r="K10" s="40">
        <f t="shared" si="0"/>
        <v>-10</v>
      </c>
      <c r="L10" s="40"/>
      <c r="M10" s="42">
        <f t="shared" si="1"/>
        <v>0</v>
      </c>
      <c r="N10" s="42">
        <f t="shared" si="2"/>
        <v>0</v>
      </c>
      <c r="W10" s="49"/>
      <c r="AA10" s="50"/>
      <c r="AB10" s="50"/>
      <c r="AH10" s="51"/>
      <c r="AI10" s="23" t="s">
        <v>55</v>
      </c>
      <c r="AJ10" s="23">
        <v>45</v>
      </c>
    </row>
    <row r="11" spans="1:37" ht="14.45" customHeight="1" x14ac:dyDescent="0.25">
      <c r="A11" s="43">
        <f t="shared" si="3"/>
        <v>0</v>
      </c>
      <c r="B11" s="44" t="str">
        <f t="shared" si="6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>
        <f t="shared" si="5"/>
        <v>-1</v>
      </c>
      <c r="K11" s="46">
        <f t="shared" si="0"/>
        <v>-10</v>
      </c>
      <c r="L11" s="46"/>
      <c r="M11" s="48">
        <f t="shared" si="1"/>
        <v>0</v>
      </c>
      <c r="N11" s="48">
        <f t="shared" si="2"/>
        <v>0</v>
      </c>
      <c r="W11" s="52"/>
      <c r="AA11" s="50"/>
      <c r="AB11" s="50"/>
      <c r="AH11" s="51"/>
      <c r="AI11" s="23" t="s">
        <v>56</v>
      </c>
      <c r="AJ11" s="23">
        <v>50</v>
      </c>
    </row>
    <row r="12" spans="1:37" ht="14.45" customHeight="1" x14ac:dyDescent="0.25">
      <c r="A12" s="37">
        <f t="shared" si="3"/>
        <v>0</v>
      </c>
      <c r="B12" s="38" t="str">
        <f t="shared" si="6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>
        <f t="shared" si="5"/>
        <v>-1</v>
      </c>
      <c r="K12" s="40">
        <f t="shared" si="0"/>
        <v>-10</v>
      </c>
      <c r="L12" s="40"/>
      <c r="M12" s="42">
        <f t="shared" si="1"/>
        <v>0</v>
      </c>
      <c r="N12" s="42">
        <f t="shared" si="2"/>
        <v>0</v>
      </c>
      <c r="AA12" s="50"/>
      <c r="AB12" s="50"/>
      <c r="AH12" s="51"/>
      <c r="AI12" s="23" t="s">
        <v>57</v>
      </c>
      <c r="AJ12" s="23">
        <f>AJ11-1</f>
        <v>49</v>
      </c>
    </row>
    <row r="13" spans="1:37" ht="14.45" customHeight="1" x14ac:dyDescent="0.25">
      <c r="A13" s="53">
        <f t="shared" si="3"/>
        <v>0</v>
      </c>
      <c r="B13" s="44" t="str">
        <f t="shared" si="6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>
        <f t="shared" si="5"/>
        <v>-1</v>
      </c>
      <c r="K13" s="46">
        <f t="shared" si="0"/>
        <v>-10</v>
      </c>
      <c r="L13" s="46"/>
      <c r="M13" s="48">
        <f t="shared" si="1"/>
        <v>0</v>
      </c>
      <c r="N13" s="48">
        <f t="shared" si="2"/>
        <v>0</v>
      </c>
      <c r="Y13" s="49"/>
      <c r="AH13" s="51"/>
      <c r="AI13" s="23" t="s">
        <v>58</v>
      </c>
      <c r="AJ13" s="23">
        <f>LOG(AJ9)</f>
        <v>1.3617278360175928</v>
      </c>
    </row>
    <row r="14" spans="1:37" x14ac:dyDescent="0.25">
      <c r="A14" s="54">
        <f t="shared" si="3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>
        <f t="shared" si="5"/>
        <v>-2</v>
      </c>
      <c r="K14" s="40">
        <f t="shared" si="0"/>
        <v>-20</v>
      </c>
      <c r="L14" s="40"/>
      <c r="M14" s="42">
        <f t="shared" si="1"/>
        <v>0</v>
      </c>
      <c r="N14" s="42">
        <f t="shared" si="2"/>
        <v>0</v>
      </c>
      <c r="Y14" s="55"/>
      <c r="AA14" s="50"/>
      <c r="AB14" s="50"/>
      <c r="AH14" s="51"/>
      <c r="AI14" s="23" t="s">
        <v>59</v>
      </c>
      <c r="AJ14" s="23">
        <f>LOG(AJ10)</f>
        <v>1.6532125137753437</v>
      </c>
    </row>
    <row r="15" spans="1:37" x14ac:dyDescent="0.25">
      <c r="A15" s="53">
        <f t="shared" si="3"/>
        <v>0</v>
      </c>
      <c r="B15" s="44" t="str">
        <f t="shared" ref="B15:B65" si="7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>
        <f t="shared" si="5"/>
        <v>-2</v>
      </c>
      <c r="K15" s="46">
        <f t="shared" si="0"/>
        <v>-20</v>
      </c>
      <c r="L15" s="46"/>
      <c r="M15" s="48">
        <f t="shared" si="1"/>
        <v>0</v>
      </c>
      <c r="N15" s="48">
        <f t="shared" si="2"/>
        <v>0</v>
      </c>
      <c r="Y15" s="49"/>
      <c r="AA15" s="50"/>
      <c r="AB15" s="50"/>
    </row>
    <row r="16" spans="1:37" x14ac:dyDescent="0.25">
      <c r="A16" s="54">
        <f t="shared" si="3"/>
        <v>0</v>
      </c>
      <c r="B16" s="38" t="str">
        <f t="shared" si="7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5"/>
        <v>-2</v>
      </c>
      <c r="K16" s="40">
        <f t="shared" si="0"/>
        <v>-20</v>
      </c>
      <c r="L16" s="40"/>
      <c r="M16" s="42">
        <f t="shared" si="1"/>
        <v>0</v>
      </c>
      <c r="N16" s="42">
        <f t="shared" si="2"/>
        <v>0</v>
      </c>
      <c r="S16" s="56"/>
      <c r="AA16" s="50"/>
      <c r="AB16" s="50"/>
      <c r="AI16" s="57" t="s">
        <v>60</v>
      </c>
      <c r="AJ16" s="23">
        <f>AJ11-AJ12*AJ13/AJ14</f>
        <v>9.6393909380186855</v>
      </c>
      <c r="AK16" s="23" t="s">
        <v>61</v>
      </c>
    </row>
    <row r="17" spans="1:20" x14ac:dyDescent="0.25">
      <c r="A17" s="53">
        <f t="shared" si="3"/>
        <v>0</v>
      </c>
      <c r="B17" s="44" t="str">
        <f t="shared" si="7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5"/>
        <v>-2</v>
      </c>
      <c r="K17" s="46">
        <f t="shared" si="0"/>
        <v>-20</v>
      </c>
      <c r="L17" s="46"/>
      <c r="M17" s="48">
        <f t="shared" si="1"/>
        <v>0</v>
      </c>
      <c r="N17" s="48">
        <f t="shared" si="2"/>
        <v>0</v>
      </c>
    </row>
    <row r="18" spans="1:20" x14ac:dyDescent="0.25">
      <c r="A18" s="54">
        <f t="shared" si="3"/>
        <v>0</v>
      </c>
      <c r="B18" s="38" t="str">
        <f t="shared" si="7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5"/>
        <v>-2</v>
      </c>
      <c r="K18" s="40">
        <f t="shared" si="0"/>
        <v>-20</v>
      </c>
      <c r="L18" s="40"/>
      <c r="M18" s="42">
        <f t="shared" si="1"/>
        <v>0</v>
      </c>
      <c r="N18" s="42">
        <f t="shared" si="2"/>
        <v>0</v>
      </c>
    </row>
    <row r="19" spans="1:20" x14ac:dyDescent="0.25">
      <c r="A19" s="53">
        <f t="shared" si="3"/>
        <v>0</v>
      </c>
      <c r="B19" s="44" t="str">
        <f t="shared" si="7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5"/>
        <v>-2</v>
      </c>
      <c r="K19" s="46">
        <f t="shared" si="0"/>
        <v>-20</v>
      </c>
      <c r="L19" s="46"/>
      <c r="M19" s="48">
        <f t="shared" si="1"/>
        <v>0</v>
      </c>
      <c r="N19" s="48">
        <f t="shared" si="2"/>
        <v>0</v>
      </c>
    </row>
    <row r="20" spans="1:20" x14ac:dyDescent="0.25">
      <c r="A20" s="54">
        <f t="shared" si="3"/>
        <v>0</v>
      </c>
      <c r="B20" s="38" t="str">
        <f t="shared" si="7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5"/>
        <v>-2</v>
      </c>
      <c r="K20" s="40">
        <f t="shared" si="0"/>
        <v>-20</v>
      </c>
      <c r="L20" s="40"/>
      <c r="M20" s="42">
        <f t="shared" si="1"/>
        <v>0</v>
      </c>
      <c r="N20" s="42">
        <f t="shared" si="2"/>
        <v>0</v>
      </c>
      <c r="S20" s="58"/>
      <c r="T20" s="59"/>
    </row>
    <row r="21" spans="1:20" x14ac:dyDescent="0.25">
      <c r="A21" s="53">
        <f t="shared" si="3"/>
        <v>0</v>
      </c>
      <c r="B21" s="44" t="str">
        <f t="shared" si="7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5"/>
        <v>-2</v>
      </c>
      <c r="K21" s="46">
        <f t="shared" si="0"/>
        <v>-20</v>
      </c>
      <c r="L21" s="46"/>
      <c r="M21" s="48">
        <f t="shared" si="1"/>
        <v>0</v>
      </c>
      <c r="N21" s="48">
        <f t="shared" si="2"/>
        <v>0</v>
      </c>
    </row>
    <row r="22" spans="1:20" x14ac:dyDescent="0.25">
      <c r="A22" s="54">
        <f t="shared" si="3"/>
        <v>0</v>
      </c>
      <c r="B22" s="38" t="str">
        <f t="shared" si="7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5"/>
        <v>-3</v>
      </c>
      <c r="K22" s="40">
        <f t="shared" si="0"/>
        <v>-30</v>
      </c>
      <c r="L22" s="40"/>
      <c r="M22" s="42">
        <f t="shared" si="1"/>
        <v>0</v>
      </c>
      <c r="N22" s="42">
        <f t="shared" si="2"/>
        <v>0</v>
      </c>
    </row>
    <row r="23" spans="1:20" x14ac:dyDescent="0.25">
      <c r="A23" s="53">
        <f t="shared" si="3"/>
        <v>0</v>
      </c>
      <c r="B23" s="44" t="str">
        <f t="shared" si="7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5"/>
        <v>-3</v>
      </c>
      <c r="K23" s="46">
        <f t="shared" si="0"/>
        <v>-30</v>
      </c>
      <c r="L23" s="46"/>
      <c r="M23" s="48">
        <f t="shared" si="1"/>
        <v>0</v>
      </c>
      <c r="N23" s="48">
        <f t="shared" si="2"/>
        <v>0</v>
      </c>
    </row>
    <row r="24" spans="1:20" x14ac:dyDescent="0.25">
      <c r="A24" s="54">
        <f t="shared" si="3"/>
        <v>0</v>
      </c>
      <c r="B24" s="38" t="str">
        <f t="shared" si="7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5"/>
        <v>-3</v>
      </c>
      <c r="K24" s="40">
        <f t="shared" si="0"/>
        <v>-30</v>
      </c>
      <c r="L24" s="40"/>
      <c r="M24" s="42">
        <f t="shared" si="1"/>
        <v>0</v>
      </c>
      <c r="N24" s="42">
        <f t="shared" si="2"/>
        <v>0</v>
      </c>
      <c r="S24" s="58"/>
      <c r="T24" s="59"/>
    </row>
    <row r="25" spans="1:20" x14ac:dyDescent="0.25">
      <c r="A25" s="53">
        <f t="shared" si="3"/>
        <v>0</v>
      </c>
      <c r="B25" s="44" t="str">
        <f t="shared" si="7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5"/>
        <v>-3</v>
      </c>
      <c r="K25" s="46">
        <f t="shared" si="0"/>
        <v>-30</v>
      </c>
      <c r="L25" s="46"/>
      <c r="M25" s="48">
        <f t="shared" si="1"/>
        <v>0</v>
      </c>
      <c r="N25" s="48">
        <f t="shared" si="2"/>
        <v>0</v>
      </c>
    </row>
    <row r="26" spans="1:20" x14ac:dyDescent="0.25">
      <c r="A26" s="54">
        <f t="shared" si="3"/>
        <v>0</v>
      </c>
      <c r="B26" s="38" t="str">
        <f t="shared" si="7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5"/>
        <v>-3</v>
      </c>
      <c r="K26" s="40">
        <f t="shared" si="0"/>
        <v>-30</v>
      </c>
      <c r="L26" s="40"/>
      <c r="M26" s="42">
        <f t="shared" si="1"/>
        <v>0</v>
      </c>
      <c r="N26" s="42">
        <f t="shared" si="2"/>
        <v>0</v>
      </c>
    </row>
    <row r="27" spans="1:20" x14ac:dyDescent="0.25">
      <c r="A27" s="53">
        <f t="shared" si="3"/>
        <v>0</v>
      </c>
      <c r="B27" s="44" t="str">
        <f t="shared" si="7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5"/>
        <v>-3</v>
      </c>
      <c r="K27" s="46">
        <f t="shared" si="0"/>
        <v>-30</v>
      </c>
      <c r="L27" s="46"/>
      <c r="M27" s="48">
        <f t="shared" si="1"/>
        <v>0</v>
      </c>
      <c r="N27" s="48">
        <f t="shared" si="2"/>
        <v>0</v>
      </c>
    </row>
    <row r="28" spans="1:20" x14ac:dyDescent="0.25">
      <c r="A28" s="54">
        <f t="shared" si="3"/>
        <v>0</v>
      </c>
      <c r="B28" s="38" t="str">
        <f t="shared" si="7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5"/>
        <v>-3</v>
      </c>
      <c r="K28" s="40">
        <f t="shared" si="0"/>
        <v>-30</v>
      </c>
      <c r="L28" s="40"/>
      <c r="M28" s="42">
        <f t="shared" si="1"/>
        <v>0</v>
      </c>
      <c r="N28" s="42">
        <f t="shared" si="2"/>
        <v>0</v>
      </c>
      <c r="S28" s="58"/>
      <c r="T28" s="59"/>
    </row>
    <row r="29" spans="1:20" x14ac:dyDescent="0.25">
      <c r="A29" s="53">
        <f t="shared" si="3"/>
        <v>0</v>
      </c>
      <c r="B29" s="44" t="str">
        <f t="shared" si="7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5"/>
        <v>-3</v>
      </c>
      <c r="K29" s="46">
        <f t="shared" si="0"/>
        <v>-30</v>
      </c>
      <c r="L29" s="46"/>
      <c r="M29" s="48">
        <f t="shared" si="1"/>
        <v>0</v>
      </c>
      <c r="N29" s="48">
        <f t="shared" si="2"/>
        <v>0</v>
      </c>
    </row>
    <row r="30" spans="1:20" x14ac:dyDescent="0.25">
      <c r="A30" s="54">
        <f t="shared" si="3"/>
        <v>0</v>
      </c>
      <c r="B30" s="38" t="str">
        <f t="shared" si="7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5"/>
        <v>-3</v>
      </c>
      <c r="K30" s="40">
        <f t="shared" si="0"/>
        <v>-30</v>
      </c>
      <c r="L30" s="40"/>
      <c r="M30" s="42">
        <f t="shared" si="1"/>
        <v>0</v>
      </c>
      <c r="N30" s="42">
        <f t="shared" si="2"/>
        <v>0</v>
      </c>
    </row>
    <row r="31" spans="1:20" x14ac:dyDescent="0.25">
      <c r="A31" s="53">
        <f t="shared" si="3"/>
        <v>0</v>
      </c>
      <c r="B31" s="44" t="str">
        <f t="shared" si="7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5"/>
        <v>-3</v>
      </c>
      <c r="K31" s="46">
        <f t="shared" si="0"/>
        <v>-30</v>
      </c>
      <c r="L31" s="46"/>
      <c r="M31" s="48">
        <f t="shared" si="1"/>
        <v>0</v>
      </c>
      <c r="N31" s="48">
        <f t="shared" si="2"/>
        <v>0</v>
      </c>
    </row>
    <row r="32" spans="1:20" x14ac:dyDescent="0.25">
      <c r="A32" s="54">
        <f t="shared" si="3"/>
        <v>0</v>
      </c>
      <c r="B32" s="38" t="str">
        <f t="shared" si="7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5"/>
        <v>-3</v>
      </c>
      <c r="K32" s="40">
        <f t="shared" si="0"/>
        <v>-30</v>
      </c>
      <c r="L32" s="40"/>
      <c r="M32" s="42">
        <f t="shared" si="1"/>
        <v>0</v>
      </c>
      <c r="N32" s="42">
        <f t="shared" si="2"/>
        <v>0</v>
      </c>
      <c r="S32" s="58"/>
      <c r="T32" s="59"/>
    </row>
    <row r="33" spans="1:22" x14ac:dyDescent="0.25">
      <c r="A33" s="53">
        <f t="shared" si="3"/>
        <v>0</v>
      </c>
      <c r="B33" s="44" t="str">
        <f t="shared" si="7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5"/>
        <v>-3</v>
      </c>
      <c r="K33" s="46">
        <f t="shared" si="0"/>
        <v>-30</v>
      </c>
      <c r="L33" s="46"/>
      <c r="M33" s="48">
        <f t="shared" si="1"/>
        <v>0</v>
      </c>
      <c r="N33" s="48">
        <f t="shared" si="2"/>
        <v>0</v>
      </c>
    </row>
    <row r="34" spans="1:22" x14ac:dyDescent="0.25">
      <c r="A34" s="54">
        <f t="shared" si="3"/>
        <v>0</v>
      </c>
      <c r="B34" s="38" t="str">
        <f t="shared" si="7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5"/>
        <v>-3</v>
      </c>
      <c r="K34" s="40">
        <f t="shared" si="0"/>
        <v>-30</v>
      </c>
      <c r="L34" s="40"/>
      <c r="M34" s="42">
        <f t="shared" si="1"/>
        <v>0</v>
      </c>
      <c r="N34" s="42">
        <f t="shared" si="2"/>
        <v>0</v>
      </c>
    </row>
    <row r="35" spans="1:22" x14ac:dyDescent="0.25">
      <c r="A35" s="53">
        <f t="shared" si="3"/>
        <v>0</v>
      </c>
      <c r="B35" s="44" t="str">
        <f t="shared" si="7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5"/>
        <v>-3</v>
      </c>
      <c r="K35" s="46">
        <f t="shared" si="0"/>
        <v>-30</v>
      </c>
      <c r="L35" s="46"/>
      <c r="M35" s="48">
        <f t="shared" si="1"/>
        <v>0</v>
      </c>
      <c r="N35" s="48">
        <f t="shared" si="2"/>
        <v>0</v>
      </c>
    </row>
    <row r="36" spans="1:22" x14ac:dyDescent="0.25">
      <c r="A36" s="54">
        <f t="shared" si="3"/>
        <v>0</v>
      </c>
      <c r="B36" s="38" t="str">
        <f t="shared" si="7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5"/>
        <v>-3</v>
      </c>
      <c r="K36" s="40">
        <f t="shared" si="0"/>
        <v>-30</v>
      </c>
      <c r="L36" s="40"/>
      <c r="M36" s="42">
        <f t="shared" si="1"/>
        <v>0</v>
      </c>
      <c r="N36" s="42">
        <f t="shared" si="2"/>
        <v>0</v>
      </c>
      <c r="S36" s="58"/>
      <c r="T36" s="59"/>
    </row>
    <row r="37" spans="1:22" x14ac:dyDescent="0.25">
      <c r="A37" s="53">
        <f t="shared" si="3"/>
        <v>0</v>
      </c>
      <c r="B37" s="44" t="str">
        <f t="shared" si="7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5"/>
        <v>-3</v>
      </c>
      <c r="K37" s="46">
        <f t="shared" si="0"/>
        <v>-30</v>
      </c>
      <c r="L37" s="46"/>
      <c r="M37" s="48">
        <f t="shared" si="1"/>
        <v>0</v>
      </c>
      <c r="N37" s="48">
        <f t="shared" si="2"/>
        <v>0</v>
      </c>
    </row>
    <row r="38" spans="1:22" x14ac:dyDescent="0.25">
      <c r="A38" s="54">
        <f t="shared" si="3"/>
        <v>0</v>
      </c>
      <c r="B38" s="38" t="str">
        <f t="shared" si="7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5"/>
        <v>-4</v>
      </c>
      <c r="K38" s="40">
        <f t="shared" si="0"/>
        <v>-40</v>
      </c>
      <c r="L38" s="40"/>
      <c r="M38" s="42">
        <f t="shared" si="1"/>
        <v>0</v>
      </c>
      <c r="N38" s="42">
        <f t="shared" si="2"/>
        <v>0</v>
      </c>
    </row>
    <row r="39" spans="1:22" x14ac:dyDescent="0.25">
      <c r="A39" s="53">
        <f t="shared" si="3"/>
        <v>0</v>
      </c>
      <c r="B39" s="44" t="str">
        <f t="shared" si="7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5"/>
        <v>-4</v>
      </c>
      <c r="K39" s="46">
        <f t="shared" si="0"/>
        <v>-40</v>
      </c>
      <c r="L39" s="46"/>
      <c r="M39" s="48">
        <f t="shared" si="1"/>
        <v>0</v>
      </c>
      <c r="N39" s="48">
        <f t="shared" si="2"/>
        <v>0</v>
      </c>
    </row>
    <row r="40" spans="1:22" x14ac:dyDescent="0.25">
      <c r="A40" s="54">
        <f t="shared" si="3"/>
        <v>0</v>
      </c>
      <c r="B40" s="38" t="str">
        <f t="shared" si="7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5"/>
        <v>-4</v>
      </c>
      <c r="K40" s="40">
        <f t="shared" si="0"/>
        <v>-40</v>
      </c>
      <c r="L40" s="40"/>
      <c r="M40" s="42">
        <f t="shared" si="1"/>
        <v>0</v>
      </c>
      <c r="N40" s="42">
        <f t="shared" si="2"/>
        <v>0</v>
      </c>
    </row>
    <row r="41" spans="1:22" x14ac:dyDescent="0.25">
      <c r="A41" s="53">
        <f t="shared" si="3"/>
        <v>0</v>
      </c>
      <c r="B41" s="44" t="str">
        <f t="shared" si="7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5"/>
        <v>-4</v>
      </c>
      <c r="K41" s="46">
        <f t="shared" si="0"/>
        <v>-40</v>
      </c>
      <c r="L41" s="46"/>
      <c r="M41" s="48">
        <f t="shared" si="1"/>
        <v>0</v>
      </c>
      <c r="N41" s="48">
        <f t="shared" si="2"/>
        <v>0</v>
      </c>
      <c r="T41" s="60"/>
    </row>
    <row r="42" spans="1:22" x14ac:dyDescent="0.25">
      <c r="A42" s="54">
        <f t="shared" si="3"/>
        <v>0</v>
      </c>
      <c r="B42" s="38" t="str">
        <f t="shared" si="7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5"/>
        <v>-4</v>
      </c>
      <c r="K42" s="40">
        <f t="shared" si="0"/>
        <v>-40</v>
      </c>
      <c r="L42" s="40"/>
      <c r="M42" s="42">
        <f t="shared" si="1"/>
        <v>0</v>
      </c>
      <c r="N42" s="42">
        <f t="shared" si="2"/>
        <v>0</v>
      </c>
    </row>
    <row r="43" spans="1:22" x14ac:dyDescent="0.25">
      <c r="A43" s="53">
        <f t="shared" si="3"/>
        <v>0</v>
      </c>
      <c r="B43" s="44" t="str">
        <f t="shared" si="7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5"/>
        <v>-4</v>
      </c>
      <c r="K43" s="46">
        <f t="shared" si="0"/>
        <v>-40</v>
      </c>
      <c r="L43" s="46"/>
      <c r="M43" s="48">
        <f t="shared" si="1"/>
        <v>0</v>
      </c>
      <c r="N43" s="48">
        <f t="shared" si="2"/>
        <v>0</v>
      </c>
    </row>
    <row r="44" spans="1:22" x14ac:dyDescent="0.25">
      <c r="A44" s="54">
        <f t="shared" si="3"/>
        <v>0</v>
      </c>
      <c r="B44" s="38" t="str">
        <f t="shared" si="7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5"/>
        <v>-4</v>
      </c>
      <c r="K44" s="40">
        <f t="shared" si="0"/>
        <v>-40</v>
      </c>
      <c r="L44" s="40"/>
      <c r="M44" s="42">
        <f t="shared" si="1"/>
        <v>0</v>
      </c>
      <c r="N44" s="42">
        <f t="shared" si="2"/>
        <v>0</v>
      </c>
    </row>
    <row r="45" spans="1:22" x14ac:dyDescent="0.25">
      <c r="A45" s="53">
        <f t="shared" si="3"/>
        <v>0</v>
      </c>
      <c r="B45" s="44" t="str">
        <f t="shared" si="7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5"/>
        <v>-4</v>
      </c>
      <c r="K45" s="46">
        <f t="shared" si="0"/>
        <v>-40</v>
      </c>
      <c r="L45" s="46"/>
      <c r="M45" s="48">
        <f t="shared" si="1"/>
        <v>0</v>
      </c>
      <c r="N45" s="48">
        <f t="shared" si="2"/>
        <v>0</v>
      </c>
    </row>
    <row r="46" spans="1:22" x14ac:dyDescent="0.25">
      <c r="A46" s="54">
        <f t="shared" si="3"/>
        <v>0</v>
      </c>
      <c r="B46" s="38" t="str">
        <f t="shared" si="7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5"/>
        <v>-4</v>
      </c>
      <c r="K46" s="40">
        <f t="shared" si="0"/>
        <v>-40</v>
      </c>
      <c r="L46" s="40"/>
      <c r="M46" s="42">
        <f t="shared" si="1"/>
        <v>0</v>
      </c>
      <c r="N46" s="42">
        <f t="shared" si="2"/>
        <v>0</v>
      </c>
      <c r="S46" s="18">
        <f>LOG($H$2,2)</f>
        <v>1.5849625007211563</v>
      </c>
      <c r="U46" s="23">
        <f>LOG(H38,2)</f>
        <v>5.0443941193584534</v>
      </c>
      <c r="V46" s="23">
        <f>S46-U46</f>
        <v>-3.4594316186372973</v>
      </c>
    </row>
    <row r="47" spans="1:22" x14ac:dyDescent="0.25">
      <c r="A47" s="53">
        <f t="shared" si="3"/>
        <v>0</v>
      </c>
      <c r="B47" s="44" t="str">
        <f t="shared" si="7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5"/>
        <v>-4</v>
      </c>
      <c r="K47" s="46">
        <f t="shared" si="0"/>
        <v>-40</v>
      </c>
      <c r="L47" s="46"/>
      <c r="M47" s="48">
        <f t="shared" si="1"/>
        <v>0</v>
      </c>
      <c r="N47" s="48">
        <f t="shared" si="2"/>
        <v>0</v>
      </c>
    </row>
    <row r="48" spans="1:22" x14ac:dyDescent="0.25">
      <c r="A48" s="54">
        <f t="shared" si="3"/>
        <v>0</v>
      </c>
      <c r="B48" s="38" t="str">
        <f t="shared" si="7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5"/>
        <v>-4</v>
      </c>
      <c r="K48" s="40">
        <f t="shared" si="0"/>
        <v>-40</v>
      </c>
      <c r="L48" s="40"/>
      <c r="M48" s="42">
        <f t="shared" si="1"/>
        <v>0</v>
      </c>
      <c r="N48" s="42">
        <f t="shared" si="2"/>
        <v>0</v>
      </c>
    </row>
    <row r="49" spans="1:14" x14ac:dyDescent="0.25">
      <c r="A49" s="53">
        <f t="shared" si="3"/>
        <v>0</v>
      </c>
      <c r="B49" s="44" t="str">
        <f t="shared" si="7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5"/>
        <v>-4</v>
      </c>
      <c r="K49" s="46">
        <f t="shared" si="0"/>
        <v>-40</v>
      </c>
      <c r="L49" s="46"/>
      <c r="M49" s="48">
        <f t="shared" si="1"/>
        <v>0</v>
      </c>
      <c r="N49" s="48">
        <f t="shared" si="2"/>
        <v>0</v>
      </c>
    </row>
    <row r="50" spans="1:14" x14ac:dyDescent="0.25">
      <c r="A50" s="54">
        <f t="shared" si="3"/>
        <v>0</v>
      </c>
      <c r="B50" s="38" t="str">
        <f t="shared" si="7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5"/>
        <v>-4</v>
      </c>
      <c r="K50" s="40">
        <f t="shared" si="0"/>
        <v>-40</v>
      </c>
      <c r="L50" s="40"/>
      <c r="M50" s="42">
        <f t="shared" si="1"/>
        <v>0</v>
      </c>
      <c r="N50" s="42">
        <f t="shared" si="2"/>
        <v>0</v>
      </c>
    </row>
    <row r="51" spans="1:14" x14ac:dyDescent="0.25">
      <c r="A51" s="53">
        <f t="shared" si="3"/>
        <v>0</v>
      </c>
      <c r="B51" s="44" t="str">
        <f t="shared" si="7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5"/>
        <v>-4</v>
      </c>
      <c r="K51" s="46">
        <f t="shared" si="0"/>
        <v>-40</v>
      </c>
      <c r="L51" s="46"/>
      <c r="M51" s="48">
        <f t="shared" si="1"/>
        <v>0</v>
      </c>
      <c r="N51" s="48">
        <f t="shared" si="2"/>
        <v>0</v>
      </c>
    </row>
    <row r="52" spans="1:14" x14ac:dyDescent="0.25">
      <c r="A52" s="54">
        <f t="shared" si="3"/>
        <v>0</v>
      </c>
      <c r="B52" s="38" t="str">
        <f t="shared" si="7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5"/>
        <v>-4</v>
      </c>
      <c r="K52" s="40">
        <f t="shared" si="0"/>
        <v>-40</v>
      </c>
      <c r="L52" s="40"/>
      <c r="M52" s="42">
        <f t="shared" si="1"/>
        <v>0</v>
      </c>
      <c r="N52" s="42">
        <f t="shared" si="2"/>
        <v>0</v>
      </c>
    </row>
    <row r="53" spans="1:14" x14ac:dyDescent="0.25">
      <c r="A53" s="53">
        <f t="shared" si="3"/>
        <v>0</v>
      </c>
      <c r="B53" s="44" t="str">
        <f t="shared" si="7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5"/>
        <v>-4</v>
      </c>
      <c r="K53" s="46">
        <f t="shared" si="0"/>
        <v>-40</v>
      </c>
      <c r="L53" s="46"/>
      <c r="M53" s="48">
        <f t="shared" si="1"/>
        <v>0</v>
      </c>
      <c r="N53" s="48">
        <f t="shared" si="2"/>
        <v>0</v>
      </c>
    </row>
    <row r="54" spans="1:14" x14ac:dyDescent="0.25">
      <c r="A54" s="54">
        <f t="shared" si="3"/>
        <v>0</v>
      </c>
      <c r="B54" s="38" t="str">
        <f t="shared" si="7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5"/>
        <v>-4</v>
      </c>
      <c r="K54" s="40">
        <f t="shared" si="0"/>
        <v>-40</v>
      </c>
      <c r="L54" s="40"/>
      <c r="M54" s="42">
        <f t="shared" si="1"/>
        <v>0</v>
      </c>
      <c r="N54" s="42">
        <f t="shared" si="2"/>
        <v>0</v>
      </c>
    </row>
    <row r="55" spans="1:14" x14ac:dyDescent="0.25">
      <c r="A55" s="53">
        <f t="shared" si="3"/>
        <v>0</v>
      </c>
      <c r="B55" s="44" t="str">
        <f t="shared" si="7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5"/>
        <v>-4</v>
      </c>
      <c r="K55" s="46">
        <f t="shared" si="0"/>
        <v>-40</v>
      </c>
      <c r="L55" s="46"/>
      <c r="M55" s="48">
        <f t="shared" si="1"/>
        <v>0</v>
      </c>
      <c r="N55" s="48">
        <f t="shared" si="2"/>
        <v>0</v>
      </c>
    </row>
    <row r="56" spans="1:14" x14ac:dyDescent="0.25">
      <c r="A56" s="54">
        <f t="shared" si="3"/>
        <v>0</v>
      </c>
      <c r="B56" s="38" t="str">
        <f t="shared" si="7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5"/>
        <v>-4</v>
      </c>
      <c r="K56" s="40">
        <f t="shared" si="0"/>
        <v>-40</v>
      </c>
      <c r="L56" s="40"/>
      <c r="M56" s="42">
        <f t="shared" si="1"/>
        <v>0</v>
      </c>
      <c r="N56" s="42">
        <f t="shared" si="2"/>
        <v>0</v>
      </c>
    </row>
    <row r="57" spans="1:14" x14ac:dyDescent="0.25">
      <c r="A57" s="53">
        <f t="shared" si="3"/>
        <v>0</v>
      </c>
      <c r="B57" s="44" t="str">
        <f t="shared" si="7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5"/>
        <v>-4</v>
      </c>
      <c r="K57" s="46">
        <f t="shared" si="0"/>
        <v>-40</v>
      </c>
      <c r="L57" s="46"/>
      <c r="M57" s="48">
        <f t="shared" si="1"/>
        <v>0</v>
      </c>
      <c r="N57" s="48">
        <f t="shared" si="2"/>
        <v>0</v>
      </c>
    </row>
    <row r="58" spans="1:14" x14ac:dyDescent="0.25">
      <c r="A58" s="54">
        <f t="shared" si="3"/>
        <v>0</v>
      </c>
      <c r="B58" s="38" t="str">
        <f t="shared" si="7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5"/>
        <v>-4</v>
      </c>
      <c r="K58" s="40">
        <f t="shared" si="0"/>
        <v>-40</v>
      </c>
      <c r="L58" s="40"/>
      <c r="M58" s="42">
        <f t="shared" si="1"/>
        <v>0</v>
      </c>
      <c r="N58" s="42">
        <f t="shared" si="2"/>
        <v>0</v>
      </c>
    </row>
    <row r="59" spans="1:14" x14ac:dyDescent="0.25">
      <c r="A59" s="53">
        <f t="shared" si="3"/>
        <v>0</v>
      </c>
      <c r="B59" s="44" t="str">
        <f t="shared" si="7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5"/>
        <v>-4</v>
      </c>
      <c r="K59" s="46">
        <f t="shared" si="0"/>
        <v>-40</v>
      </c>
      <c r="L59" s="46"/>
      <c r="M59" s="48">
        <f t="shared" si="1"/>
        <v>0</v>
      </c>
      <c r="N59" s="48">
        <f t="shared" si="2"/>
        <v>0</v>
      </c>
    </row>
    <row r="60" spans="1:14" x14ac:dyDescent="0.25">
      <c r="A60" s="54">
        <f t="shared" si="3"/>
        <v>0</v>
      </c>
      <c r="B60" s="38" t="str">
        <f t="shared" si="7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5"/>
        <v>-4</v>
      </c>
      <c r="K60" s="40">
        <f t="shared" si="0"/>
        <v>-40</v>
      </c>
      <c r="L60" s="40"/>
      <c r="M60" s="42">
        <f t="shared" si="1"/>
        <v>0</v>
      </c>
      <c r="N60" s="42">
        <f t="shared" si="2"/>
        <v>0</v>
      </c>
    </row>
    <row r="61" spans="1:14" x14ac:dyDescent="0.25">
      <c r="A61" s="53">
        <f t="shared" si="3"/>
        <v>0</v>
      </c>
      <c r="B61" s="44" t="str">
        <f t="shared" si="7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5"/>
        <v>-4</v>
      </c>
      <c r="K61" s="46">
        <f t="shared" si="0"/>
        <v>-40</v>
      </c>
      <c r="L61" s="46"/>
      <c r="M61" s="48">
        <f t="shared" si="1"/>
        <v>0</v>
      </c>
      <c r="N61" s="48">
        <f t="shared" si="2"/>
        <v>0</v>
      </c>
    </row>
    <row r="62" spans="1:14" x14ac:dyDescent="0.25">
      <c r="A62" s="54">
        <f t="shared" si="3"/>
        <v>0</v>
      </c>
      <c r="B62" s="38" t="str">
        <f t="shared" si="7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5"/>
        <v>-4</v>
      </c>
      <c r="K62" s="40">
        <f t="shared" si="0"/>
        <v>-40</v>
      </c>
      <c r="L62" s="40"/>
      <c r="M62" s="42">
        <f t="shared" si="1"/>
        <v>0</v>
      </c>
      <c r="N62" s="42">
        <f t="shared" si="2"/>
        <v>0</v>
      </c>
    </row>
    <row r="63" spans="1:14" x14ac:dyDescent="0.25">
      <c r="A63" s="53">
        <f t="shared" si="3"/>
        <v>0</v>
      </c>
      <c r="B63" s="44" t="str">
        <f t="shared" si="7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5"/>
        <v>-4</v>
      </c>
      <c r="K63" s="46">
        <f t="shared" si="0"/>
        <v>-40</v>
      </c>
      <c r="L63" s="46"/>
      <c r="M63" s="48">
        <f t="shared" si="1"/>
        <v>0</v>
      </c>
      <c r="N63" s="48">
        <f t="shared" si="2"/>
        <v>0</v>
      </c>
    </row>
    <row r="64" spans="1:14" x14ac:dyDescent="0.25">
      <c r="A64" s="54">
        <f t="shared" si="3"/>
        <v>0</v>
      </c>
      <c r="B64" s="38" t="str">
        <f t="shared" si="7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5"/>
        <v>-4</v>
      </c>
      <c r="K64" s="40">
        <f t="shared" si="0"/>
        <v>-40</v>
      </c>
      <c r="L64" s="40"/>
      <c r="M64" s="42">
        <f t="shared" si="1"/>
        <v>0</v>
      </c>
      <c r="N64" s="42">
        <f t="shared" si="2"/>
        <v>0</v>
      </c>
    </row>
    <row r="65" spans="1:14" x14ac:dyDescent="0.25">
      <c r="A65" s="53">
        <f t="shared" si="3"/>
        <v>0</v>
      </c>
      <c r="B65" s="44" t="str">
        <f t="shared" si="7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5"/>
        <v>-4</v>
      </c>
      <c r="K65" s="46">
        <f t="shared" si="0"/>
        <v>-40</v>
      </c>
      <c r="L65" s="46"/>
      <c r="M65" s="48">
        <f t="shared" si="1"/>
        <v>0</v>
      </c>
      <c r="N65" s="48">
        <f t="shared" si="2"/>
        <v>0</v>
      </c>
    </row>
    <row r="66" spans="1:14" x14ac:dyDescent="0.25">
      <c r="A66" s="61">
        <f t="shared" si="3"/>
        <v>0</v>
      </c>
      <c r="B66" s="38"/>
      <c r="G66" s="18"/>
      <c r="H66" s="40">
        <v>61</v>
      </c>
      <c r="I66" s="41" t="str">
        <f t="shared" si="4"/>
        <v/>
      </c>
      <c r="J66" s="40">
        <f t="shared" si="5"/>
        <v>-4</v>
      </c>
      <c r="K66" s="40">
        <f t="shared" si="0"/>
        <v>-40</v>
      </c>
      <c r="L66" s="40"/>
      <c r="M66" s="42">
        <f t="shared" si="1"/>
        <v>0</v>
      </c>
      <c r="N66" s="42">
        <f t="shared" si="2"/>
        <v>0</v>
      </c>
    </row>
    <row r="67" spans="1:14" x14ac:dyDescent="0.25">
      <c r="A67" s="61">
        <f t="shared" si="3"/>
        <v>0</v>
      </c>
      <c r="B67" s="44"/>
      <c r="G67" s="18"/>
      <c r="H67" s="40">
        <v>62</v>
      </c>
      <c r="I67" s="41" t="str">
        <f t="shared" si="4"/>
        <v/>
      </c>
      <c r="J67" s="40">
        <f t="shared" si="5"/>
        <v>-4</v>
      </c>
      <c r="K67" s="40">
        <f t="shared" si="0"/>
        <v>-40</v>
      </c>
      <c r="L67" s="40"/>
      <c r="M67" s="42">
        <f t="shared" si="1"/>
        <v>0</v>
      </c>
      <c r="N67" s="42">
        <f t="shared" si="2"/>
        <v>0</v>
      </c>
    </row>
    <row r="68" spans="1:14" x14ac:dyDescent="0.25">
      <c r="A68" s="61">
        <f t="shared" si="3"/>
        <v>0</v>
      </c>
      <c r="B68" s="38"/>
      <c r="G68" s="18"/>
      <c r="H68" s="40">
        <v>63</v>
      </c>
      <c r="I68" s="41" t="str">
        <f t="shared" si="4"/>
        <v/>
      </c>
      <c r="J68" s="40">
        <f t="shared" si="5"/>
        <v>-4</v>
      </c>
      <c r="K68" s="40">
        <f t="shared" si="0"/>
        <v>-40</v>
      </c>
      <c r="L68" s="40"/>
      <c r="M68" s="42">
        <f t="shared" si="1"/>
        <v>0</v>
      </c>
      <c r="N68" s="42">
        <f t="shared" si="2"/>
        <v>0</v>
      </c>
    </row>
    <row r="69" spans="1:14" x14ac:dyDescent="0.25">
      <c r="A69" s="61">
        <f t="shared" si="3"/>
        <v>0</v>
      </c>
      <c r="B69" s="44"/>
      <c r="G69" s="18"/>
      <c r="H69" s="40">
        <v>64</v>
      </c>
      <c r="I69" s="41" t="str">
        <f t="shared" si="4"/>
        <v/>
      </c>
      <c r="J69" s="40">
        <f t="shared" si="5"/>
        <v>-4</v>
      </c>
      <c r="K69" s="40">
        <f t="shared" si="0"/>
        <v>-40</v>
      </c>
      <c r="L69" s="40"/>
      <c r="M69" s="42">
        <f t="shared" si="1"/>
        <v>0</v>
      </c>
      <c r="N69" s="42">
        <f t="shared" si="2"/>
        <v>0</v>
      </c>
    </row>
    <row r="70" spans="1:14" x14ac:dyDescent="0.25">
      <c r="A70" s="61">
        <f t="shared" si="3"/>
        <v>0</v>
      </c>
      <c r="G70" s="18"/>
      <c r="H70" s="40">
        <v>65</v>
      </c>
      <c r="I70" s="41" t="str">
        <f t="shared" ref="I70:I133" si="8">IF(H70&lt;$H$2+1,($I$2-($I$2-1)*(LOG(H70)/LOG($H$2))),"")</f>
        <v/>
      </c>
      <c r="J70" s="40">
        <f t="shared" si="5"/>
        <v>-5</v>
      </c>
      <c r="K70" s="40">
        <f t="shared" ref="K70:K133" si="9">J70*$J$2</f>
        <v>-50</v>
      </c>
      <c r="L70" s="40"/>
      <c r="M70" s="42">
        <f t="shared" ref="M70:M133" si="10">IF(I70&lt;&gt;"",K70+I70+L70,0)</f>
        <v>0</v>
      </c>
      <c r="N70" s="42">
        <f t="shared" ref="N70:N133" si="11">IF(I70&lt;&gt;"",M70*L$2,0)</f>
        <v>0</v>
      </c>
    </row>
    <row r="71" spans="1:14" x14ac:dyDescent="0.25">
      <c r="A71" s="61">
        <f t="shared" ref="A71:A134" si="12">N71</f>
        <v>0</v>
      </c>
      <c r="G71" s="18"/>
      <c r="H71" s="40">
        <v>66</v>
      </c>
      <c r="I71" s="41" t="str">
        <f t="shared" si="8"/>
        <v/>
      </c>
      <c r="J71" s="40">
        <f t="shared" ref="J71:J134" si="13">INT(LOG($H$2,2))-ROUNDUP(LOG(H71,2),0)+IF(OR($H$2=1,$H$2=2,$H$2=4,$H$2=8,$H$2=16,$H$2=32,$H$2=64,$H$2=128,$H$2=256),0,1)</f>
        <v>-5</v>
      </c>
      <c r="K71" s="40">
        <f t="shared" si="9"/>
        <v>-50</v>
      </c>
      <c r="L71" s="40"/>
      <c r="M71" s="42">
        <f t="shared" si="10"/>
        <v>0</v>
      </c>
      <c r="N71" s="42">
        <f t="shared" si="11"/>
        <v>0</v>
      </c>
    </row>
    <row r="72" spans="1:14" x14ac:dyDescent="0.25">
      <c r="A72" s="61">
        <f t="shared" si="12"/>
        <v>0</v>
      </c>
      <c r="G72" s="18"/>
      <c r="H72" s="40">
        <v>67</v>
      </c>
      <c r="I72" s="41" t="str">
        <f t="shared" si="8"/>
        <v/>
      </c>
      <c r="J72" s="40">
        <f t="shared" si="13"/>
        <v>-5</v>
      </c>
      <c r="K72" s="40">
        <f t="shared" si="9"/>
        <v>-50</v>
      </c>
      <c r="L72" s="40"/>
      <c r="M72" s="42">
        <f t="shared" si="10"/>
        <v>0</v>
      </c>
      <c r="N72" s="42">
        <f t="shared" si="11"/>
        <v>0</v>
      </c>
    </row>
    <row r="73" spans="1:14" x14ac:dyDescent="0.25">
      <c r="A73" s="61">
        <f t="shared" si="12"/>
        <v>0</v>
      </c>
      <c r="G73" s="18"/>
      <c r="H73" s="40">
        <v>68</v>
      </c>
      <c r="I73" s="41" t="str">
        <f t="shared" si="8"/>
        <v/>
      </c>
      <c r="J73" s="40">
        <f t="shared" si="13"/>
        <v>-5</v>
      </c>
      <c r="K73" s="40">
        <f t="shared" si="9"/>
        <v>-50</v>
      </c>
      <c r="L73" s="40"/>
      <c r="M73" s="42">
        <f t="shared" si="10"/>
        <v>0</v>
      </c>
      <c r="N73" s="42">
        <f t="shared" si="11"/>
        <v>0</v>
      </c>
    </row>
    <row r="74" spans="1:14" x14ac:dyDescent="0.25">
      <c r="A74" s="61">
        <f t="shared" si="12"/>
        <v>0</v>
      </c>
      <c r="G74" s="18"/>
      <c r="H74" s="40">
        <v>69</v>
      </c>
      <c r="I74" s="41" t="str">
        <f t="shared" si="8"/>
        <v/>
      </c>
      <c r="J74" s="40">
        <f t="shared" si="13"/>
        <v>-5</v>
      </c>
      <c r="K74" s="40">
        <f t="shared" si="9"/>
        <v>-50</v>
      </c>
      <c r="L74" s="40"/>
      <c r="M74" s="42">
        <f t="shared" si="10"/>
        <v>0</v>
      </c>
      <c r="N74" s="42">
        <f t="shared" si="11"/>
        <v>0</v>
      </c>
    </row>
    <row r="75" spans="1:14" x14ac:dyDescent="0.25">
      <c r="A75" s="61">
        <f t="shared" si="12"/>
        <v>0</v>
      </c>
      <c r="G75" s="18"/>
      <c r="H75" s="40">
        <v>70</v>
      </c>
      <c r="I75" s="41" t="str">
        <f t="shared" si="8"/>
        <v/>
      </c>
      <c r="J75" s="40">
        <f t="shared" si="13"/>
        <v>-5</v>
      </c>
      <c r="K75" s="40">
        <f t="shared" si="9"/>
        <v>-50</v>
      </c>
      <c r="L75" s="40"/>
      <c r="M75" s="42">
        <f t="shared" si="10"/>
        <v>0</v>
      </c>
      <c r="N75" s="42">
        <f t="shared" si="11"/>
        <v>0</v>
      </c>
    </row>
    <row r="76" spans="1:14" x14ac:dyDescent="0.25">
      <c r="A76" s="61">
        <f t="shared" si="12"/>
        <v>0</v>
      </c>
      <c r="G76" s="18"/>
      <c r="H76" s="40">
        <v>71</v>
      </c>
      <c r="I76" s="41" t="str">
        <f t="shared" si="8"/>
        <v/>
      </c>
      <c r="J76" s="40">
        <f t="shared" si="13"/>
        <v>-5</v>
      </c>
      <c r="K76" s="40">
        <f t="shared" si="9"/>
        <v>-50</v>
      </c>
      <c r="L76" s="40"/>
      <c r="M76" s="42">
        <f t="shared" si="10"/>
        <v>0</v>
      </c>
      <c r="N76" s="42">
        <f t="shared" si="11"/>
        <v>0</v>
      </c>
    </row>
    <row r="77" spans="1:14" x14ac:dyDescent="0.25">
      <c r="A77" s="61">
        <f t="shared" si="12"/>
        <v>0</v>
      </c>
      <c r="G77" s="18"/>
      <c r="H77" s="40">
        <v>72</v>
      </c>
      <c r="I77" s="41" t="str">
        <f t="shared" si="8"/>
        <v/>
      </c>
      <c r="J77" s="40">
        <f t="shared" si="13"/>
        <v>-5</v>
      </c>
      <c r="K77" s="40">
        <f t="shared" si="9"/>
        <v>-50</v>
      </c>
      <c r="L77" s="40"/>
      <c r="M77" s="42">
        <f t="shared" si="10"/>
        <v>0</v>
      </c>
      <c r="N77" s="42">
        <f t="shared" si="11"/>
        <v>0</v>
      </c>
    </row>
    <row r="78" spans="1:14" x14ac:dyDescent="0.25">
      <c r="A78" s="61">
        <f t="shared" si="12"/>
        <v>0</v>
      </c>
      <c r="G78" s="18"/>
      <c r="H78" s="40">
        <v>73</v>
      </c>
      <c r="I78" s="41" t="str">
        <f t="shared" si="8"/>
        <v/>
      </c>
      <c r="J78" s="40">
        <f t="shared" si="13"/>
        <v>-5</v>
      </c>
      <c r="K78" s="40">
        <f t="shared" si="9"/>
        <v>-50</v>
      </c>
      <c r="L78" s="40"/>
      <c r="M78" s="42">
        <f t="shared" si="10"/>
        <v>0</v>
      </c>
      <c r="N78" s="42">
        <f t="shared" si="11"/>
        <v>0</v>
      </c>
    </row>
    <row r="79" spans="1:14" x14ac:dyDescent="0.25">
      <c r="A79" s="61">
        <f t="shared" si="12"/>
        <v>0</v>
      </c>
      <c r="G79" s="18"/>
      <c r="H79" s="40">
        <v>74</v>
      </c>
      <c r="I79" s="41" t="str">
        <f t="shared" si="8"/>
        <v/>
      </c>
      <c r="J79" s="40">
        <f t="shared" si="13"/>
        <v>-5</v>
      </c>
      <c r="K79" s="40">
        <f t="shared" si="9"/>
        <v>-50</v>
      </c>
      <c r="L79" s="40"/>
      <c r="M79" s="42">
        <f t="shared" si="10"/>
        <v>0</v>
      </c>
      <c r="N79" s="42">
        <f t="shared" si="11"/>
        <v>0</v>
      </c>
    </row>
    <row r="80" spans="1:14" x14ac:dyDescent="0.25">
      <c r="A80" s="61">
        <f t="shared" si="12"/>
        <v>0</v>
      </c>
      <c r="G80" s="18"/>
      <c r="H80" s="40">
        <v>75</v>
      </c>
      <c r="I80" s="41" t="str">
        <f t="shared" si="8"/>
        <v/>
      </c>
      <c r="J80" s="40">
        <f t="shared" si="13"/>
        <v>-5</v>
      </c>
      <c r="K80" s="40">
        <f t="shared" si="9"/>
        <v>-50</v>
      </c>
      <c r="L80" s="40"/>
      <c r="M80" s="42">
        <f t="shared" si="10"/>
        <v>0</v>
      </c>
      <c r="N80" s="42">
        <f t="shared" si="11"/>
        <v>0</v>
      </c>
    </row>
    <row r="81" spans="1:14" x14ac:dyDescent="0.25">
      <c r="A81" s="61">
        <f t="shared" si="12"/>
        <v>0</v>
      </c>
      <c r="G81" s="18"/>
      <c r="H81" s="40">
        <v>76</v>
      </c>
      <c r="I81" s="41" t="str">
        <f t="shared" si="8"/>
        <v/>
      </c>
      <c r="J81" s="40">
        <f t="shared" si="13"/>
        <v>-5</v>
      </c>
      <c r="K81" s="40">
        <f t="shared" si="9"/>
        <v>-50</v>
      </c>
      <c r="L81" s="40"/>
      <c r="M81" s="42">
        <f t="shared" si="10"/>
        <v>0</v>
      </c>
      <c r="N81" s="42">
        <f t="shared" si="11"/>
        <v>0</v>
      </c>
    </row>
    <row r="82" spans="1:14" x14ac:dyDescent="0.25">
      <c r="A82" s="61">
        <f t="shared" si="12"/>
        <v>0</v>
      </c>
      <c r="G82" s="18"/>
      <c r="H82" s="40">
        <v>77</v>
      </c>
      <c r="I82" s="41" t="str">
        <f t="shared" si="8"/>
        <v/>
      </c>
      <c r="J82" s="40">
        <f t="shared" si="13"/>
        <v>-5</v>
      </c>
      <c r="K82" s="40">
        <f t="shared" si="9"/>
        <v>-50</v>
      </c>
      <c r="L82" s="40"/>
      <c r="M82" s="42">
        <f t="shared" si="10"/>
        <v>0</v>
      </c>
      <c r="N82" s="42">
        <f t="shared" si="11"/>
        <v>0</v>
      </c>
    </row>
    <row r="83" spans="1:14" x14ac:dyDescent="0.25">
      <c r="A83" s="61">
        <f t="shared" si="12"/>
        <v>0</v>
      </c>
      <c r="G83" s="18"/>
      <c r="H83" s="40">
        <v>78</v>
      </c>
      <c r="I83" s="41" t="str">
        <f t="shared" si="8"/>
        <v/>
      </c>
      <c r="J83" s="40">
        <f t="shared" si="13"/>
        <v>-5</v>
      </c>
      <c r="K83" s="40">
        <f t="shared" si="9"/>
        <v>-50</v>
      </c>
      <c r="L83" s="40"/>
      <c r="M83" s="42">
        <f t="shared" si="10"/>
        <v>0</v>
      </c>
      <c r="N83" s="42">
        <f t="shared" si="11"/>
        <v>0</v>
      </c>
    </row>
    <row r="84" spans="1:14" x14ac:dyDescent="0.25">
      <c r="A84" s="61">
        <f t="shared" si="12"/>
        <v>0</v>
      </c>
      <c r="G84" s="18"/>
      <c r="H84" s="40">
        <v>79</v>
      </c>
      <c r="I84" s="41" t="str">
        <f t="shared" si="8"/>
        <v/>
      </c>
      <c r="J84" s="40">
        <f t="shared" si="13"/>
        <v>-5</v>
      </c>
      <c r="K84" s="40">
        <f t="shared" si="9"/>
        <v>-50</v>
      </c>
      <c r="L84" s="40"/>
      <c r="M84" s="42">
        <f t="shared" si="10"/>
        <v>0</v>
      </c>
      <c r="N84" s="42">
        <f t="shared" si="11"/>
        <v>0</v>
      </c>
    </row>
    <row r="85" spans="1:14" x14ac:dyDescent="0.25">
      <c r="A85" s="61">
        <f t="shared" si="12"/>
        <v>0</v>
      </c>
      <c r="G85" s="18"/>
      <c r="H85" s="40">
        <v>80</v>
      </c>
      <c r="I85" s="41" t="str">
        <f t="shared" si="8"/>
        <v/>
      </c>
      <c r="J85" s="40">
        <f t="shared" si="13"/>
        <v>-5</v>
      </c>
      <c r="K85" s="40">
        <f t="shared" si="9"/>
        <v>-50</v>
      </c>
      <c r="L85" s="40"/>
      <c r="M85" s="42">
        <f t="shared" si="10"/>
        <v>0</v>
      </c>
      <c r="N85" s="42">
        <f t="shared" si="11"/>
        <v>0</v>
      </c>
    </row>
    <row r="86" spans="1:14" x14ac:dyDescent="0.25">
      <c r="A86" s="61">
        <f t="shared" si="12"/>
        <v>0</v>
      </c>
      <c r="G86" s="18"/>
      <c r="H86" s="40">
        <v>81</v>
      </c>
      <c r="I86" s="41" t="str">
        <f t="shared" si="8"/>
        <v/>
      </c>
      <c r="J86" s="40">
        <f t="shared" si="13"/>
        <v>-5</v>
      </c>
      <c r="K86" s="40">
        <f t="shared" si="9"/>
        <v>-50</v>
      </c>
      <c r="L86" s="40"/>
      <c r="M86" s="42">
        <f t="shared" si="10"/>
        <v>0</v>
      </c>
      <c r="N86" s="42">
        <f t="shared" si="11"/>
        <v>0</v>
      </c>
    </row>
    <row r="87" spans="1:14" x14ac:dyDescent="0.25">
      <c r="A87" s="61">
        <f t="shared" si="12"/>
        <v>0</v>
      </c>
      <c r="G87" s="18"/>
      <c r="H87" s="40">
        <v>82</v>
      </c>
      <c r="I87" s="41" t="str">
        <f t="shared" si="8"/>
        <v/>
      </c>
      <c r="J87" s="40">
        <f t="shared" si="13"/>
        <v>-5</v>
      </c>
      <c r="K87" s="40">
        <f t="shared" si="9"/>
        <v>-50</v>
      </c>
      <c r="L87" s="40"/>
      <c r="M87" s="42">
        <f t="shared" si="10"/>
        <v>0</v>
      </c>
      <c r="N87" s="42">
        <f t="shared" si="11"/>
        <v>0</v>
      </c>
    </row>
    <row r="88" spans="1:14" x14ac:dyDescent="0.25">
      <c r="A88" s="61">
        <f t="shared" si="12"/>
        <v>0</v>
      </c>
      <c r="G88" s="18"/>
      <c r="H88" s="40">
        <v>83</v>
      </c>
      <c r="I88" s="41" t="str">
        <f t="shared" si="8"/>
        <v/>
      </c>
      <c r="J88" s="40">
        <f t="shared" si="13"/>
        <v>-5</v>
      </c>
      <c r="K88" s="40">
        <f t="shared" si="9"/>
        <v>-50</v>
      </c>
      <c r="L88" s="40"/>
      <c r="M88" s="42">
        <f t="shared" si="10"/>
        <v>0</v>
      </c>
      <c r="N88" s="42">
        <f t="shared" si="11"/>
        <v>0</v>
      </c>
    </row>
    <row r="89" spans="1:14" x14ac:dyDescent="0.25">
      <c r="A89" s="61">
        <f t="shared" si="12"/>
        <v>0</v>
      </c>
      <c r="G89" s="18"/>
      <c r="H89" s="40">
        <v>84</v>
      </c>
      <c r="I89" s="41" t="str">
        <f t="shared" si="8"/>
        <v/>
      </c>
      <c r="J89" s="40">
        <f t="shared" si="13"/>
        <v>-5</v>
      </c>
      <c r="K89" s="40">
        <f t="shared" si="9"/>
        <v>-50</v>
      </c>
      <c r="L89" s="40"/>
      <c r="M89" s="42">
        <f t="shared" si="10"/>
        <v>0</v>
      </c>
      <c r="N89" s="42">
        <f t="shared" si="11"/>
        <v>0</v>
      </c>
    </row>
    <row r="90" spans="1:14" x14ac:dyDescent="0.25">
      <c r="A90" s="61">
        <f t="shared" si="12"/>
        <v>0</v>
      </c>
      <c r="G90" s="18"/>
      <c r="H90" s="40">
        <v>85</v>
      </c>
      <c r="I90" s="41" t="str">
        <f t="shared" si="8"/>
        <v/>
      </c>
      <c r="J90" s="40">
        <f t="shared" si="13"/>
        <v>-5</v>
      </c>
      <c r="K90" s="40">
        <f t="shared" si="9"/>
        <v>-50</v>
      </c>
      <c r="L90" s="40"/>
      <c r="M90" s="42">
        <f t="shared" si="10"/>
        <v>0</v>
      </c>
      <c r="N90" s="42">
        <f t="shared" si="11"/>
        <v>0</v>
      </c>
    </row>
    <row r="91" spans="1:14" x14ac:dyDescent="0.25">
      <c r="A91" s="61">
        <f t="shared" si="12"/>
        <v>0</v>
      </c>
      <c r="G91" s="18"/>
      <c r="H91" s="40">
        <v>86</v>
      </c>
      <c r="I91" s="41" t="str">
        <f t="shared" si="8"/>
        <v/>
      </c>
      <c r="J91" s="40">
        <f t="shared" si="13"/>
        <v>-5</v>
      </c>
      <c r="K91" s="40">
        <f t="shared" si="9"/>
        <v>-50</v>
      </c>
      <c r="L91" s="40"/>
      <c r="M91" s="42">
        <f t="shared" si="10"/>
        <v>0</v>
      </c>
      <c r="N91" s="42">
        <f t="shared" si="11"/>
        <v>0</v>
      </c>
    </row>
    <row r="92" spans="1:14" x14ac:dyDescent="0.25">
      <c r="A92" s="61">
        <f t="shared" si="12"/>
        <v>0</v>
      </c>
      <c r="G92" s="18"/>
      <c r="H92" s="40">
        <v>87</v>
      </c>
      <c r="I92" s="41" t="str">
        <f t="shared" si="8"/>
        <v/>
      </c>
      <c r="J92" s="40">
        <f t="shared" si="13"/>
        <v>-5</v>
      </c>
      <c r="K92" s="40">
        <f t="shared" si="9"/>
        <v>-50</v>
      </c>
      <c r="L92" s="40"/>
      <c r="M92" s="42">
        <f t="shared" si="10"/>
        <v>0</v>
      </c>
      <c r="N92" s="42">
        <f t="shared" si="11"/>
        <v>0</v>
      </c>
    </row>
    <row r="93" spans="1:14" x14ac:dyDescent="0.25">
      <c r="A93" s="61">
        <f t="shared" si="12"/>
        <v>0</v>
      </c>
      <c r="G93" s="18"/>
      <c r="H93" s="40">
        <v>88</v>
      </c>
      <c r="I93" s="41" t="str">
        <f t="shared" si="8"/>
        <v/>
      </c>
      <c r="J93" s="40">
        <f t="shared" si="13"/>
        <v>-5</v>
      </c>
      <c r="K93" s="40">
        <f t="shared" si="9"/>
        <v>-50</v>
      </c>
      <c r="L93" s="40"/>
      <c r="M93" s="42">
        <f t="shared" si="10"/>
        <v>0</v>
      </c>
      <c r="N93" s="42">
        <f t="shared" si="11"/>
        <v>0</v>
      </c>
    </row>
    <row r="94" spans="1:14" x14ac:dyDescent="0.25">
      <c r="A94" s="61">
        <f t="shared" si="12"/>
        <v>0</v>
      </c>
      <c r="G94" s="18"/>
      <c r="H94" s="40">
        <v>89</v>
      </c>
      <c r="I94" s="41" t="str">
        <f t="shared" si="8"/>
        <v/>
      </c>
      <c r="J94" s="40">
        <f t="shared" si="13"/>
        <v>-5</v>
      </c>
      <c r="K94" s="40">
        <f t="shared" si="9"/>
        <v>-50</v>
      </c>
      <c r="L94" s="40"/>
      <c r="M94" s="42">
        <f t="shared" si="10"/>
        <v>0</v>
      </c>
      <c r="N94" s="42">
        <f t="shared" si="11"/>
        <v>0</v>
      </c>
    </row>
    <row r="95" spans="1:14" x14ac:dyDescent="0.25">
      <c r="A95" s="61">
        <f t="shared" si="12"/>
        <v>0</v>
      </c>
      <c r="G95" s="18"/>
      <c r="H95" s="40">
        <v>90</v>
      </c>
      <c r="I95" s="41" t="str">
        <f t="shared" si="8"/>
        <v/>
      </c>
      <c r="J95" s="40">
        <f t="shared" si="13"/>
        <v>-5</v>
      </c>
      <c r="K95" s="40">
        <f t="shared" si="9"/>
        <v>-50</v>
      </c>
      <c r="L95" s="40"/>
      <c r="M95" s="42">
        <f t="shared" si="10"/>
        <v>0</v>
      </c>
      <c r="N95" s="42">
        <f t="shared" si="11"/>
        <v>0</v>
      </c>
    </row>
    <row r="96" spans="1:14" x14ac:dyDescent="0.25">
      <c r="A96" s="61">
        <f t="shared" si="12"/>
        <v>0</v>
      </c>
      <c r="G96" s="18"/>
      <c r="H96" s="40">
        <v>91</v>
      </c>
      <c r="I96" s="41" t="str">
        <f t="shared" si="8"/>
        <v/>
      </c>
      <c r="J96" s="40">
        <f t="shared" si="13"/>
        <v>-5</v>
      </c>
      <c r="K96" s="40">
        <f t="shared" si="9"/>
        <v>-50</v>
      </c>
      <c r="L96" s="40"/>
      <c r="M96" s="42">
        <f t="shared" si="10"/>
        <v>0</v>
      </c>
      <c r="N96" s="42">
        <f t="shared" si="11"/>
        <v>0</v>
      </c>
    </row>
    <row r="97" spans="1:14" x14ac:dyDescent="0.25">
      <c r="A97" s="61">
        <f t="shared" si="12"/>
        <v>0</v>
      </c>
      <c r="G97" s="18"/>
      <c r="H97" s="40">
        <v>92</v>
      </c>
      <c r="I97" s="41" t="str">
        <f t="shared" si="8"/>
        <v/>
      </c>
      <c r="J97" s="40">
        <f t="shared" si="13"/>
        <v>-5</v>
      </c>
      <c r="K97" s="40">
        <f t="shared" si="9"/>
        <v>-50</v>
      </c>
      <c r="L97" s="40"/>
      <c r="M97" s="42">
        <f t="shared" si="10"/>
        <v>0</v>
      </c>
      <c r="N97" s="42">
        <f t="shared" si="11"/>
        <v>0</v>
      </c>
    </row>
    <row r="98" spans="1:14" x14ac:dyDescent="0.25">
      <c r="A98" s="61">
        <f t="shared" si="12"/>
        <v>0</v>
      </c>
      <c r="G98" s="18"/>
      <c r="H98" s="40">
        <v>93</v>
      </c>
      <c r="I98" s="41" t="str">
        <f t="shared" si="8"/>
        <v/>
      </c>
      <c r="J98" s="40">
        <f t="shared" si="13"/>
        <v>-5</v>
      </c>
      <c r="K98" s="40">
        <f t="shared" si="9"/>
        <v>-50</v>
      </c>
      <c r="L98" s="40"/>
      <c r="M98" s="42">
        <f t="shared" si="10"/>
        <v>0</v>
      </c>
      <c r="N98" s="42">
        <f t="shared" si="11"/>
        <v>0</v>
      </c>
    </row>
    <row r="99" spans="1:14" x14ac:dyDescent="0.25">
      <c r="A99" s="61">
        <f t="shared" si="12"/>
        <v>0</v>
      </c>
      <c r="G99" s="18"/>
      <c r="H99" s="40">
        <v>94</v>
      </c>
      <c r="I99" s="41" t="str">
        <f t="shared" si="8"/>
        <v/>
      </c>
      <c r="J99" s="40">
        <f t="shared" si="13"/>
        <v>-5</v>
      </c>
      <c r="K99" s="40">
        <f t="shared" si="9"/>
        <v>-50</v>
      </c>
      <c r="L99" s="40"/>
      <c r="M99" s="42">
        <f t="shared" si="10"/>
        <v>0</v>
      </c>
      <c r="N99" s="42">
        <f t="shared" si="11"/>
        <v>0</v>
      </c>
    </row>
    <row r="100" spans="1:14" x14ac:dyDescent="0.25">
      <c r="A100" s="61">
        <f t="shared" si="12"/>
        <v>0</v>
      </c>
      <c r="G100" s="18"/>
      <c r="H100" s="40">
        <v>95</v>
      </c>
      <c r="I100" s="41" t="str">
        <f t="shared" si="8"/>
        <v/>
      </c>
      <c r="J100" s="40">
        <f t="shared" si="13"/>
        <v>-5</v>
      </c>
      <c r="K100" s="40">
        <f t="shared" si="9"/>
        <v>-50</v>
      </c>
      <c r="L100" s="40"/>
      <c r="M100" s="42">
        <f t="shared" si="10"/>
        <v>0</v>
      </c>
      <c r="N100" s="42">
        <f t="shared" si="11"/>
        <v>0</v>
      </c>
    </row>
    <row r="101" spans="1:14" x14ac:dyDescent="0.25">
      <c r="A101" s="61">
        <f t="shared" si="12"/>
        <v>0</v>
      </c>
      <c r="G101" s="18"/>
      <c r="H101" s="40">
        <v>96</v>
      </c>
      <c r="I101" s="41" t="str">
        <f t="shared" si="8"/>
        <v/>
      </c>
      <c r="J101" s="40">
        <f t="shared" si="13"/>
        <v>-5</v>
      </c>
      <c r="K101" s="40">
        <f t="shared" si="9"/>
        <v>-50</v>
      </c>
      <c r="L101" s="40"/>
      <c r="M101" s="42">
        <f t="shared" si="10"/>
        <v>0</v>
      </c>
      <c r="N101" s="42">
        <f t="shared" si="11"/>
        <v>0</v>
      </c>
    </row>
    <row r="102" spans="1:14" x14ac:dyDescent="0.25">
      <c r="A102" s="61">
        <f t="shared" si="12"/>
        <v>0</v>
      </c>
      <c r="G102" s="18"/>
      <c r="H102" s="40">
        <v>97</v>
      </c>
      <c r="I102" s="41" t="str">
        <f t="shared" si="8"/>
        <v/>
      </c>
      <c r="J102" s="40">
        <f t="shared" si="13"/>
        <v>-5</v>
      </c>
      <c r="K102" s="40">
        <f t="shared" si="9"/>
        <v>-50</v>
      </c>
      <c r="L102" s="40"/>
      <c r="M102" s="42">
        <f t="shared" si="10"/>
        <v>0</v>
      </c>
      <c r="N102" s="42">
        <f t="shared" si="11"/>
        <v>0</v>
      </c>
    </row>
    <row r="103" spans="1:14" x14ac:dyDescent="0.25">
      <c r="A103" s="61">
        <f t="shared" si="12"/>
        <v>0</v>
      </c>
      <c r="G103" s="18"/>
      <c r="H103" s="40">
        <v>98</v>
      </c>
      <c r="I103" s="41" t="str">
        <f t="shared" si="8"/>
        <v/>
      </c>
      <c r="J103" s="40">
        <f t="shared" si="13"/>
        <v>-5</v>
      </c>
      <c r="K103" s="40">
        <f t="shared" si="9"/>
        <v>-50</v>
      </c>
      <c r="L103" s="40"/>
      <c r="M103" s="42">
        <f t="shared" si="10"/>
        <v>0</v>
      </c>
      <c r="N103" s="42">
        <f t="shared" si="11"/>
        <v>0</v>
      </c>
    </row>
    <row r="104" spans="1:14" x14ac:dyDescent="0.25">
      <c r="A104" s="61">
        <f t="shared" si="12"/>
        <v>0</v>
      </c>
      <c r="G104" s="18"/>
      <c r="H104" s="40">
        <v>99</v>
      </c>
      <c r="I104" s="41" t="str">
        <f t="shared" si="8"/>
        <v/>
      </c>
      <c r="J104" s="40">
        <f t="shared" si="13"/>
        <v>-5</v>
      </c>
      <c r="K104" s="40">
        <f t="shared" si="9"/>
        <v>-50</v>
      </c>
      <c r="L104" s="40"/>
      <c r="M104" s="42">
        <f t="shared" si="10"/>
        <v>0</v>
      </c>
      <c r="N104" s="42">
        <f t="shared" si="11"/>
        <v>0</v>
      </c>
    </row>
    <row r="105" spans="1:14" x14ac:dyDescent="0.25">
      <c r="A105" s="61">
        <f t="shared" si="12"/>
        <v>0</v>
      </c>
      <c r="G105" s="18"/>
      <c r="H105" s="40">
        <v>100</v>
      </c>
      <c r="I105" s="41" t="str">
        <f t="shared" si="8"/>
        <v/>
      </c>
      <c r="J105" s="40">
        <f t="shared" si="13"/>
        <v>-5</v>
      </c>
      <c r="K105" s="40">
        <f t="shared" si="9"/>
        <v>-50</v>
      </c>
      <c r="L105" s="40"/>
      <c r="M105" s="42">
        <f t="shared" si="10"/>
        <v>0</v>
      </c>
      <c r="N105" s="42">
        <f t="shared" si="11"/>
        <v>0</v>
      </c>
    </row>
    <row r="106" spans="1:14" x14ac:dyDescent="0.25">
      <c r="A106" s="61">
        <f t="shared" si="12"/>
        <v>0</v>
      </c>
      <c r="G106" s="18"/>
      <c r="H106" s="40">
        <v>101</v>
      </c>
      <c r="I106" s="41" t="str">
        <f t="shared" si="8"/>
        <v/>
      </c>
      <c r="J106" s="40">
        <f t="shared" si="13"/>
        <v>-5</v>
      </c>
      <c r="K106" s="40">
        <f t="shared" si="9"/>
        <v>-50</v>
      </c>
      <c r="L106" s="40"/>
      <c r="M106" s="42">
        <f t="shared" si="10"/>
        <v>0</v>
      </c>
      <c r="N106" s="42">
        <f t="shared" si="11"/>
        <v>0</v>
      </c>
    </row>
    <row r="107" spans="1:14" x14ac:dyDescent="0.25">
      <c r="A107" s="61">
        <f t="shared" si="12"/>
        <v>0</v>
      </c>
      <c r="G107" s="18"/>
      <c r="H107" s="40">
        <v>102</v>
      </c>
      <c r="I107" s="41" t="str">
        <f t="shared" si="8"/>
        <v/>
      </c>
      <c r="J107" s="40">
        <f t="shared" si="13"/>
        <v>-5</v>
      </c>
      <c r="K107" s="40">
        <f t="shared" si="9"/>
        <v>-50</v>
      </c>
      <c r="L107" s="40"/>
      <c r="M107" s="42">
        <f t="shared" si="10"/>
        <v>0</v>
      </c>
      <c r="N107" s="42">
        <f t="shared" si="11"/>
        <v>0</v>
      </c>
    </row>
    <row r="108" spans="1:14" x14ac:dyDescent="0.25">
      <c r="A108" s="61">
        <f t="shared" si="12"/>
        <v>0</v>
      </c>
      <c r="G108" s="18"/>
      <c r="H108" s="40">
        <v>103</v>
      </c>
      <c r="I108" s="41" t="str">
        <f t="shared" si="8"/>
        <v/>
      </c>
      <c r="J108" s="40">
        <f t="shared" si="13"/>
        <v>-5</v>
      </c>
      <c r="K108" s="40">
        <f t="shared" si="9"/>
        <v>-50</v>
      </c>
      <c r="L108" s="40"/>
      <c r="M108" s="42">
        <f t="shared" si="10"/>
        <v>0</v>
      </c>
      <c r="N108" s="42">
        <f t="shared" si="11"/>
        <v>0</v>
      </c>
    </row>
    <row r="109" spans="1:14" x14ac:dyDescent="0.25">
      <c r="A109" s="61">
        <f t="shared" si="12"/>
        <v>0</v>
      </c>
      <c r="G109" s="18"/>
      <c r="H109" s="40">
        <v>104</v>
      </c>
      <c r="I109" s="41" t="str">
        <f t="shared" si="8"/>
        <v/>
      </c>
      <c r="J109" s="40">
        <f t="shared" si="13"/>
        <v>-5</v>
      </c>
      <c r="K109" s="40">
        <f t="shared" si="9"/>
        <v>-50</v>
      </c>
      <c r="L109" s="40"/>
      <c r="M109" s="42">
        <f t="shared" si="10"/>
        <v>0</v>
      </c>
      <c r="N109" s="42">
        <f t="shared" si="11"/>
        <v>0</v>
      </c>
    </row>
    <row r="110" spans="1:14" x14ac:dyDescent="0.25">
      <c r="A110" s="61">
        <f t="shared" si="12"/>
        <v>0</v>
      </c>
      <c r="G110" s="18"/>
      <c r="H110" s="40">
        <v>105</v>
      </c>
      <c r="I110" s="41" t="str">
        <f t="shared" si="8"/>
        <v/>
      </c>
      <c r="J110" s="40">
        <f t="shared" si="13"/>
        <v>-5</v>
      </c>
      <c r="K110" s="40">
        <f t="shared" si="9"/>
        <v>-50</v>
      </c>
      <c r="L110" s="40"/>
      <c r="M110" s="42">
        <f t="shared" si="10"/>
        <v>0</v>
      </c>
      <c r="N110" s="42">
        <f t="shared" si="11"/>
        <v>0</v>
      </c>
    </row>
    <row r="111" spans="1:14" x14ac:dyDescent="0.25">
      <c r="A111" s="61">
        <f t="shared" si="12"/>
        <v>0</v>
      </c>
      <c r="G111" s="18"/>
      <c r="H111" s="40">
        <v>106</v>
      </c>
      <c r="I111" s="41" t="str">
        <f t="shared" si="8"/>
        <v/>
      </c>
      <c r="J111" s="40">
        <f t="shared" si="13"/>
        <v>-5</v>
      </c>
      <c r="K111" s="40">
        <f t="shared" si="9"/>
        <v>-50</v>
      </c>
      <c r="L111" s="40"/>
      <c r="M111" s="42">
        <f t="shared" si="10"/>
        <v>0</v>
      </c>
      <c r="N111" s="42">
        <f t="shared" si="11"/>
        <v>0</v>
      </c>
    </row>
    <row r="112" spans="1:14" x14ac:dyDescent="0.25">
      <c r="A112" s="61">
        <f t="shared" si="12"/>
        <v>0</v>
      </c>
      <c r="G112" s="18"/>
      <c r="H112" s="40">
        <v>107</v>
      </c>
      <c r="I112" s="41" t="str">
        <f t="shared" si="8"/>
        <v/>
      </c>
      <c r="J112" s="40">
        <f t="shared" si="13"/>
        <v>-5</v>
      </c>
      <c r="K112" s="40">
        <f t="shared" si="9"/>
        <v>-50</v>
      </c>
      <c r="L112" s="40"/>
      <c r="M112" s="42">
        <f t="shared" si="10"/>
        <v>0</v>
      </c>
      <c r="N112" s="42">
        <f t="shared" si="11"/>
        <v>0</v>
      </c>
    </row>
    <row r="113" spans="1:14" x14ac:dyDescent="0.25">
      <c r="A113" s="61">
        <f t="shared" si="12"/>
        <v>0</v>
      </c>
      <c r="G113" s="18"/>
      <c r="H113" s="40">
        <v>108</v>
      </c>
      <c r="I113" s="41" t="str">
        <f t="shared" si="8"/>
        <v/>
      </c>
      <c r="J113" s="40">
        <f t="shared" si="13"/>
        <v>-5</v>
      </c>
      <c r="K113" s="40">
        <f t="shared" si="9"/>
        <v>-50</v>
      </c>
      <c r="L113" s="40"/>
      <c r="M113" s="42">
        <f t="shared" si="10"/>
        <v>0</v>
      </c>
      <c r="N113" s="42">
        <f t="shared" si="11"/>
        <v>0</v>
      </c>
    </row>
    <row r="114" spans="1:14" x14ac:dyDescent="0.25">
      <c r="A114" s="61">
        <f t="shared" si="12"/>
        <v>0</v>
      </c>
      <c r="G114" s="18"/>
      <c r="H114" s="40">
        <v>109</v>
      </c>
      <c r="I114" s="41" t="str">
        <f t="shared" si="8"/>
        <v/>
      </c>
      <c r="J114" s="40">
        <f t="shared" si="13"/>
        <v>-5</v>
      </c>
      <c r="K114" s="40">
        <f t="shared" si="9"/>
        <v>-50</v>
      </c>
      <c r="L114" s="40"/>
      <c r="M114" s="42">
        <f t="shared" si="10"/>
        <v>0</v>
      </c>
      <c r="N114" s="42">
        <f t="shared" si="11"/>
        <v>0</v>
      </c>
    </row>
    <row r="115" spans="1:14" x14ac:dyDescent="0.25">
      <c r="A115" s="61">
        <f t="shared" si="12"/>
        <v>0</v>
      </c>
      <c r="G115" s="18"/>
      <c r="H115" s="40">
        <v>110</v>
      </c>
      <c r="I115" s="41" t="str">
        <f t="shared" si="8"/>
        <v/>
      </c>
      <c r="J115" s="40">
        <f t="shared" si="13"/>
        <v>-5</v>
      </c>
      <c r="K115" s="40">
        <f t="shared" si="9"/>
        <v>-50</v>
      </c>
      <c r="L115" s="40"/>
      <c r="M115" s="42">
        <f t="shared" si="10"/>
        <v>0</v>
      </c>
      <c r="N115" s="42">
        <f t="shared" si="11"/>
        <v>0</v>
      </c>
    </row>
    <row r="116" spans="1:14" x14ac:dyDescent="0.25">
      <c r="A116" s="61">
        <f t="shared" si="12"/>
        <v>0</v>
      </c>
      <c r="G116" s="18"/>
      <c r="H116" s="40">
        <v>111</v>
      </c>
      <c r="I116" s="41" t="str">
        <f t="shared" si="8"/>
        <v/>
      </c>
      <c r="J116" s="40">
        <f t="shared" si="13"/>
        <v>-5</v>
      </c>
      <c r="K116" s="40">
        <f t="shared" si="9"/>
        <v>-50</v>
      </c>
      <c r="L116" s="40"/>
      <c r="M116" s="42">
        <f t="shared" si="10"/>
        <v>0</v>
      </c>
      <c r="N116" s="42">
        <f t="shared" si="11"/>
        <v>0</v>
      </c>
    </row>
    <row r="117" spans="1:14" x14ac:dyDescent="0.25">
      <c r="A117" s="61">
        <f t="shared" si="12"/>
        <v>0</v>
      </c>
      <c r="G117" s="18"/>
      <c r="H117" s="40">
        <v>112</v>
      </c>
      <c r="I117" s="41" t="str">
        <f t="shared" si="8"/>
        <v/>
      </c>
      <c r="J117" s="40">
        <f t="shared" si="13"/>
        <v>-5</v>
      </c>
      <c r="K117" s="40">
        <f t="shared" si="9"/>
        <v>-50</v>
      </c>
      <c r="L117" s="40"/>
      <c r="M117" s="42">
        <f t="shared" si="10"/>
        <v>0</v>
      </c>
      <c r="N117" s="42">
        <f t="shared" si="11"/>
        <v>0</v>
      </c>
    </row>
    <row r="118" spans="1:14" x14ac:dyDescent="0.25">
      <c r="A118" s="61">
        <f t="shared" si="12"/>
        <v>0</v>
      </c>
      <c r="G118" s="18"/>
      <c r="H118" s="40">
        <v>113</v>
      </c>
      <c r="I118" s="41" t="str">
        <f t="shared" si="8"/>
        <v/>
      </c>
      <c r="J118" s="40">
        <f t="shared" si="13"/>
        <v>-5</v>
      </c>
      <c r="K118" s="40">
        <f t="shared" si="9"/>
        <v>-50</v>
      </c>
      <c r="L118" s="40"/>
      <c r="M118" s="42">
        <f t="shared" si="10"/>
        <v>0</v>
      </c>
      <c r="N118" s="42">
        <f t="shared" si="11"/>
        <v>0</v>
      </c>
    </row>
    <row r="119" spans="1:14" x14ac:dyDescent="0.25">
      <c r="A119" s="61">
        <f t="shared" si="12"/>
        <v>0</v>
      </c>
      <c r="G119" s="18"/>
      <c r="H119" s="40">
        <v>114</v>
      </c>
      <c r="I119" s="41" t="str">
        <f t="shared" si="8"/>
        <v/>
      </c>
      <c r="J119" s="40">
        <f t="shared" si="13"/>
        <v>-5</v>
      </c>
      <c r="K119" s="40">
        <f t="shared" si="9"/>
        <v>-50</v>
      </c>
      <c r="L119" s="40"/>
      <c r="M119" s="42">
        <f t="shared" si="10"/>
        <v>0</v>
      </c>
      <c r="N119" s="42">
        <f t="shared" si="11"/>
        <v>0</v>
      </c>
    </row>
    <row r="120" spans="1:14" x14ac:dyDescent="0.25">
      <c r="A120" s="61">
        <f t="shared" si="12"/>
        <v>0</v>
      </c>
      <c r="G120" s="18"/>
      <c r="H120" s="40">
        <v>115</v>
      </c>
      <c r="I120" s="41" t="str">
        <f t="shared" si="8"/>
        <v/>
      </c>
      <c r="J120" s="40">
        <f t="shared" si="13"/>
        <v>-5</v>
      </c>
      <c r="K120" s="40">
        <f t="shared" si="9"/>
        <v>-50</v>
      </c>
      <c r="L120" s="40"/>
      <c r="M120" s="42">
        <f t="shared" si="10"/>
        <v>0</v>
      </c>
      <c r="N120" s="42">
        <f t="shared" si="11"/>
        <v>0</v>
      </c>
    </row>
    <row r="121" spans="1:14" x14ac:dyDescent="0.25">
      <c r="A121" s="61">
        <f t="shared" si="12"/>
        <v>0</v>
      </c>
      <c r="G121" s="18"/>
      <c r="H121" s="40">
        <v>116</v>
      </c>
      <c r="I121" s="41" t="str">
        <f t="shared" si="8"/>
        <v/>
      </c>
      <c r="J121" s="40">
        <f t="shared" si="13"/>
        <v>-5</v>
      </c>
      <c r="K121" s="40">
        <f t="shared" si="9"/>
        <v>-50</v>
      </c>
      <c r="L121" s="40"/>
      <c r="M121" s="42">
        <f t="shared" si="10"/>
        <v>0</v>
      </c>
      <c r="N121" s="42">
        <f t="shared" si="11"/>
        <v>0</v>
      </c>
    </row>
    <row r="122" spans="1:14" x14ac:dyDescent="0.25">
      <c r="A122" s="61">
        <f t="shared" si="12"/>
        <v>0</v>
      </c>
      <c r="G122" s="18"/>
      <c r="H122" s="40">
        <v>117</v>
      </c>
      <c r="I122" s="41" t="str">
        <f t="shared" si="8"/>
        <v/>
      </c>
      <c r="J122" s="40">
        <f t="shared" si="13"/>
        <v>-5</v>
      </c>
      <c r="K122" s="40">
        <f t="shared" si="9"/>
        <v>-50</v>
      </c>
      <c r="L122" s="40"/>
      <c r="M122" s="42">
        <f t="shared" si="10"/>
        <v>0</v>
      </c>
      <c r="N122" s="42">
        <f t="shared" si="11"/>
        <v>0</v>
      </c>
    </row>
    <row r="123" spans="1:14" x14ac:dyDescent="0.25">
      <c r="A123" s="61">
        <f t="shared" si="12"/>
        <v>0</v>
      </c>
      <c r="G123" s="18"/>
      <c r="H123" s="40">
        <v>118</v>
      </c>
      <c r="I123" s="41" t="str">
        <f t="shared" si="8"/>
        <v/>
      </c>
      <c r="J123" s="40">
        <f t="shared" si="13"/>
        <v>-5</v>
      </c>
      <c r="K123" s="40">
        <f t="shared" si="9"/>
        <v>-50</v>
      </c>
      <c r="L123" s="40"/>
      <c r="M123" s="42">
        <f t="shared" si="10"/>
        <v>0</v>
      </c>
      <c r="N123" s="42">
        <f t="shared" si="11"/>
        <v>0</v>
      </c>
    </row>
    <row r="124" spans="1:14" x14ac:dyDescent="0.25">
      <c r="A124" s="61">
        <f t="shared" si="12"/>
        <v>0</v>
      </c>
      <c r="G124" s="18"/>
      <c r="H124" s="40">
        <v>119</v>
      </c>
      <c r="I124" s="41" t="str">
        <f t="shared" si="8"/>
        <v/>
      </c>
      <c r="J124" s="40">
        <f t="shared" si="13"/>
        <v>-5</v>
      </c>
      <c r="K124" s="40">
        <f t="shared" si="9"/>
        <v>-50</v>
      </c>
      <c r="L124" s="40"/>
      <c r="M124" s="42">
        <f t="shared" si="10"/>
        <v>0</v>
      </c>
      <c r="N124" s="42">
        <f t="shared" si="11"/>
        <v>0</v>
      </c>
    </row>
    <row r="125" spans="1:14" x14ac:dyDescent="0.25">
      <c r="A125" s="61">
        <f t="shared" si="12"/>
        <v>0</v>
      </c>
      <c r="G125" s="18"/>
      <c r="H125" s="40">
        <v>120</v>
      </c>
      <c r="I125" s="41" t="str">
        <f t="shared" si="8"/>
        <v/>
      </c>
      <c r="J125" s="40">
        <f t="shared" si="13"/>
        <v>-5</v>
      </c>
      <c r="K125" s="40">
        <f t="shared" si="9"/>
        <v>-50</v>
      </c>
      <c r="L125" s="40"/>
      <c r="M125" s="42">
        <f t="shared" si="10"/>
        <v>0</v>
      </c>
      <c r="N125" s="42">
        <f t="shared" si="11"/>
        <v>0</v>
      </c>
    </row>
    <row r="126" spans="1:14" x14ac:dyDescent="0.25">
      <c r="A126" s="61">
        <f t="shared" si="12"/>
        <v>0</v>
      </c>
      <c r="G126" s="18"/>
      <c r="H126" s="40">
        <v>121</v>
      </c>
      <c r="I126" s="41" t="str">
        <f t="shared" si="8"/>
        <v/>
      </c>
      <c r="J126" s="40">
        <f t="shared" si="13"/>
        <v>-5</v>
      </c>
      <c r="K126" s="40">
        <f t="shared" si="9"/>
        <v>-50</v>
      </c>
      <c r="L126" s="40"/>
      <c r="M126" s="42">
        <f t="shared" si="10"/>
        <v>0</v>
      </c>
      <c r="N126" s="42">
        <f t="shared" si="11"/>
        <v>0</v>
      </c>
    </row>
    <row r="127" spans="1:14" x14ac:dyDescent="0.25">
      <c r="A127" s="61">
        <f t="shared" si="12"/>
        <v>0</v>
      </c>
      <c r="G127" s="18"/>
      <c r="H127" s="40">
        <v>122</v>
      </c>
      <c r="I127" s="41" t="str">
        <f t="shared" si="8"/>
        <v/>
      </c>
      <c r="J127" s="40">
        <f t="shared" si="13"/>
        <v>-5</v>
      </c>
      <c r="K127" s="40">
        <f t="shared" si="9"/>
        <v>-50</v>
      </c>
      <c r="L127" s="40"/>
      <c r="M127" s="42">
        <f t="shared" si="10"/>
        <v>0</v>
      </c>
      <c r="N127" s="42">
        <f t="shared" si="11"/>
        <v>0</v>
      </c>
    </row>
    <row r="128" spans="1:14" x14ac:dyDescent="0.25">
      <c r="A128" s="61">
        <f t="shared" si="12"/>
        <v>0</v>
      </c>
      <c r="G128" s="18"/>
      <c r="H128" s="40">
        <v>123</v>
      </c>
      <c r="I128" s="41" t="str">
        <f t="shared" si="8"/>
        <v/>
      </c>
      <c r="J128" s="40">
        <f t="shared" si="13"/>
        <v>-5</v>
      </c>
      <c r="K128" s="40">
        <f t="shared" si="9"/>
        <v>-50</v>
      </c>
      <c r="L128" s="40"/>
      <c r="M128" s="42">
        <f t="shared" si="10"/>
        <v>0</v>
      </c>
      <c r="N128" s="42">
        <f t="shared" si="11"/>
        <v>0</v>
      </c>
    </row>
    <row r="129" spans="1:14" x14ac:dyDescent="0.25">
      <c r="A129" s="61">
        <f t="shared" si="12"/>
        <v>0</v>
      </c>
      <c r="G129" s="18"/>
      <c r="H129" s="40">
        <v>124</v>
      </c>
      <c r="I129" s="41" t="str">
        <f t="shared" si="8"/>
        <v/>
      </c>
      <c r="J129" s="40">
        <f t="shared" si="13"/>
        <v>-5</v>
      </c>
      <c r="K129" s="40">
        <f t="shared" si="9"/>
        <v>-50</v>
      </c>
      <c r="L129" s="40"/>
      <c r="M129" s="42">
        <f t="shared" si="10"/>
        <v>0</v>
      </c>
      <c r="N129" s="42">
        <f t="shared" si="11"/>
        <v>0</v>
      </c>
    </row>
    <row r="130" spans="1:14" x14ac:dyDescent="0.25">
      <c r="A130" s="61">
        <f t="shared" si="12"/>
        <v>0</v>
      </c>
      <c r="G130" s="18"/>
      <c r="H130" s="40">
        <v>125</v>
      </c>
      <c r="I130" s="41" t="str">
        <f t="shared" si="8"/>
        <v/>
      </c>
      <c r="J130" s="40">
        <f t="shared" si="13"/>
        <v>-5</v>
      </c>
      <c r="K130" s="40">
        <f t="shared" si="9"/>
        <v>-50</v>
      </c>
      <c r="L130" s="40"/>
      <c r="M130" s="42">
        <f t="shared" si="10"/>
        <v>0</v>
      </c>
      <c r="N130" s="42">
        <f t="shared" si="11"/>
        <v>0</v>
      </c>
    </row>
    <row r="131" spans="1:14" x14ac:dyDescent="0.25">
      <c r="A131" s="61">
        <f t="shared" si="12"/>
        <v>0</v>
      </c>
      <c r="G131" s="18"/>
      <c r="H131" s="40">
        <v>126</v>
      </c>
      <c r="I131" s="41" t="str">
        <f t="shared" si="8"/>
        <v/>
      </c>
      <c r="J131" s="40">
        <f t="shared" si="13"/>
        <v>-5</v>
      </c>
      <c r="K131" s="40">
        <f t="shared" si="9"/>
        <v>-50</v>
      </c>
      <c r="L131" s="40"/>
      <c r="M131" s="42">
        <f t="shared" si="10"/>
        <v>0</v>
      </c>
      <c r="N131" s="42">
        <f t="shared" si="11"/>
        <v>0</v>
      </c>
    </row>
    <row r="132" spans="1:14" x14ac:dyDescent="0.25">
      <c r="A132" s="61">
        <f t="shared" si="12"/>
        <v>0</v>
      </c>
      <c r="G132" s="18"/>
      <c r="H132" s="40">
        <v>127</v>
      </c>
      <c r="I132" s="41" t="str">
        <f t="shared" si="8"/>
        <v/>
      </c>
      <c r="J132" s="40">
        <f t="shared" si="13"/>
        <v>-5</v>
      </c>
      <c r="K132" s="40">
        <f t="shared" si="9"/>
        <v>-50</v>
      </c>
      <c r="L132" s="40"/>
      <c r="M132" s="42">
        <f t="shared" si="10"/>
        <v>0</v>
      </c>
      <c r="N132" s="42">
        <f t="shared" si="11"/>
        <v>0</v>
      </c>
    </row>
    <row r="133" spans="1:14" x14ac:dyDescent="0.25">
      <c r="A133" s="61">
        <f t="shared" si="12"/>
        <v>0</v>
      </c>
      <c r="G133" s="18"/>
      <c r="H133" s="40">
        <v>128</v>
      </c>
      <c r="I133" s="41" t="str">
        <f t="shared" si="8"/>
        <v/>
      </c>
      <c r="J133" s="40">
        <f t="shared" si="13"/>
        <v>-5</v>
      </c>
      <c r="K133" s="40">
        <f t="shared" si="9"/>
        <v>-50</v>
      </c>
      <c r="L133" s="40"/>
      <c r="M133" s="42">
        <f t="shared" si="10"/>
        <v>0</v>
      </c>
      <c r="N133" s="42">
        <f t="shared" si="11"/>
        <v>0</v>
      </c>
    </row>
    <row r="134" spans="1:14" x14ac:dyDescent="0.25">
      <c r="A134" s="61">
        <f t="shared" si="12"/>
        <v>0</v>
      </c>
      <c r="G134" s="18"/>
      <c r="H134" s="40">
        <v>129</v>
      </c>
      <c r="I134" s="41" t="str">
        <f t="shared" ref="I134:I197" si="14">IF(H134&lt;$H$2+1,($I$2-($I$2-1)*(LOG(H134)/LOG($H$2))),"")</f>
        <v/>
      </c>
      <c r="J134" s="40">
        <f t="shared" si="13"/>
        <v>-6</v>
      </c>
      <c r="K134" s="40">
        <f t="shared" ref="K134:K197" si="15">J134*$J$2</f>
        <v>-60</v>
      </c>
      <c r="L134" s="40"/>
      <c r="M134" s="42">
        <f t="shared" ref="M134:M197" si="16">IF(I134&lt;&gt;"",K134+I134+L134,0)</f>
        <v>0</v>
      </c>
      <c r="N134" s="42">
        <f t="shared" ref="N134:N197" si="17">IF(I134&lt;&gt;"",M134*L$2,0)</f>
        <v>0</v>
      </c>
    </row>
    <row r="135" spans="1:14" x14ac:dyDescent="0.25">
      <c r="A135" s="61">
        <f t="shared" ref="A135:A198" si="18">N135</f>
        <v>0</v>
      </c>
      <c r="G135" s="18"/>
      <c r="H135" s="40">
        <v>130</v>
      </c>
      <c r="I135" s="41" t="str">
        <f t="shared" si="14"/>
        <v/>
      </c>
      <c r="J135" s="40">
        <f t="shared" ref="J135:J198" si="19">INT(LOG($H$2,2))-ROUNDUP(LOG(H135,2),0)+IF(OR($H$2=1,$H$2=2,$H$2=4,$H$2=8,$H$2=16,$H$2=32,$H$2=64,$H$2=128,$H$2=256),0,1)</f>
        <v>-6</v>
      </c>
      <c r="K135" s="40">
        <f t="shared" si="15"/>
        <v>-60</v>
      </c>
      <c r="L135" s="40"/>
      <c r="M135" s="42">
        <f t="shared" si="16"/>
        <v>0</v>
      </c>
      <c r="N135" s="42">
        <f t="shared" si="17"/>
        <v>0</v>
      </c>
    </row>
    <row r="136" spans="1:14" x14ac:dyDescent="0.25">
      <c r="A136" s="61">
        <f t="shared" si="18"/>
        <v>0</v>
      </c>
      <c r="G136" s="18"/>
      <c r="H136" s="40">
        <v>131</v>
      </c>
      <c r="I136" s="41" t="str">
        <f t="shared" si="14"/>
        <v/>
      </c>
      <c r="J136" s="40">
        <f t="shared" si="19"/>
        <v>-6</v>
      </c>
      <c r="K136" s="40">
        <f t="shared" si="15"/>
        <v>-60</v>
      </c>
      <c r="L136" s="40"/>
      <c r="M136" s="42">
        <f t="shared" si="16"/>
        <v>0</v>
      </c>
      <c r="N136" s="42">
        <f t="shared" si="17"/>
        <v>0</v>
      </c>
    </row>
    <row r="137" spans="1:14" x14ac:dyDescent="0.25">
      <c r="A137" s="61">
        <f t="shared" si="18"/>
        <v>0</v>
      </c>
      <c r="G137" s="18"/>
      <c r="H137" s="40">
        <v>132</v>
      </c>
      <c r="I137" s="41" t="str">
        <f t="shared" si="14"/>
        <v/>
      </c>
      <c r="J137" s="40">
        <f t="shared" si="19"/>
        <v>-6</v>
      </c>
      <c r="K137" s="40">
        <f t="shared" si="15"/>
        <v>-60</v>
      </c>
      <c r="L137" s="40"/>
      <c r="M137" s="42">
        <f t="shared" si="16"/>
        <v>0</v>
      </c>
      <c r="N137" s="42">
        <f t="shared" si="17"/>
        <v>0</v>
      </c>
    </row>
    <row r="138" spans="1:14" x14ac:dyDescent="0.25">
      <c r="A138" s="61">
        <f t="shared" si="18"/>
        <v>0</v>
      </c>
      <c r="G138" s="18"/>
      <c r="H138" s="40">
        <v>133</v>
      </c>
      <c r="I138" s="41" t="str">
        <f t="shared" si="14"/>
        <v/>
      </c>
      <c r="J138" s="40">
        <f t="shared" si="19"/>
        <v>-6</v>
      </c>
      <c r="K138" s="40">
        <f t="shared" si="15"/>
        <v>-60</v>
      </c>
      <c r="L138" s="40"/>
      <c r="M138" s="42">
        <f t="shared" si="16"/>
        <v>0</v>
      </c>
      <c r="N138" s="42">
        <f t="shared" si="17"/>
        <v>0</v>
      </c>
    </row>
    <row r="139" spans="1:14" x14ac:dyDescent="0.25">
      <c r="A139" s="61">
        <f t="shared" si="18"/>
        <v>0</v>
      </c>
      <c r="G139" s="18"/>
      <c r="H139" s="40">
        <v>134</v>
      </c>
      <c r="I139" s="41" t="str">
        <f t="shared" si="14"/>
        <v/>
      </c>
      <c r="J139" s="40">
        <f t="shared" si="19"/>
        <v>-6</v>
      </c>
      <c r="K139" s="40">
        <f t="shared" si="15"/>
        <v>-60</v>
      </c>
      <c r="L139" s="40"/>
      <c r="M139" s="42">
        <f t="shared" si="16"/>
        <v>0</v>
      </c>
      <c r="N139" s="42">
        <f t="shared" si="17"/>
        <v>0</v>
      </c>
    </row>
    <row r="140" spans="1:14" x14ac:dyDescent="0.25">
      <c r="A140" s="61">
        <f t="shared" si="18"/>
        <v>0</v>
      </c>
      <c r="G140" s="18"/>
      <c r="H140" s="40">
        <v>135</v>
      </c>
      <c r="I140" s="41" t="str">
        <f t="shared" si="14"/>
        <v/>
      </c>
      <c r="J140" s="40">
        <f t="shared" si="19"/>
        <v>-6</v>
      </c>
      <c r="K140" s="40">
        <f t="shared" si="15"/>
        <v>-60</v>
      </c>
      <c r="L140" s="40"/>
      <c r="M140" s="42">
        <f t="shared" si="16"/>
        <v>0</v>
      </c>
      <c r="N140" s="42">
        <f t="shared" si="17"/>
        <v>0</v>
      </c>
    </row>
    <row r="141" spans="1:14" x14ac:dyDescent="0.25">
      <c r="A141" s="61">
        <f t="shared" si="18"/>
        <v>0</v>
      </c>
      <c r="G141" s="18"/>
      <c r="H141" s="40">
        <v>136</v>
      </c>
      <c r="I141" s="41" t="str">
        <f t="shared" si="14"/>
        <v/>
      </c>
      <c r="J141" s="40">
        <f t="shared" si="19"/>
        <v>-6</v>
      </c>
      <c r="K141" s="40">
        <f t="shared" si="15"/>
        <v>-60</v>
      </c>
      <c r="L141" s="40"/>
      <c r="M141" s="42">
        <f t="shared" si="16"/>
        <v>0</v>
      </c>
      <c r="N141" s="42">
        <f t="shared" si="17"/>
        <v>0</v>
      </c>
    </row>
    <row r="142" spans="1:14" x14ac:dyDescent="0.25">
      <c r="A142" s="61">
        <f t="shared" si="18"/>
        <v>0</v>
      </c>
      <c r="G142" s="18"/>
      <c r="H142" s="40">
        <v>137</v>
      </c>
      <c r="I142" s="41" t="str">
        <f t="shared" si="14"/>
        <v/>
      </c>
      <c r="J142" s="40">
        <f t="shared" si="19"/>
        <v>-6</v>
      </c>
      <c r="K142" s="40">
        <f t="shared" si="15"/>
        <v>-60</v>
      </c>
      <c r="L142" s="40"/>
      <c r="M142" s="42">
        <f t="shared" si="16"/>
        <v>0</v>
      </c>
      <c r="N142" s="42">
        <f t="shared" si="17"/>
        <v>0</v>
      </c>
    </row>
    <row r="143" spans="1:14" x14ac:dyDescent="0.25">
      <c r="A143" s="61">
        <f t="shared" si="18"/>
        <v>0</v>
      </c>
      <c r="G143" s="18"/>
      <c r="H143" s="40">
        <v>138</v>
      </c>
      <c r="I143" s="41" t="str">
        <f t="shared" si="14"/>
        <v/>
      </c>
      <c r="J143" s="40">
        <f t="shared" si="19"/>
        <v>-6</v>
      </c>
      <c r="K143" s="40">
        <f t="shared" si="15"/>
        <v>-60</v>
      </c>
      <c r="L143" s="40"/>
      <c r="M143" s="42">
        <f t="shared" si="16"/>
        <v>0</v>
      </c>
      <c r="N143" s="42">
        <f t="shared" si="17"/>
        <v>0</v>
      </c>
    </row>
    <row r="144" spans="1:14" x14ac:dyDescent="0.25">
      <c r="A144" s="61">
        <f t="shared" si="18"/>
        <v>0</v>
      </c>
      <c r="G144" s="18"/>
      <c r="H144" s="40">
        <v>139</v>
      </c>
      <c r="I144" s="41" t="str">
        <f t="shared" si="14"/>
        <v/>
      </c>
      <c r="J144" s="40">
        <f t="shared" si="19"/>
        <v>-6</v>
      </c>
      <c r="K144" s="40">
        <f t="shared" si="15"/>
        <v>-60</v>
      </c>
      <c r="L144" s="40"/>
      <c r="M144" s="42">
        <f t="shared" si="16"/>
        <v>0</v>
      </c>
      <c r="N144" s="42">
        <f t="shared" si="17"/>
        <v>0</v>
      </c>
    </row>
    <row r="145" spans="1:14" x14ac:dyDescent="0.25">
      <c r="A145" s="61">
        <f t="shared" si="18"/>
        <v>0</v>
      </c>
      <c r="G145" s="18"/>
      <c r="H145" s="40">
        <v>140</v>
      </c>
      <c r="I145" s="41" t="str">
        <f t="shared" si="14"/>
        <v/>
      </c>
      <c r="J145" s="40">
        <f t="shared" si="19"/>
        <v>-6</v>
      </c>
      <c r="K145" s="40">
        <f t="shared" si="15"/>
        <v>-60</v>
      </c>
      <c r="L145" s="40"/>
      <c r="M145" s="42">
        <f t="shared" si="16"/>
        <v>0</v>
      </c>
      <c r="N145" s="42">
        <f t="shared" si="17"/>
        <v>0</v>
      </c>
    </row>
    <row r="146" spans="1:14" x14ac:dyDescent="0.25">
      <c r="A146" s="61">
        <f t="shared" si="18"/>
        <v>0</v>
      </c>
      <c r="G146" s="18"/>
      <c r="H146" s="40">
        <v>141</v>
      </c>
      <c r="I146" s="41" t="str">
        <f t="shared" si="14"/>
        <v/>
      </c>
      <c r="J146" s="40">
        <f t="shared" si="19"/>
        <v>-6</v>
      </c>
      <c r="K146" s="40">
        <f t="shared" si="15"/>
        <v>-60</v>
      </c>
      <c r="L146" s="40"/>
      <c r="M146" s="42">
        <f t="shared" si="16"/>
        <v>0</v>
      </c>
      <c r="N146" s="42">
        <f t="shared" si="17"/>
        <v>0</v>
      </c>
    </row>
    <row r="147" spans="1:14" x14ac:dyDescent="0.25">
      <c r="A147" s="61">
        <f t="shared" si="18"/>
        <v>0</v>
      </c>
      <c r="G147" s="18"/>
      <c r="H147" s="40">
        <v>142</v>
      </c>
      <c r="I147" s="41" t="str">
        <f t="shared" si="14"/>
        <v/>
      </c>
      <c r="J147" s="40">
        <f t="shared" si="19"/>
        <v>-6</v>
      </c>
      <c r="K147" s="40">
        <f t="shared" si="15"/>
        <v>-60</v>
      </c>
      <c r="L147" s="40"/>
      <c r="M147" s="42">
        <f t="shared" si="16"/>
        <v>0</v>
      </c>
      <c r="N147" s="42">
        <f t="shared" si="17"/>
        <v>0</v>
      </c>
    </row>
    <row r="148" spans="1:14" x14ac:dyDescent="0.25">
      <c r="A148" s="61">
        <f t="shared" si="18"/>
        <v>0</v>
      </c>
      <c r="G148" s="18"/>
      <c r="H148" s="40">
        <v>143</v>
      </c>
      <c r="I148" s="41" t="str">
        <f t="shared" si="14"/>
        <v/>
      </c>
      <c r="J148" s="40">
        <f t="shared" si="19"/>
        <v>-6</v>
      </c>
      <c r="K148" s="40">
        <f t="shared" si="15"/>
        <v>-60</v>
      </c>
      <c r="L148" s="40"/>
      <c r="M148" s="42">
        <f t="shared" si="16"/>
        <v>0</v>
      </c>
      <c r="N148" s="42">
        <f t="shared" si="17"/>
        <v>0</v>
      </c>
    </row>
    <row r="149" spans="1:14" x14ac:dyDescent="0.25">
      <c r="A149" s="61">
        <f t="shared" si="18"/>
        <v>0</v>
      </c>
      <c r="G149" s="18"/>
      <c r="H149" s="40">
        <v>144</v>
      </c>
      <c r="I149" s="41" t="str">
        <f t="shared" si="14"/>
        <v/>
      </c>
      <c r="J149" s="40">
        <f t="shared" si="19"/>
        <v>-6</v>
      </c>
      <c r="K149" s="40">
        <f t="shared" si="15"/>
        <v>-60</v>
      </c>
      <c r="L149" s="40"/>
      <c r="M149" s="42">
        <f t="shared" si="16"/>
        <v>0</v>
      </c>
      <c r="N149" s="42">
        <f t="shared" si="17"/>
        <v>0</v>
      </c>
    </row>
    <row r="150" spans="1:14" x14ac:dyDescent="0.25">
      <c r="A150" s="61">
        <f t="shared" si="18"/>
        <v>0</v>
      </c>
      <c r="G150" s="18"/>
      <c r="H150" s="40">
        <v>145</v>
      </c>
      <c r="I150" s="41" t="str">
        <f t="shared" si="14"/>
        <v/>
      </c>
      <c r="J150" s="40">
        <f t="shared" si="19"/>
        <v>-6</v>
      </c>
      <c r="K150" s="40">
        <f t="shared" si="15"/>
        <v>-60</v>
      </c>
      <c r="L150" s="40"/>
      <c r="M150" s="42">
        <f t="shared" si="16"/>
        <v>0</v>
      </c>
      <c r="N150" s="42">
        <f t="shared" si="17"/>
        <v>0</v>
      </c>
    </row>
    <row r="151" spans="1:14" x14ac:dyDescent="0.25">
      <c r="A151" s="61">
        <f t="shared" si="18"/>
        <v>0</v>
      </c>
      <c r="G151" s="18"/>
      <c r="H151" s="40">
        <v>146</v>
      </c>
      <c r="I151" s="41" t="str">
        <f t="shared" si="14"/>
        <v/>
      </c>
      <c r="J151" s="40">
        <f t="shared" si="19"/>
        <v>-6</v>
      </c>
      <c r="K151" s="40">
        <f t="shared" si="15"/>
        <v>-60</v>
      </c>
      <c r="L151" s="40"/>
      <c r="M151" s="42">
        <f t="shared" si="16"/>
        <v>0</v>
      </c>
      <c r="N151" s="42">
        <f t="shared" si="17"/>
        <v>0</v>
      </c>
    </row>
    <row r="152" spans="1:14" x14ac:dyDescent="0.25">
      <c r="A152" s="61">
        <f t="shared" si="18"/>
        <v>0</v>
      </c>
      <c r="G152" s="18"/>
      <c r="H152" s="40">
        <v>147</v>
      </c>
      <c r="I152" s="41" t="str">
        <f t="shared" si="14"/>
        <v/>
      </c>
      <c r="J152" s="40">
        <f t="shared" si="19"/>
        <v>-6</v>
      </c>
      <c r="K152" s="40">
        <f t="shared" si="15"/>
        <v>-60</v>
      </c>
      <c r="L152" s="40"/>
      <c r="M152" s="42">
        <f t="shared" si="16"/>
        <v>0</v>
      </c>
      <c r="N152" s="42">
        <f t="shared" si="17"/>
        <v>0</v>
      </c>
    </row>
    <row r="153" spans="1:14" x14ac:dyDescent="0.25">
      <c r="A153" s="61">
        <f t="shared" si="18"/>
        <v>0</v>
      </c>
      <c r="G153" s="18"/>
      <c r="H153" s="40">
        <v>148</v>
      </c>
      <c r="I153" s="41" t="str">
        <f t="shared" si="14"/>
        <v/>
      </c>
      <c r="J153" s="40">
        <f t="shared" si="19"/>
        <v>-6</v>
      </c>
      <c r="K153" s="40">
        <f t="shared" si="15"/>
        <v>-60</v>
      </c>
      <c r="L153" s="40"/>
      <c r="M153" s="42">
        <f t="shared" si="16"/>
        <v>0</v>
      </c>
      <c r="N153" s="42">
        <f t="shared" si="17"/>
        <v>0</v>
      </c>
    </row>
    <row r="154" spans="1:14" x14ac:dyDescent="0.25">
      <c r="A154" s="61">
        <f t="shared" si="18"/>
        <v>0</v>
      </c>
      <c r="G154" s="18"/>
      <c r="H154" s="40">
        <v>149</v>
      </c>
      <c r="I154" s="41" t="str">
        <f t="shared" si="14"/>
        <v/>
      </c>
      <c r="J154" s="40">
        <f t="shared" si="19"/>
        <v>-6</v>
      </c>
      <c r="K154" s="40">
        <f t="shared" si="15"/>
        <v>-60</v>
      </c>
      <c r="L154" s="40"/>
      <c r="M154" s="42">
        <f t="shared" si="16"/>
        <v>0</v>
      </c>
      <c r="N154" s="42">
        <f t="shared" si="17"/>
        <v>0</v>
      </c>
    </row>
    <row r="155" spans="1:14" x14ac:dyDescent="0.25">
      <c r="A155" s="61">
        <f t="shared" si="18"/>
        <v>0</v>
      </c>
      <c r="G155" s="18"/>
      <c r="H155" s="40">
        <v>150</v>
      </c>
      <c r="I155" s="41" t="str">
        <f t="shared" si="14"/>
        <v/>
      </c>
      <c r="J155" s="40">
        <f t="shared" si="19"/>
        <v>-6</v>
      </c>
      <c r="K155" s="40">
        <f t="shared" si="15"/>
        <v>-60</v>
      </c>
      <c r="L155" s="40"/>
      <c r="M155" s="42">
        <f t="shared" si="16"/>
        <v>0</v>
      </c>
      <c r="N155" s="42">
        <f t="shared" si="17"/>
        <v>0</v>
      </c>
    </row>
    <row r="156" spans="1:14" x14ac:dyDescent="0.25">
      <c r="A156" s="61">
        <f t="shared" si="18"/>
        <v>0</v>
      </c>
      <c r="G156" s="18"/>
      <c r="H156" s="40">
        <v>151</v>
      </c>
      <c r="I156" s="41" t="str">
        <f t="shared" si="14"/>
        <v/>
      </c>
      <c r="J156" s="40">
        <f t="shared" si="19"/>
        <v>-6</v>
      </c>
      <c r="K156" s="40">
        <f t="shared" si="15"/>
        <v>-60</v>
      </c>
      <c r="L156" s="40"/>
      <c r="M156" s="42">
        <f t="shared" si="16"/>
        <v>0</v>
      </c>
      <c r="N156" s="42">
        <f t="shared" si="17"/>
        <v>0</v>
      </c>
    </row>
    <row r="157" spans="1:14" x14ac:dyDescent="0.25">
      <c r="A157" s="61">
        <f t="shared" si="18"/>
        <v>0</v>
      </c>
      <c r="G157" s="18"/>
      <c r="H157" s="40">
        <v>152</v>
      </c>
      <c r="I157" s="41" t="str">
        <f t="shared" si="14"/>
        <v/>
      </c>
      <c r="J157" s="40">
        <f t="shared" si="19"/>
        <v>-6</v>
      </c>
      <c r="K157" s="40">
        <f t="shared" si="15"/>
        <v>-60</v>
      </c>
      <c r="L157" s="40"/>
      <c r="M157" s="42">
        <f t="shared" si="16"/>
        <v>0</v>
      </c>
      <c r="N157" s="42">
        <f t="shared" si="17"/>
        <v>0</v>
      </c>
    </row>
    <row r="158" spans="1:14" x14ac:dyDescent="0.25">
      <c r="A158" s="61">
        <f t="shared" si="18"/>
        <v>0</v>
      </c>
      <c r="G158" s="18"/>
      <c r="H158" s="40">
        <v>153</v>
      </c>
      <c r="I158" s="41" t="str">
        <f t="shared" si="14"/>
        <v/>
      </c>
      <c r="J158" s="40">
        <f t="shared" si="19"/>
        <v>-6</v>
      </c>
      <c r="K158" s="40">
        <f t="shared" si="15"/>
        <v>-60</v>
      </c>
      <c r="L158" s="40"/>
      <c r="M158" s="42">
        <f t="shared" si="16"/>
        <v>0</v>
      </c>
      <c r="N158" s="42">
        <f t="shared" si="17"/>
        <v>0</v>
      </c>
    </row>
    <row r="159" spans="1:14" x14ac:dyDescent="0.25">
      <c r="A159" s="61">
        <f t="shared" si="18"/>
        <v>0</v>
      </c>
      <c r="G159" s="18"/>
      <c r="H159" s="40">
        <v>154</v>
      </c>
      <c r="I159" s="41" t="str">
        <f t="shared" si="14"/>
        <v/>
      </c>
      <c r="J159" s="40">
        <f t="shared" si="19"/>
        <v>-6</v>
      </c>
      <c r="K159" s="40">
        <f t="shared" si="15"/>
        <v>-60</v>
      </c>
      <c r="L159" s="40"/>
      <c r="M159" s="42">
        <f t="shared" si="16"/>
        <v>0</v>
      </c>
      <c r="N159" s="42">
        <f t="shared" si="17"/>
        <v>0</v>
      </c>
    </row>
    <row r="160" spans="1:14" x14ac:dyDescent="0.25">
      <c r="A160" s="61">
        <f t="shared" si="18"/>
        <v>0</v>
      </c>
      <c r="G160" s="18"/>
      <c r="H160" s="40">
        <v>155</v>
      </c>
      <c r="I160" s="41" t="str">
        <f t="shared" si="14"/>
        <v/>
      </c>
      <c r="J160" s="40">
        <f t="shared" si="19"/>
        <v>-6</v>
      </c>
      <c r="K160" s="40">
        <f t="shared" si="15"/>
        <v>-60</v>
      </c>
      <c r="L160" s="40"/>
      <c r="M160" s="42">
        <f t="shared" si="16"/>
        <v>0</v>
      </c>
      <c r="N160" s="42">
        <f t="shared" si="17"/>
        <v>0</v>
      </c>
    </row>
    <row r="161" spans="1:14" x14ac:dyDescent="0.25">
      <c r="A161" s="61">
        <f t="shared" si="18"/>
        <v>0</v>
      </c>
      <c r="G161" s="18"/>
      <c r="H161" s="40">
        <v>156</v>
      </c>
      <c r="I161" s="41" t="str">
        <f t="shared" si="14"/>
        <v/>
      </c>
      <c r="J161" s="40">
        <f t="shared" si="19"/>
        <v>-6</v>
      </c>
      <c r="K161" s="40">
        <f t="shared" si="15"/>
        <v>-60</v>
      </c>
      <c r="L161" s="40"/>
      <c r="M161" s="42">
        <f t="shared" si="16"/>
        <v>0</v>
      </c>
      <c r="N161" s="42">
        <f t="shared" si="17"/>
        <v>0</v>
      </c>
    </row>
    <row r="162" spans="1:14" x14ac:dyDescent="0.25">
      <c r="A162" s="61">
        <f t="shared" si="18"/>
        <v>0</v>
      </c>
      <c r="G162" s="18"/>
      <c r="H162" s="40">
        <v>157</v>
      </c>
      <c r="I162" s="41" t="str">
        <f t="shared" si="14"/>
        <v/>
      </c>
      <c r="J162" s="40">
        <f t="shared" si="19"/>
        <v>-6</v>
      </c>
      <c r="K162" s="40">
        <f t="shared" si="15"/>
        <v>-60</v>
      </c>
      <c r="L162" s="40"/>
      <c r="M162" s="42">
        <f t="shared" si="16"/>
        <v>0</v>
      </c>
      <c r="N162" s="42">
        <f t="shared" si="17"/>
        <v>0</v>
      </c>
    </row>
    <row r="163" spans="1:14" x14ac:dyDescent="0.25">
      <c r="A163" s="61">
        <f t="shared" si="18"/>
        <v>0</v>
      </c>
      <c r="G163" s="18"/>
      <c r="H163" s="40">
        <v>158</v>
      </c>
      <c r="I163" s="41" t="str">
        <f t="shared" si="14"/>
        <v/>
      </c>
      <c r="J163" s="40">
        <f t="shared" si="19"/>
        <v>-6</v>
      </c>
      <c r="K163" s="40">
        <f t="shared" si="15"/>
        <v>-60</v>
      </c>
      <c r="L163" s="40"/>
      <c r="M163" s="42">
        <f t="shared" si="16"/>
        <v>0</v>
      </c>
      <c r="N163" s="42">
        <f t="shared" si="17"/>
        <v>0</v>
      </c>
    </row>
    <row r="164" spans="1:14" x14ac:dyDescent="0.25">
      <c r="A164" s="61">
        <f t="shared" si="18"/>
        <v>0</v>
      </c>
      <c r="G164" s="18"/>
      <c r="H164" s="40">
        <v>159</v>
      </c>
      <c r="I164" s="41" t="str">
        <f t="shared" si="14"/>
        <v/>
      </c>
      <c r="J164" s="40">
        <f t="shared" si="19"/>
        <v>-6</v>
      </c>
      <c r="K164" s="40">
        <f t="shared" si="15"/>
        <v>-60</v>
      </c>
      <c r="L164" s="40"/>
      <c r="M164" s="42">
        <f t="shared" si="16"/>
        <v>0</v>
      </c>
      <c r="N164" s="42">
        <f t="shared" si="17"/>
        <v>0</v>
      </c>
    </row>
    <row r="165" spans="1:14" x14ac:dyDescent="0.25">
      <c r="A165" s="61">
        <f t="shared" si="18"/>
        <v>0</v>
      </c>
      <c r="G165" s="18"/>
      <c r="H165" s="40">
        <v>160</v>
      </c>
      <c r="I165" s="41" t="str">
        <f t="shared" si="14"/>
        <v/>
      </c>
      <c r="J165" s="40">
        <f t="shared" si="19"/>
        <v>-6</v>
      </c>
      <c r="K165" s="40">
        <f t="shared" si="15"/>
        <v>-60</v>
      </c>
      <c r="L165" s="40"/>
      <c r="M165" s="42">
        <f t="shared" si="16"/>
        <v>0</v>
      </c>
      <c r="N165" s="42">
        <f t="shared" si="17"/>
        <v>0</v>
      </c>
    </row>
    <row r="166" spans="1:14" x14ac:dyDescent="0.25">
      <c r="A166" s="61">
        <f t="shared" si="18"/>
        <v>0</v>
      </c>
      <c r="G166" s="18"/>
      <c r="H166" s="40">
        <v>161</v>
      </c>
      <c r="I166" s="41" t="str">
        <f t="shared" si="14"/>
        <v/>
      </c>
      <c r="J166" s="40">
        <f t="shared" si="19"/>
        <v>-6</v>
      </c>
      <c r="K166" s="40">
        <f t="shared" si="15"/>
        <v>-60</v>
      </c>
      <c r="L166" s="40"/>
      <c r="M166" s="42">
        <f t="shared" si="16"/>
        <v>0</v>
      </c>
      <c r="N166" s="42">
        <f t="shared" si="17"/>
        <v>0</v>
      </c>
    </row>
    <row r="167" spans="1:14" x14ac:dyDescent="0.25">
      <c r="A167" s="61">
        <f t="shared" si="18"/>
        <v>0</v>
      </c>
      <c r="G167" s="18"/>
      <c r="H167" s="40">
        <v>162</v>
      </c>
      <c r="I167" s="41" t="str">
        <f t="shared" si="14"/>
        <v/>
      </c>
      <c r="J167" s="40">
        <f t="shared" si="19"/>
        <v>-6</v>
      </c>
      <c r="K167" s="40">
        <f t="shared" si="15"/>
        <v>-60</v>
      </c>
      <c r="L167" s="40"/>
      <c r="M167" s="42">
        <f t="shared" si="16"/>
        <v>0</v>
      </c>
      <c r="N167" s="42">
        <f t="shared" si="17"/>
        <v>0</v>
      </c>
    </row>
    <row r="168" spans="1:14" x14ac:dyDescent="0.25">
      <c r="A168" s="61">
        <f t="shared" si="18"/>
        <v>0</v>
      </c>
      <c r="G168" s="18"/>
      <c r="H168" s="40">
        <v>163</v>
      </c>
      <c r="I168" s="41" t="str">
        <f t="shared" si="14"/>
        <v/>
      </c>
      <c r="J168" s="40">
        <f t="shared" si="19"/>
        <v>-6</v>
      </c>
      <c r="K168" s="40">
        <f t="shared" si="15"/>
        <v>-60</v>
      </c>
      <c r="L168" s="40"/>
      <c r="M168" s="42">
        <f t="shared" si="16"/>
        <v>0</v>
      </c>
      <c r="N168" s="42">
        <f t="shared" si="17"/>
        <v>0</v>
      </c>
    </row>
    <row r="169" spans="1:14" x14ac:dyDescent="0.25">
      <c r="A169" s="61">
        <f t="shared" si="18"/>
        <v>0</v>
      </c>
      <c r="G169" s="18"/>
      <c r="H169" s="40">
        <v>164</v>
      </c>
      <c r="I169" s="41" t="str">
        <f t="shared" si="14"/>
        <v/>
      </c>
      <c r="J169" s="40">
        <f t="shared" si="19"/>
        <v>-6</v>
      </c>
      <c r="K169" s="40">
        <f t="shared" si="15"/>
        <v>-60</v>
      </c>
      <c r="L169" s="40"/>
      <c r="M169" s="42">
        <f t="shared" si="16"/>
        <v>0</v>
      </c>
      <c r="N169" s="42">
        <f t="shared" si="17"/>
        <v>0</v>
      </c>
    </row>
    <row r="170" spans="1:14" x14ac:dyDescent="0.25">
      <c r="A170" s="61">
        <f t="shared" si="18"/>
        <v>0</v>
      </c>
      <c r="G170" s="18"/>
      <c r="H170" s="40">
        <v>165</v>
      </c>
      <c r="I170" s="41" t="str">
        <f t="shared" si="14"/>
        <v/>
      </c>
      <c r="J170" s="40">
        <f t="shared" si="19"/>
        <v>-6</v>
      </c>
      <c r="K170" s="40">
        <f t="shared" si="15"/>
        <v>-60</v>
      </c>
      <c r="L170" s="40"/>
      <c r="M170" s="42">
        <f t="shared" si="16"/>
        <v>0</v>
      </c>
      <c r="N170" s="42">
        <f t="shared" si="17"/>
        <v>0</v>
      </c>
    </row>
    <row r="171" spans="1:14" x14ac:dyDescent="0.25">
      <c r="A171" s="61">
        <f t="shared" si="18"/>
        <v>0</v>
      </c>
      <c r="G171" s="18"/>
      <c r="H171" s="40">
        <v>166</v>
      </c>
      <c r="I171" s="41" t="str">
        <f t="shared" si="14"/>
        <v/>
      </c>
      <c r="J171" s="40">
        <f t="shared" si="19"/>
        <v>-6</v>
      </c>
      <c r="K171" s="40">
        <f t="shared" si="15"/>
        <v>-60</v>
      </c>
      <c r="L171" s="40"/>
      <c r="M171" s="42">
        <f t="shared" si="16"/>
        <v>0</v>
      </c>
      <c r="N171" s="42">
        <f t="shared" si="17"/>
        <v>0</v>
      </c>
    </row>
    <row r="172" spans="1:14" x14ac:dyDescent="0.25">
      <c r="A172" s="61">
        <f t="shared" si="18"/>
        <v>0</v>
      </c>
      <c r="G172" s="18"/>
      <c r="H172" s="40">
        <v>167</v>
      </c>
      <c r="I172" s="41" t="str">
        <f t="shared" si="14"/>
        <v/>
      </c>
      <c r="J172" s="40">
        <f t="shared" si="19"/>
        <v>-6</v>
      </c>
      <c r="K172" s="40">
        <f t="shared" si="15"/>
        <v>-60</v>
      </c>
      <c r="L172" s="40"/>
      <c r="M172" s="42">
        <f t="shared" si="16"/>
        <v>0</v>
      </c>
      <c r="N172" s="42">
        <f t="shared" si="17"/>
        <v>0</v>
      </c>
    </row>
    <row r="173" spans="1:14" x14ac:dyDescent="0.25">
      <c r="A173" s="61">
        <f t="shared" si="18"/>
        <v>0</v>
      </c>
      <c r="G173" s="18"/>
      <c r="H173" s="40">
        <v>168</v>
      </c>
      <c r="I173" s="41" t="str">
        <f t="shared" si="14"/>
        <v/>
      </c>
      <c r="J173" s="40">
        <f t="shared" si="19"/>
        <v>-6</v>
      </c>
      <c r="K173" s="40">
        <f t="shared" si="15"/>
        <v>-60</v>
      </c>
      <c r="L173" s="40"/>
      <c r="M173" s="42">
        <f t="shared" si="16"/>
        <v>0</v>
      </c>
      <c r="N173" s="42">
        <f t="shared" si="17"/>
        <v>0</v>
      </c>
    </row>
    <row r="174" spans="1:14" x14ac:dyDescent="0.25">
      <c r="A174" s="61">
        <f t="shared" si="18"/>
        <v>0</v>
      </c>
      <c r="G174" s="18"/>
      <c r="H174" s="40">
        <v>169</v>
      </c>
      <c r="I174" s="41" t="str">
        <f t="shared" si="14"/>
        <v/>
      </c>
      <c r="J174" s="40">
        <f t="shared" si="19"/>
        <v>-6</v>
      </c>
      <c r="K174" s="40">
        <f t="shared" si="15"/>
        <v>-60</v>
      </c>
      <c r="L174" s="40"/>
      <c r="M174" s="42">
        <f t="shared" si="16"/>
        <v>0</v>
      </c>
      <c r="N174" s="42">
        <f t="shared" si="17"/>
        <v>0</v>
      </c>
    </row>
    <row r="175" spans="1:14" x14ac:dyDescent="0.25">
      <c r="A175" s="61">
        <f t="shared" si="18"/>
        <v>0</v>
      </c>
      <c r="G175" s="18"/>
      <c r="H175" s="40">
        <v>170</v>
      </c>
      <c r="I175" s="41" t="str">
        <f t="shared" si="14"/>
        <v/>
      </c>
      <c r="J175" s="40">
        <f t="shared" si="19"/>
        <v>-6</v>
      </c>
      <c r="K175" s="40">
        <f t="shared" si="15"/>
        <v>-60</v>
      </c>
      <c r="L175" s="40"/>
      <c r="M175" s="42">
        <f t="shared" si="16"/>
        <v>0</v>
      </c>
      <c r="N175" s="42">
        <f t="shared" si="17"/>
        <v>0</v>
      </c>
    </row>
    <row r="176" spans="1:14" x14ac:dyDescent="0.25">
      <c r="A176" s="61">
        <f t="shared" si="18"/>
        <v>0</v>
      </c>
      <c r="G176" s="18"/>
      <c r="H176" s="40">
        <v>171</v>
      </c>
      <c r="I176" s="41" t="str">
        <f t="shared" si="14"/>
        <v/>
      </c>
      <c r="J176" s="40">
        <f t="shared" si="19"/>
        <v>-6</v>
      </c>
      <c r="K176" s="40">
        <f t="shared" si="15"/>
        <v>-60</v>
      </c>
      <c r="L176" s="40"/>
      <c r="M176" s="42">
        <f t="shared" si="16"/>
        <v>0</v>
      </c>
      <c r="N176" s="42">
        <f t="shared" si="17"/>
        <v>0</v>
      </c>
    </row>
    <row r="177" spans="1:14" x14ac:dyDescent="0.25">
      <c r="A177" s="61">
        <f t="shared" si="18"/>
        <v>0</v>
      </c>
      <c r="G177" s="18"/>
      <c r="H177" s="40">
        <v>172</v>
      </c>
      <c r="I177" s="41" t="str">
        <f t="shared" si="14"/>
        <v/>
      </c>
      <c r="J177" s="40">
        <f t="shared" si="19"/>
        <v>-6</v>
      </c>
      <c r="K177" s="40">
        <f t="shared" si="15"/>
        <v>-60</v>
      </c>
      <c r="L177" s="40"/>
      <c r="M177" s="42">
        <f t="shared" si="16"/>
        <v>0</v>
      </c>
      <c r="N177" s="42">
        <f t="shared" si="17"/>
        <v>0</v>
      </c>
    </row>
    <row r="178" spans="1:14" x14ac:dyDescent="0.25">
      <c r="A178" s="61">
        <f t="shared" si="18"/>
        <v>0</v>
      </c>
      <c r="G178" s="18"/>
      <c r="H178" s="40">
        <v>173</v>
      </c>
      <c r="I178" s="41" t="str">
        <f t="shared" si="14"/>
        <v/>
      </c>
      <c r="J178" s="40">
        <f t="shared" si="19"/>
        <v>-6</v>
      </c>
      <c r="K178" s="40">
        <f t="shared" si="15"/>
        <v>-60</v>
      </c>
      <c r="L178" s="40"/>
      <c r="M178" s="42">
        <f t="shared" si="16"/>
        <v>0</v>
      </c>
      <c r="N178" s="42">
        <f t="shared" si="17"/>
        <v>0</v>
      </c>
    </row>
    <row r="179" spans="1:14" x14ac:dyDescent="0.25">
      <c r="A179" s="61">
        <f t="shared" si="18"/>
        <v>0</v>
      </c>
      <c r="G179" s="18"/>
      <c r="H179" s="40">
        <v>174</v>
      </c>
      <c r="I179" s="41" t="str">
        <f t="shared" si="14"/>
        <v/>
      </c>
      <c r="J179" s="40">
        <f t="shared" si="19"/>
        <v>-6</v>
      </c>
      <c r="K179" s="40">
        <f t="shared" si="15"/>
        <v>-60</v>
      </c>
      <c r="L179" s="40"/>
      <c r="M179" s="42">
        <f t="shared" si="16"/>
        <v>0</v>
      </c>
      <c r="N179" s="42">
        <f t="shared" si="17"/>
        <v>0</v>
      </c>
    </row>
    <row r="180" spans="1:14" x14ac:dyDescent="0.25">
      <c r="A180" s="61">
        <f t="shared" si="18"/>
        <v>0</v>
      </c>
      <c r="G180" s="18"/>
      <c r="H180" s="40">
        <v>175</v>
      </c>
      <c r="I180" s="41" t="str">
        <f t="shared" si="14"/>
        <v/>
      </c>
      <c r="J180" s="40">
        <f t="shared" si="19"/>
        <v>-6</v>
      </c>
      <c r="K180" s="40">
        <f t="shared" si="15"/>
        <v>-60</v>
      </c>
      <c r="L180" s="40"/>
      <c r="M180" s="42">
        <f t="shared" si="16"/>
        <v>0</v>
      </c>
      <c r="N180" s="42">
        <f t="shared" si="17"/>
        <v>0</v>
      </c>
    </row>
    <row r="181" spans="1:14" x14ac:dyDescent="0.25">
      <c r="A181" s="61">
        <f t="shared" si="18"/>
        <v>0</v>
      </c>
      <c r="G181" s="18"/>
      <c r="H181" s="40">
        <v>176</v>
      </c>
      <c r="I181" s="41" t="str">
        <f t="shared" si="14"/>
        <v/>
      </c>
      <c r="J181" s="40">
        <f t="shared" si="19"/>
        <v>-6</v>
      </c>
      <c r="K181" s="40">
        <f t="shared" si="15"/>
        <v>-60</v>
      </c>
      <c r="L181" s="40"/>
      <c r="M181" s="42">
        <f t="shared" si="16"/>
        <v>0</v>
      </c>
      <c r="N181" s="42">
        <f t="shared" si="17"/>
        <v>0</v>
      </c>
    </row>
    <row r="182" spans="1:14" x14ac:dyDescent="0.25">
      <c r="A182" s="61">
        <f t="shared" si="18"/>
        <v>0</v>
      </c>
      <c r="G182" s="18"/>
      <c r="H182" s="40">
        <v>177</v>
      </c>
      <c r="I182" s="41" t="str">
        <f t="shared" si="14"/>
        <v/>
      </c>
      <c r="J182" s="40">
        <f t="shared" si="19"/>
        <v>-6</v>
      </c>
      <c r="K182" s="40">
        <f t="shared" si="15"/>
        <v>-60</v>
      </c>
      <c r="L182" s="40"/>
      <c r="M182" s="42">
        <f t="shared" si="16"/>
        <v>0</v>
      </c>
      <c r="N182" s="42">
        <f t="shared" si="17"/>
        <v>0</v>
      </c>
    </row>
    <row r="183" spans="1:14" x14ac:dyDescent="0.25">
      <c r="A183" s="61">
        <f t="shared" si="18"/>
        <v>0</v>
      </c>
      <c r="G183" s="18"/>
      <c r="H183" s="40">
        <v>178</v>
      </c>
      <c r="I183" s="41" t="str">
        <f t="shared" si="14"/>
        <v/>
      </c>
      <c r="J183" s="40">
        <f t="shared" si="19"/>
        <v>-6</v>
      </c>
      <c r="K183" s="40">
        <f t="shared" si="15"/>
        <v>-60</v>
      </c>
      <c r="L183" s="40"/>
      <c r="M183" s="42">
        <f t="shared" si="16"/>
        <v>0</v>
      </c>
      <c r="N183" s="42">
        <f t="shared" si="17"/>
        <v>0</v>
      </c>
    </row>
    <row r="184" spans="1:14" x14ac:dyDescent="0.25">
      <c r="A184" s="61">
        <f t="shared" si="18"/>
        <v>0</v>
      </c>
      <c r="G184" s="18"/>
      <c r="H184" s="40">
        <v>179</v>
      </c>
      <c r="I184" s="41" t="str">
        <f t="shared" si="14"/>
        <v/>
      </c>
      <c r="J184" s="40">
        <f t="shared" si="19"/>
        <v>-6</v>
      </c>
      <c r="K184" s="40">
        <f t="shared" si="15"/>
        <v>-60</v>
      </c>
      <c r="L184" s="40"/>
      <c r="M184" s="42">
        <f t="shared" si="16"/>
        <v>0</v>
      </c>
      <c r="N184" s="42">
        <f t="shared" si="17"/>
        <v>0</v>
      </c>
    </row>
    <row r="185" spans="1:14" x14ac:dyDescent="0.25">
      <c r="A185" s="61">
        <f t="shared" si="18"/>
        <v>0</v>
      </c>
      <c r="G185" s="18"/>
      <c r="H185" s="40">
        <v>180</v>
      </c>
      <c r="I185" s="41" t="str">
        <f t="shared" si="14"/>
        <v/>
      </c>
      <c r="J185" s="40">
        <f t="shared" si="19"/>
        <v>-6</v>
      </c>
      <c r="K185" s="40">
        <f t="shared" si="15"/>
        <v>-60</v>
      </c>
      <c r="L185" s="40"/>
      <c r="M185" s="42">
        <f t="shared" si="16"/>
        <v>0</v>
      </c>
      <c r="N185" s="42">
        <f t="shared" si="17"/>
        <v>0</v>
      </c>
    </row>
    <row r="186" spans="1:14" x14ac:dyDescent="0.25">
      <c r="A186" s="61">
        <f t="shared" si="18"/>
        <v>0</v>
      </c>
      <c r="G186" s="18"/>
      <c r="H186" s="40">
        <v>181</v>
      </c>
      <c r="I186" s="41" t="str">
        <f t="shared" si="14"/>
        <v/>
      </c>
      <c r="J186" s="40">
        <f t="shared" si="19"/>
        <v>-6</v>
      </c>
      <c r="K186" s="40">
        <f t="shared" si="15"/>
        <v>-60</v>
      </c>
      <c r="L186" s="40"/>
      <c r="M186" s="42">
        <f t="shared" si="16"/>
        <v>0</v>
      </c>
      <c r="N186" s="42">
        <f t="shared" si="17"/>
        <v>0</v>
      </c>
    </row>
    <row r="187" spans="1:14" x14ac:dyDescent="0.25">
      <c r="A187" s="61">
        <f t="shared" si="18"/>
        <v>0</v>
      </c>
      <c r="G187" s="18"/>
      <c r="H187" s="40">
        <v>182</v>
      </c>
      <c r="I187" s="41" t="str">
        <f t="shared" si="14"/>
        <v/>
      </c>
      <c r="J187" s="40">
        <f t="shared" si="19"/>
        <v>-6</v>
      </c>
      <c r="K187" s="40">
        <f t="shared" si="15"/>
        <v>-60</v>
      </c>
      <c r="L187" s="40"/>
      <c r="M187" s="42">
        <f t="shared" si="16"/>
        <v>0</v>
      </c>
      <c r="N187" s="42">
        <f t="shared" si="17"/>
        <v>0</v>
      </c>
    </row>
    <row r="188" spans="1:14" x14ac:dyDescent="0.25">
      <c r="A188" s="61">
        <f t="shared" si="18"/>
        <v>0</v>
      </c>
      <c r="G188" s="18"/>
      <c r="H188" s="40">
        <v>183</v>
      </c>
      <c r="I188" s="41" t="str">
        <f t="shared" si="14"/>
        <v/>
      </c>
      <c r="J188" s="40">
        <f t="shared" si="19"/>
        <v>-6</v>
      </c>
      <c r="K188" s="40">
        <f t="shared" si="15"/>
        <v>-60</v>
      </c>
      <c r="L188" s="40"/>
      <c r="M188" s="42">
        <f t="shared" si="16"/>
        <v>0</v>
      </c>
      <c r="N188" s="42">
        <f t="shared" si="17"/>
        <v>0</v>
      </c>
    </row>
    <row r="189" spans="1:14" x14ac:dyDescent="0.25">
      <c r="A189" s="61">
        <f t="shared" si="18"/>
        <v>0</v>
      </c>
      <c r="G189" s="18"/>
      <c r="H189" s="40">
        <v>184</v>
      </c>
      <c r="I189" s="41" t="str">
        <f t="shared" si="14"/>
        <v/>
      </c>
      <c r="J189" s="40">
        <f t="shared" si="19"/>
        <v>-6</v>
      </c>
      <c r="K189" s="40">
        <f t="shared" si="15"/>
        <v>-60</v>
      </c>
      <c r="L189" s="40"/>
      <c r="M189" s="42">
        <f t="shared" si="16"/>
        <v>0</v>
      </c>
      <c r="N189" s="42">
        <f t="shared" si="17"/>
        <v>0</v>
      </c>
    </row>
    <row r="190" spans="1:14" x14ac:dyDescent="0.25">
      <c r="A190" s="61">
        <f t="shared" si="18"/>
        <v>0</v>
      </c>
      <c r="G190" s="18"/>
      <c r="H190" s="40">
        <v>185</v>
      </c>
      <c r="I190" s="41" t="str">
        <f t="shared" si="14"/>
        <v/>
      </c>
      <c r="J190" s="40">
        <f t="shared" si="19"/>
        <v>-6</v>
      </c>
      <c r="K190" s="40">
        <f t="shared" si="15"/>
        <v>-60</v>
      </c>
      <c r="L190" s="40"/>
      <c r="M190" s="42">
        <f t="shared" si="16"/>
        <v>0</v>
      </c>
      <c r="N190" s="42">
        <f t="shared" si="17"/>
        <v>0</v>
      </c>
    </row>
    <row r="191" spans="1:14" x14ac:dyDescent="0.25">
      <c r="A191" s="61">
        <f t="shared" si="18"/>
        <v>0</v>
      </c>
      <c r="G191" s="18"/>
      <c r="H191" s="40">
        <v>186</v>
      </c>
      <c r="I191" s="41" t="str">
        <f t="shared" si="14"/>
        <v/>
      </c>
      <c r="J191" s="40">
        <f t="shared" si="19"/>
        <v>-6</v>
      </c>
      <c r="K191" s="40">
        <f t="shared" si="15"/>
        <v>-60</v>
      </c>
      <c r="L191" s="40"/>
      <c r="M191" s="42">
        <f t="shared" si="16"/>
        <v>0</v>
      </c>
      <c r="N191" s="42">
        <f t="shared" si="17"/>
        <v>0</v>
      </c>
    </row>
    <row r="192" spans="1:14" x14ac:dyDescent="0.25">
      <c r="A192" s="61">
        <f t="shared" si="18"/>
        <v>0</v>
      </c>
      <c r="G192" s="18"/>
      <c r="H192" s="40">
        <v>187</v>
      </c>
      <c r="I192" s="41" t="str">
        <f t="shared" si="14"/>
        <v/>
      </c>
      <c r="J192" s="40">
        <f t="shared" si="19"/>
        <v>-6</v>
      </c>
      <c r="K192" s="40">
        <f t="shared" si="15"/>
        <v>-60</v>
      </c>
      <c r="L192" s="40"/>
      <c r="M192" s="42">
        <f t="shared" si="16"/>
        <v>0</v>
      </c>
      <c r="N192" s="42">
        <f t="shared" si="17"/>
        <v>0</v>
      </c>
    </row>
    <row r="193" spans="1:14" x14ac:dyDescent="0.25">
      <c r="A193" s="61">
        <f t="shared" si="18"/>
        <v>0</v>
      </c>
      <c r="G193" s="18"/>
      <c r="H193" s="40">
        <v>188</v>
      </c>
      <c r="I193" s="41" t="str">
        <f t="shared" si="14"/>
        <v/>
      </c>
      <c r="J193" s="40">
        <f t="shared" si="19"/>
        <v>-6</v>
      </c>
      <c r="K193" s="40">
        <f t="shared" si="15"/>
        <v>-60</v>
      </c>
      <c r="L193" s="40"/>
      <c r="M193" s="42">
        <f t="shared" si="16"/>
        <v>0</v>
      </c>
      <c r="N193" s="42">
        <f t="shared" si="17"/>
        <v>0</v>
      </c>
    </row>
    <row r="194" spans="1:14" x14ac:dyDescent="0.25">
      <c r="A194" s="61">
        <f t="shared" si="18"/>
        <v>0</v>
      </c>
      <c r="G194" s="18"/>
      <c r="H194" s="40">
        <v>189</v>
      </c>
      <c r="I194" s="41" t="str">
        <f t="shared" si="14"/>
        <v/>
      </c>
      <c r="J194" s="40">
        <f t="shared" si="19"/>
        <v>-6</v>
      </c>
      <c r="K194" s="40">
        <f t="shared" si="15"/>
        <v>-60</v>
      </c>
      <c r="L194" s="40"/>
      <c r="M194" s="42">
        <f t="shared" si="16"/>
        <v>0</v>
      </c>
      <c r="N194" s="42">
        <f t="shared" si="17"/>
        <v>0</v>
      </c>
    </row>
    <row r="195" spans="1:14" x14ac:dyDescent="0.25">
      <c r="A195" s="61">
        <f t="shared" si="18"/>
        <v>0</v>
      </c>
      <c r="G195" s="18"/>
      <c r="H195" s="40">
        <v>190</v>
      </c>
      <c r="I195" s="41" t="str">
        <f t="shared" si="14"/>
        <v/>
      </c>
      <c r="J195" s="40">
        <f t="shared" si="19"/>
        <v>-6</v>
      </c>
      <c r="K195" s="40">
        <f t="shared" si="15"/>
        <v>-60</v>
      </c>
      <c r="L195" s="40"/>
      <c r="M195" s="42">
        <f t="shared" si="16"/>
        <v>0</v>
      </c>
      <c r="N195" s="42">
        <f t="shared" si="17"/>
        <v>0</v>
      </c>
    </row>
    <row r="196" spans="1:14" x14ac:dyDescent="0.25">
      <c r="A196" s="61">
        <f t="shared" si="18"/>
        <v>0</v>
      </c>
      <c r="G196" s="18"/>
      <c r="H196" s="40">
        <v>191</v>
      </c>
      <c r="I196" s="41" t="str">
        <f t="shared" si="14"/>
        <v/>
      </c>
      <c r="J196" s="40">
        <f t="shared" si="19"/>
        <v>-6</v>
      </c>
      <c r="K196" s="40">
        <f t="shared" si="15"/>
        <v>-60</v>
      </c>
      <c r="L196" s="40"/>
      <c r="M196" s="42">
        <f t="shared" si="16"/>
        <v>0</v>
      </c>
      <c r="N196" s="42">
        <f t="shared" si="17"/>
        <v>0</v>
      </c>
    </row>
    <row r="197" spans="1:14" x14ac:dyDescent="0.25">
      <c r="A197" s="61">
        <f t="shared" si="18"/>
        <v>0</v>
      </c>
      <c r="G197" s="18"/>
      <c r="H197" s="40">
        <v>192</v>
      </c>
      <c r="I197" s="41" t="str">
        <f t="shared" si="14"/>
        <v/>
      </c>
      <c r="J197" s="40">
        <f t="shared" si="19"/>
        <v>-6</v>
      </c>
      <c r="K197" s="40">
        <f t="shared" si="15"/>
        <v>-60</v>
      </c>
      <c r="L197" s="40"/>
      <c r="M197" s="42">
        <f t="shared" si="16"/>
        <v>0</v>
      </c>
      <c r="N197" s="42">
        <f t="shared" si="17"/>
        <v>0</v>
      </c>
    </row>
    <row r="198" spans="1:14" x14ac:dyDescent="0.25">
      <c r="A198" s="61">
        <f t="shared" si="18"/>
        <v>0</v>
      </c>
      <c r="G198" s="18"/>
      <c r="H198" s="40">
        <v>193</v>
      </c>
      <c r="I198" s="41" t="str">
        <f t="shared" ref="I198:I261" si="20">IF(H198&lt;$H$2+1,($I$2-($I$2-1)*(LOG(H198)/LOG($H$2))),"")</f>
        <v/>
      </c>
      <c r="J198" s="40">
        <f t="shared" si="19"/>
        <v>-6</v>
      </c>
      <c r="K198" s="40">
        <f t="shared" ref="K198:K261" si="21">J198*$J$2</f>
        <v>-60</v>
      </c>
      <c r="L198" s="40"/>
      <c r="M198" s="42">
        <f t="shared" ref="M198:M261" si="22">IF(I198&lt;&gt;"",K198+I198+L198,0)</f>
        <v>0</v>
      </c>
      <c r="N198" s="42">
        <f t="shared" ref="N198:N261" si="23">IF(I198&lt;&gt;"",M198*L$2,0)</f>
        <v>0</v>
      </c>
    </row>
    <row r="199" spans="1:14" x14ac:dyDescent="0.25">
      <c r="A199" s="61">
        <f t="shared" ref="A199:A262" si="24">N199</f>
        <v>0</v>
      </c>
      <c r="G199" s="18"/>
      <c r="H199" s="40">
        <v>194</v>
      </c>
      <c r="I199" s="41" t="str">
        <f t="shared" si="20"/>
        <v/>
      </c>
      <c r="J199" s="40">
        <f t="shared" ref="J199:J262" si="25">INT(LOG($H$2,2))-ROUNDUP(LOG(H199,2),0)+IF(OR($H$2=1,$H$2=2,$H$2=4,$H$2=8,$H$2=16,$H$2=32,$H$2=64,$H$2=128,$H$2=256),0,1)</f>
        <v>-6</v>
      </c>
      <c r="K199" s="40">
        <f t="shared" si="21"/>
        <v>-60</v>
      </c>
      <c r="L199" s="40"/>
      <c r="M199" s="42">
        <f t="shared" si="22"/>
        <v>0</v>
      </c>
      <c r="N199" s="42">
        <f t="shared" si="23"/>
        <v>0</v>
      </c>
    </row>
    <row r="200" spans="1:14" x14ac:dyDescent="0.25">
      <c r="A200" s="61">
        <f t="shared" si="24"/>
        <v>0</v>
      </c>
      <c r="G200" s="18"/>
      <c r="H200" s="40">
        <v>195</v>
      </c>
      <c r="I200" s="41" t="str">
        <f t="shared" si="20"/>
        <v/>
      </c>
      <c r="J200" s="40">
        <f t="shared" si="25"/>
        <v>-6</v>
      </c>
      <c r="K200" s="40">
        <f t="shared" si="21"/>
        <v>-60</v>
      </c>
      <c r="L200" s="40"/>
      <c r="M200" s="42">
        <f t="shared" si="22"/>
        <v>0</v>
      </c>
      <c r="N200" s="42">
        <f t="shared" si="23"/>
        <v>0</v>
      </c>
    </row>
    <row r="201" spans="1:14" x14ac:dyDescent="0.25">
      <c r="A201" s="61">
        <f t="shared" si="24"/>
        <v>0</v>
      </c>
      <c r="G201" s="18"/>
      <c r="H201" s="40">
        <v>196</v>
      </c>
      <c r="I201" s="41" t="str">
        <f t="shared" si="20"/>
        <v/>
      </c>
      <c r="J201" s="40">
        <f t="shared" si="25"/>
        <v>-6</v>
      </c>
      <c r="K201" s="40">
        <f t="shared" si="21"/>
        <v>-60</v>
      </c>
      <c r="L201" s="40"/>
      <c r="M201" s="42">
        <f t="shared" si="22"/>
        <v>0</v>
      </c>
      <c r="N201" s="42">
        <f t="shared" si="23"/>
        <v>0</v>
      </c>
    </row>
    <row r="202" spans="1:14" x14ac:dyDescent="0.25">
      <c r="A202" s="61">
        <f t="shared" si="24"/>
        <v>0</v>
      </c>
      <c r="G202" s="18"/>
      <c r="H202" s="40">
        <v>197</v>
      </c>
      <c r="I202" s="41" t="str">
        <f t="shared" si="20"/>
        <v/>
      </c>
      <c r="J202" s="40">
        <f t="shared" si="25"/>
        <v>-6</v>
      </c>
      <c r="K202" s="40">
        <f t="shared" si="21"/>
        <v>-60</v>
      </c>
      <c r="L202" s="40"/>
      <c r="M202" s="42">
        <f t="shared" si="22"/>
        <v>0</v>
      </c>
      <c r="N202" s="42">
        <f t="shared" si="23"/>
        <v>0</v>
      </c>
    </row>
    <row r="203" spans="1:14" x14ac:dyDescent="0.25">
      <c r="A203" s="61">
        <f t="shared" si="24"/>
        <v>0</v>
      </c>
      <c r="G203" s="18"/>
      <c r="H203" s="40">
        <v>198</v>
      </c>
      <c r="I203" s="41" t="str">
        <f t="shared" si="20"/>
        <v/>
      </c>
      <c r="J203" s="40">
        <f t="shared" si="25"/>
        <v>-6</v>
      </c>
      <c r="K203" s="40">
        <f t="shared" si="21"/>
        <v>-60</v>
      </c>
      <c r="L203" s="40"/>
      <c r="M203" s="42">
        <f t="shared" si="22"/>
        <v>0</v>
      </c>
      <c r="N203" s="42">
        <f t="shared" si="23"/>
        <v>0</v>
      </c>
    </row>
    <row r="204" spans="1:14" x14ac:dyDescent="0.25">
      <c r="A204" s="61">
        <f t="shared" si="24"/>
        <v>0</v>
      </c>
      <c r="G204" s="18"/>
      <c r="H204" s="40">
        <v>199</v>
      </c>
      <c r="I204" s="41" t="str">
        <f t="shared" si="20"/>
        <v/>
      </c>
      <c r="J204" s="40">
        <f t="shared" si="25"/>
        <v>-6</v>
      </c>
      <c r="K204" s="40">
        <f t="shared" si="21"/>
        <v>-60</v>
      </c>
      <c r="L204" s="40"/>
      <c r="M204" s="42">
        <f t="shared" si="22"/>
        <v>0</v>
      </c>
      <c r="N204" s="42">
        <f t="shared" si="23"/>
        <v>0</v>
      </c>
    </row>
    <row r="205" spans="1:14" x14ac:dyDescent="0.25">
      <c r="A205" s="61">
        <f t="shared" si="24"/>
        <v>0</v>
      </c>
      <c r="G205" s="18"/>
      <c r="H205" s="40">
        <v>200</v>
      </c>
      <c r="I205" s="41" t="str">
        <f t="shared" si="20"/>
        <v/>
      </c>
      <c r="J205" s="40">
        <f t="shared" si="25"/>
        <v>-6</v>
      </c>
      <c r="K205" s="40">
        <f t="shared" si="21"/>
        <v>-60</v>
      </c>
      <c r="L205" s="40"/>
      <c r="M205" s="42">
        <f t="shared" si="22"/>
        <v>0</v>
      </c>
      <c r="N205" s="42">
        <f t="shared" si="23"/>
        <v>0</v>
      </c>
    </row>
    <row r="206" spans="1:14" x14ac:dyDescent="0.25">
      <c r="A206" s="61">
        <f t="shared" si="24"/>
        <v>0</v>
      </c>
      <c r="G206" s="18"/>
      <c r="H206" s="40">
        <v>201</v>
      </c>
      <c r="I206" s="41" t="str">
        <f t="shared" si="20"/>
        <v/>
      </c>
      <c r="J206" s="40">
        <f t="shared" si="25"/>
        <v>-6</v>
      </c>
      <c r="K206" s="40">
        <f t="shared" si="21"/>
        <v>-60</v>
      </c>
      <c r="L206" s="40"/>
      <c r="M206" s="42">
        <f t="shared" si="22"/>
        <v>0</v>
      </c>
      <c r="N206" s="42">
        <f t="shared" si="23"/>
        <v>0</v>
      </c>
    </row>
    <row r="207" spans="1:14" x14ac:dyDescent="0.25">
      <c r="A207" s="61">
        <f t="shared" si="24"/>
        <v>0</v>
      </c>
      <c r="G207" s="18"/>
      <c r="H207" s="40">
        <v>202</v>
      </c>
      <c r="I207" s="41" t="str">
        <f t="shared" si="20"/>
        <v/>
      </c>
      <c r="J207" s="40">
        <f t="shared" si="25"/>
        <v>-6</v>
      </c>
      <c r="K207" s="40">
        <f t="shared" si="21"/>
        <v>-60</v>
      </c>
      <c r="L207" s="40"/>
      <c r="M207" s="42">
        <f t="shared" si="22"/>
        <v>0</v>
      </c>
      <c r="N207" s="42">
        <f t="shared" si="23"/>
        <v>0</v>
      </c>
    </row>
    <row r="208" spans="1:14" x14ac:dyDescent="0.25">
      <c r="A208" s="61">
        <f t="shared" si="24"/>
        <v>0</v>
      </c>
      <c r="G208" s="18"/>
      <c r="H208" s="40">
        <v>203</v>
      </c>
      <c r="I208" s="41" t="str">
        <f t="shared" si="20"/>
        <v/>
      </c>
      <c r="J208" s="40">
        <f t="shared" si="25"/>
        <v>-6</v>
      </c>
      <c r="K208" s="40">
        <f t="shared" si="21"/>
        <v>-60</v>
      </c>
      <c r="L208" s="40"/>
      <c r="M208" s="42">
        <f t="shared" si="22"/>
        <v>0</v>
      </c>
      <c r="N208" s="42">
        <f t="shared" si="23"/>
        <v>0</v>
      </c>
    </row>
    <row r="209" spans="1:14" x14ac:dyDescent="0.25">
      <c r="A209" s="61">
        <f t="shared" si="24"/>
        <v>0</v>
      </c>
      <c r="G209" s="18"/>
      <c r="H209" s="40">
        <v>204</v>
      </c>
      <c r="I209" s="41" t="str">
        <f t="shared" si="20"/>
        <v/>
      </c>
      <c r="J209" s="40">
        <f t="shared" si="25"/>
        <v>-6</v>
      </c>
      <c r="K209" s="40">
        <f t="shared" si="21"/>
        <v>-60</v>
      </c>
      <c r="L209" s="40"/>
      <c r="M209" s="42">
        <f t="shared" si="22"/>
        <v>0</v>
      </c>
      <c r="N209" s="42">
        <f t="shared" si="23"/>
        <v>0</v>
      </c>
    </row>
    <row r="210" spans="1:14" x14ac:dyDescent="0.25">
      <c r="A210" s="61">
        <f t="shared" si="24"/>
        <v>0</v>
      </c>
      <c r="G210" s="18"/>
      <c r="H210" s="40">
        <v>205</v>
      </c>
      <c r="I210" s="41" t="str">
        <f t="shared" si="20"/>
        <v/>
      </c>
      <c r="J210" s="40">
        <f t="shared" si="25"/>
        <v>-6</v>
      </c>
      <c r="K210" s="40">
        <f t="shared" si="21"/>
        <v>-60</v>
      </c>
      <c r="L210" s="40"/>
      <c r="M210" s="42">
        <f t="shared" si="22"/>
        <v>0</v>
      </c>
      <c r="N210" s="42">
        <f t="shared" si="23"/>
        <v>0</v>
      </c>
    </row>
    <row r="211" spans="1:14" x14ac:dyDescent="0.25">
      <c r="A211" s="61">
        <f t="shared" si="24"/>
        <v>0</v>
      </c>
      <c r="G211" s="18"/>
      <c r="H211" s="40">
        <v>206</v>
      </c>
      <c r="I211" s="41" t="str">
        <f t="shared" si="20"/>
        <v/>
      </c>
      <c r="J211" s="40">
        <f t="shared" si="25"/>
        <v>-6</v>
      </c>
      <c r="K211" s="40">
        <f t="shared" si="21"/>
        <v>-60</v>
      </c>
      <c r="L211" s="40"/>
      <c r="M211" s="42">
        <f t="shared" si="22"/>
        <v>0</v>
      </c>
      <c r="N211" s="42">
        <f t="shared" si="23"/>
        <v>0</v>
      </c>
    </row>
    <row r="212" spans="1:14" x14ac:dyDescent="0.25">
      <c r="A212" s="61">
        <f t="shared" si="24"/>
        <v>0</v>
      </c>
      <c r="G212" s="18"/>
      <c r="H212" s="40">
        <v>207</v>
      </c>
      <c r="I212" s="41" t="str">
        <f t="shared" si="20"/>
        <v/>
      </c>
      <c r="J212" s="40">
        <f t="shared" si="25"/>
        <v>-6</v>
      </c>
      <c r="K212" s="40">
        <f t="shared" si="21"/>
        <v>-60</v>
      </c>
      <c r="L212" s="40"/>
      <c r="M212" s="42">
        <f t="shared" si="22"/>
        <v>0</v>
      </c>
      <c r="N212" s="42">
        <f t="shared" si="23"/>
        <v>0</v>
      </c>
    </row>
    <row r="213" spans="1:14" x14ac:dyDescent="0.25">
      <c r="A213" s="61">
        <f t="shared" si="24"/>
        <v>0</v>
      </c>
      <c r="G213" s="18"/>
      <c r="H213" s="40">
        <v>208</v>
      </c>
      <c r="I213" s="41" t="str">
        <f t="shared" si="20"/>
        <v/>
      </c>
      <c r="J213" s="40">
        <f t="shared" si="25"/>
        <v>-6</v>
      </c>
      <c r="K213" s="40">
        <f t="shared" si="21"/>
        <v>-60</v>
      </c>
      <c r="L213" s="40"/>
      <c r="M213" s="42">
        <f t="shared" si="22"/>
        <v>0</v>
      </c>
      <c r="N213" s="42">
        <f t="shared" si="23"/>
        <v>0</v>
      </c>
    </row>
    <row r="214" spans="1:14" x14ac:dyDescent="0.25">
      <c r="A214" s="61">
        <f t="shared" si="24"/>
        <v>0</v>
      </c>
      <c r="G214" s="18"/>
      <c r="H214" s="40">
        <v>209</v>
      </c>
      <c r="I214" s="41" t="str">
        <f t="shared" si="20"/>
        <v/>
      </c>
      <c r="J214" s="40">
        <f t="shared" si="25"/>
        <v>-6</v>
      </c>
      <c r="K214" s="40">
        <f t="shared" si="21"/>
        <v>-60</v>
      </c>
      <c r="L214" s="40"/>
      <c r="M214" s="42">
        <f t="shared" si="22"/>
        <v>0</v>
      </c>
      <c r="N214" s="42">
        <f t="shared" si="23"/>
        <v>0</v>
      </c>
    </row>
    <row r="215" spans="1:14" x14ac:dyDescent="0.25">
      <c r="A215" s="61">
        <f t="shared" si="24"/>
        <v>0</v>
      </c>
      <c r="G215" s="18"/>
      <c r="H215" s="40">
        <v>210</v>
      </c>
      <c r="I215" s="41" t="str">
        <f t="shared" si="20"/>
        <v/>
      </c>
      <c r="J215" s="40">
        <f t="shared" si="25"/>
        <v>-6</v>
      </c>
      <c r="K215" s="40">
        <f t="shared" si="21"/>
        <v>-60</v>
      </c>
      <c r="L215" s="40"/>
      <c r="M215" s="42">
        <f t="shared" si="22"/>
        <v>0</v>
      </c>
      <c r="N215" s="42">
        <f t="shared" si="23"/>
        <v>0</v>
      </c>
    </row>
    <row r="216" spans="1:14" x14ac:dyDescent="0.25">
      <c r="A216" s="61">
        <f t="shared" si="24"/>
        <v>0</v>
      </c>
      <c r="G216" s="18"/>
      <c r="H216" s="40">
        <v>211</v>
      </c>
      <c r="I216" s="41" t="str">
        <f t="shared" si="20"/>
        <v/>
      </c>
      <c r="J216" s="40">
        <f t="shared" si="25"/>
        <v>-6</v>
      </c>
      <c r="K216" s="40">
        <f t="shared" si="21"/>
        <v>-60</v>
      </c>
      <c r="L216" s="40"/>
      <c r="M216" s="42">
        <f t="shared" si="22"/>
        <v>0</v>
      </c>
      <c r="N216" s="42">
        <f t="shared" si="23"/>
        <v>0</v>
      </c>
    </row>
    <row r="217" spans="1:14" x14ac:dyDescent="0.25">
      <c r="A217" s="61">
        <f t="shared" si="24"/>
        <v>0</v>
      </c>
      <c r="G217" s="18"/>
      <c r="H217" s="40">
        <v>212</v>
      </c>
      <c r="I217" s="41" t="str">
        <f t="shared" si="20"/>
        <v/>
      </c>
      <c r="J217" s="40">
        <f t="shared" si="25"/>
        <v>-6</v>
      </c>
      <c r="K217" s="40">
        <f t="shared" si="21"/>
        <v>-60</v>
      </c>
      <c r="L217" s="40"/>
      <c r="M217" s="42">
        <f t="shared" si="22"/>
        <v>0</v>
      </c>
      <c r="N217" s="42">
        <f t="shared" si="23"/>
        <v>0</v>
      </c>
    </row>
    <row r="218" spans="1:14" x14ac:dyDescent="0.25">
      <c r="A218" s="61">
        <f t="shared" si="24"/>
        <v>0</v>
      </c>
      <c r="G218" s="18"/>
      <c r="H218" s="40">
        <v>213</v>
      </c>
      <c r="I218" s="41" t="str">
        <f t="shared" si="20"/>
        <v/>
      </c>
      <c r="J218" s="40">
        <f t="shared" si="25"/>
        <v>-6</v>
      </c>
      <c r="K218" s="40">
        <f t="shared" si="21"/>
        <v>-60</v>
      </c>
      <c r="L218" s="40"/>
      <c r="M218" s="42">
        <f t="shared" si="22"/>
        <v>0</v>
      </c>
      <c r="N218" s="42">
        <f t="shared" si="23"/>
        <v>0</v>
      </c>
    </row>
    <row r="219" spans="1:14" x14ac:dyDescent="0.25">
      <c r="A219" s="61">
        <f t="shared" si="24"/>
        <v>0</v>
      </c>
      <c r="G219" s="18"/>
      <c r="H219" s="40">
        <v>214</v>
      </c>
      <c r="I219" s="41" t="str">
        <f t="shared" si="20"/>
        <v/>
      </c>
      <c r="J219" s="40">
        <f t="shared" si="25"/>
        <v>-6</v>
      </c>
      <c r="K219" s="40">
        <f t="shared" si="21"/>
        <v>-60</v>
      </c>
      <c r="L219" s="40"/>
      <c r="M219" s="42">
        <f t="shared" si="22"/>
        <v>0</v>
      </c>
      <c r="N219" s="42">
        <f t="shared" si="23"/>
        <v>0</v>
      </c>
    </row>
    <row r="220" spans="1:14" x14ac:dyDescent="0.25">
      <c r="A220" s="61">
        <f t="shared" si="24"/>
        <v>0</v>
      </c>
      <c r="G220" s="18"/>
      <c r="H220" s="40">
        <v>215</v>
      </c>
      <c r="I220" s="41" t="str">
        <f t="shared" si="20"/>
        <v/>
      </c>
      <c r="J220" s="40">
        <f t="shared" si="25"/>
        <v>-6</v>
      </c>
      <c r="K220" s="40">
        <f t="shared" si="21"/>
        <v>-60</v>
      </c>
      <c r="L220" s="40"/>
      <c r="M220" s="42">
        <f t="shared" si="22"/>
        <v>0</v>
      </c>
      <c r="N220" s="42">
        <f t="shared" si="23"/>
        <v>0</v>
      </c>
    </row>
    <row r="221" spans="1:14" x14ac:dyDescent="0.25">
      <c r="A221" s="61">
        <f t="shared" si="24"/>
        <v>0</v>
      </c>
      <c r="G221" s="18"/>
      <c r="H221" s="40">
        <v>216</v>
      </c>
      <c r="I221" s="41" t="str">
        <f t="shared" si="20"/>
        <v/>
      </c>
      <c r="J221" s="40">
        <f t="shared" si="25"/>
        <v>-6</v>
      </c>
      <c r="K221" s="40">
        <f t="shared" si="21"/>
        <v>-60</v>
      </c>
      <c r="L221" s="40"/>
      <c r="M221" s="42">
        <f t="shared" si="22"/>
        <v>0</v>
      </c>
      <c r="N221" s="42">
        <f t="shared" si="23"/>
        <v>0</v>
      </c>
    </row>
    <row r="222" spans="1:14" x14ac:dyDescent="0.25">
      <c r="A222" s="61">
        <f t="shared" si="24"/>
        <v>0</v>
      </c>
      <c r="G222" s="18"/>
      <c r="H222" s="40">
        <v>217</v>
      </c>
      <c r="I222" s="41" t="str">
        <f t="shared" si="20"/>
        <v/>
      </c>
      <c r="J222" s="40">
        <f t="shared" si="25"/>
        <v>-6</v>
      </c>
      <c r="K222" s="40">
        <f t="shared" si="21"/>
        <v>-60</v>
      </c>
      <c r="L222" s="40"/>
      <c r="M222" s="42">
        <f t="shared" si="22"/>
        <v>0</v>
      </c>
      <c r="N222" s="42">
        <f t="shared" si="23"/>
        <v>0</v>
      </c>
    </row>
    <row r="223" spans="1:14" x14ac:dyDescent="0.25">
      <c r="A223" s="61">
        <f t="shared" si="24"/>
        <v>0</v>
      </c>
      <c r="G223" s="18"/>
      <c r="H223" s="40">
        <v>218</v>
      </c>
      <c r="I223" s="41" t="str">
        <f t="shared" si="20"/>
        <v/>
      </c>
      <c r="J223" s="40">
        <f t="shared" si="25"/>
        <v>-6</v>
      </c>
      <c r="K223" s="40">
        <f t="shared" si="21"/>
        <v>-60</v>
      </c>
      <c r="L223" s="40"/>
      <c r="M223" s="42">
        <f t="shared" si="22"/>
        <v>0</v>
      </c>
      <c r="N223" s="42">
        <f t="shared" si="23"/>
        <v>0</v>
      </c>
    </row>
    <row r="224" spans="1:14" x14ac:dyDescent="0.25">
      <c r="A224" s="61">
        <f t="shared" si="24"/>
        <v>0</v>
      </c>
      <c r="G224" s="18"/>
      <c r="H224" s="40">
        <v>219</v>
      </c>
      <c r="I224" s="41" t="str">
        <f t="shared" si="20"/>
        <v/>
      </c>
      <c r="J224" s="40">
        <f t="shared" si="25"/>
        <v>-6</v>
      </c>
      <c r="K224" s="40">
        <f t="shared" si="21"/>
        <v>-60</v>
      </c>
      <c r="L224" s="40"/>
      <c r="M224" s="42">
        <f t="shared" si="22"/>
        <v>0</v>
      </c>
      <c r="N224" s="42">
        <f t="shared" si="23"/>
        <v>0</v>
      </c>
    </row>
    <row r="225" spans="1:14" x14ac:dyDescent="0.25">
      <c r="A225" s="61">
        <f t="shared" si="24"/>
        <v>0</v>
      </c>
      <c r="G225" s="18"/>
      <c r="H225" s="40">
        <v>220</v>
      </c>
      <c r="I225" s="41" t="str">
        <f t="shared" si="20"/>
        <v/>
      </c>
      <c r="J225" s="40">
        <f t="shared" si="25"/>
        <v>-6</v>
      </c>
      <c r="K225" s="40">
        <f t="shared" si="21"/>
        <v>-60</v>
      </c>
      <c r="L225" s="40"/>
      <c r="M225" s="42">
        <f t="shared" si="22"/>
        <v>0</v>
      </c>
      <c r="N225" s="42">
        <f t="shared" si="23"/>
        <v>0</v>
      </c>
    </row>
    <row r="226" spans="1:14" x14ac:dyDescent="0.25">
      <c r="A226" s="61">
        <f t="shared" si="24"/>
        <v>0</v>
      </c>
      <c r="G226" s="18"/>
      <c r="H226" s="40">
        <v>221</v>
      </c>
      <c r="I226" s="41" t="str">
        <f t="shared" si="20"/>
        <v/>
      </c>
      <c r="J226" s="40">
        <f t="shared" si="25"/>
        <v>-6</v>
      </c>
      <c r="K226" s="40">
        <f t="shared" si="21"/>
        <v>-60</v>
      </c>
      <c r="L226" s="40"/>
      <c r="M226" s="42">
        <f t="shared" si="22"/>
        <v>0</v>
      </c>
      <c r="N226" s="42">
        <f t="shared" si="23"/>
        <v>0</v>
      </c>
    </row>
    <row r="227" spans="1:14" x14ac:dyDescent="0.25">
      <c r="A227" s="61">
        <f t="shared" si="24"/>
        <v>0</v>
      </c>
      <c r="G227" s="18"/>
      <c r="H227" s="40">
        <v>222</v>
      </c>
      <c r="I227" s="41" t="str">
        <f t="shared" si="20"/>
        <v/>
      </c>
      <c r="J227" s="40">
        <f t="shared" si="25"/>
        <v>-6</v>
      </c>
      <c r="K227" s="40">
        <f t="shared" si="21"/>
        <v>-60</v>
      </c>
      <c r="L227" s="40"/>
      <c r="M227" s="42">
        <f t="shared" si="22"/>
        <v>0</v>
      </c>
      <c r="N227" s="42">
        <f t="shared" si="23"/>
        <v>0</v>
      </c>
    </row>
    <row r="228" spans="1:14" x14ac:dyDescent="0.25">
      <c r="A228" s="61">
        <f t="shared" si="24"/>
        <v>0</v>
      </c>
      <c r="G228" s="18"/>
      <c r="H228" s="40">
        <v>223</v>
      </c>
      <c r="I228" s="41" t="str">
        <f t="shared" si="20"/>
        <v/>
      </c>
      <c r="J228" s="40">
        <f t="shared" si="25"/>
        <v>-6</v>
      </c>
      <c r="K228" s="40">
        <f t="shared" si="21"/>
        <v>-60</v>
      </c>
      <c r="L228" s="40"/>
      <c r="M228" s="42">
        <f t="shared" si="22"/>
        <v>0</v>
      </c>
      <c r="N228" s="42">
        <f t="shared" si="23"/>
        <v>0</v>
      </c>
    </row>
    <row r="229" spans="1:14" x14ac:dyDescent="0.25">
      <c r="A229" s="61">
        <f t="shared" si="24"/>
        <v>0</v>
      </c>
      <c r="G229" s="18"/>
      <c r="H229" s="40">
        <v>224</v>
      </c>
      <c r="I229" s="41" t="str">
        <f t="shared" si="20"/>
        <v/>
      </c>
      <c r="J229" s="40">
        <f t="shared" si="25"/>
        <v>-6</v>
      </c>
      <c r="K229" s="40">
        <f t="shared" si="21"/>
        <v>-60</v>
      </c>
      <c r="L229" s="40"/>
      <c r="M229" s="42">
        <f t="shared" si="22"/>
        <v>0</v>
      </c>
      <c r="N229" s="42">
        <f t="shared" si="23"/>
        <v>0</v>
      </c>
    </row>
    <row r="230" spans="1:14" x14ac:dyDescent="0.25">
      <c r="A230" s="61">
        <f t="shared" si="24"/>
        <v>0</v>
      </c>
      <c r="G230" s="18"/>
      <c r="H230" s="40">
        <v>225</v>
      </c>
      <c r="I230" s="41" t="str">
        <f t="shared" si="20"/>
        <v/>
      </c>
      <c r="J230" s="40">
        <f t="shared" si="25"/>
        <v>-6</v>
      </c>
      <c r="K230" s="40">
        <f t="shared" si="21"/>
        <v>-60</v>
      </c>
      <c r="L230" s="40"/>
      <c r="M230" s="42">
        <f t="shared" si="22"/>
        <v>0</v>
      </c>
      <c r="N230" s="42">
        <f t="shared" si="23"/>
        <v>0</v>
      </c>
    </row>
    <row r="231" spans="1:14" x14ac:dyDescent="0.25">
      <c r="A231" s="61">
        <f t="shared" si="24"/>
        <v>0</v>
      </c>
      <c r="G231" s="18"/>
      <c r="H231" s="40">
        <v>226</v>
      </c>
      <c r="I231" s="41" t="str">
        <f t="shared" si="20"/>
        <v/>
      </c>
      <c r="J231" s="40">
        <f t="shared" si="25"/>
        <v>-6</v>
      </c>
      <c r="K231" s="40">
        <f t="shared" si="21"/>
        <v>-60</v>
      </c>
      <c r="L231" s="40"/>
      <c r="M231" s="42">
        <f t="shared" si="22"/>
        <v>0</v>
      </c>
      <c r="N231" s="42">
        <f t="shared" si="23"/>
        <v>0</v>
      </c>
    </row>
    <row r="232" spans="1:14" x14ac:dyDescent="0.25">
      <c r="A232" s="61">
        <f t="shared" si="24"/>
        <v>0</v>
      </c>
      <c r="G232" s="18"/>
      <c r="H232" s="40">
        <v>227</v>
      </c>
      <c r="I232" s="41" t="str">
        <f t="shared" si="20"/>
        <v/>
      </c>
      <c r="J232" s="40">
        <f t="shared" si="25"/>
        <v>-6</v>
      </c>
      <c r="K232" s="40">
        <f t="shared" si="21"/>
        <v>-60</v>
      </c>
      <c r="L232" s="40"/>
      <c r="M232" s="42">
        <f t="shared" si="22"/>
        <v>0</v>
      </c>
      <c r="N232" s="42">
        <f t="shared" si="23"/>
        <v>0</v>
      </c>
    </row>
    <row r="233" spans="1:14" x14ac:dyDescent="0.25">
      <c r="A233" s="61">
        <f t="shared" si="24"/>
        <v>0</v>
      </c>
      <c r="G233" s="18"/>
      <c r="H233" s="40">
        <v>228</v>
      </c>
      <c r="I233" s="41" t="str">
        <f t="shared" si="20"/>
        <v/>
      </c>
      <c r="J233" s="40">
        <f t="shared" si="25"/>
        <v>-6</v>
      </c>
      <c r="K233" s="40">
        <f t="shared" si="21"/>
        <v>-60</v>
      </c>
      <c r="L233" s="40"/>
      <c r="M233" s="42">
        <f t="shared" si="22"/>
        <v>0</v>
      </c>
      <c r="N233" s="42">
        <f t="shared" si="23"/>
        <v>0</v>
      </c>
    </row>
    <row r="234" spans="1:14" x14ac:dyDescent="0.25">
      <c r="A234" s="61">
        <f t="shared" si="24"/>
        <v>0</v>
      </c>
      <c r="G234" s="18"/>
      <c r="H234" s="40">
        <v>229</v>
      </c>
      <c r="I234" s="41" t="str">
        <f t="shared" si="20"/>
        <v/>
      </c>
      <c r="J234" s="40">
        <f t="shared" si="25"/>
        <v>-6</v>
      </c>
      <c r="K234" s="40">
        <f t="shared" si="21"/>
        <v>-60</v>
      </c>
      <c r="L234" s="40"/>
      <c r="M234" s="42">
        <f t="shared" si="22"/>
        <v>0</v>
      </c>
      <c r="N234" s="42">
        <f t="shared" si="23"/>
        <v>0</v>
      </c>
    </row>
    <row r="235" spans="1:14" x14ac:dyDescent="0.25">
      <c r="A235" s="61">
        <f t="shared" si="24"/>
        <v>0</v>
      </c>
      <c r="G235" s="18"/>
      <c r="H235" s="40">
        <v>230</v>
      </c>
      <c r="I235" s="41" t="str">
        <f t="shared" si="20"/>
        <v/>
      </c>
      <c r="J235" s="40">
        <f t="shared" si="25"/>
        <v>-6</v>
      </c>
      <c r="K235" s="40">
        <f t="shared" si="21"/>
        <v>-60</v>
      </c>
      <c r="L235" s="40"/>
      <c r="M235" s="42">
        <f t="shared" si="22"/>
        <v>0</v>
      </c>
      <c r="N235" s="42">
        <f t="shared" si="23"/>
        <v>0</v>
      </c>
    </row>
    <row r="236" spans="1:14" x14ac:dyDescent="0.25">
      <c r="A236" s="61">
        <f t="shared" si="24"/>
        <v>0</v>
      </c>
      <c r="G236" s="18"/>
      <c r="H236" s="40">
        <v>231</v>
      </c>
      <c r="I236" s="41" t="str">
        <f t="shared" si="20"/>
        <v/>
      </c>
      <c r="J236" s="40">
        <f t="shared" si="25"/>
        <v>-6</v>
      </c>
      <c r="K236" s="40">
        <f t="shared" si="21"/>
        <v>-60</v>
      </c>
      <c r="L236" s="40"/>
      <c r="M236" s="42">
        <f t="shared" si="22"/>
        <v>0</v>
      </c>
      <c r="N236" s="42">
        <f t="shared" si="23"/>
        <v>0</v>
      </c>
    </row>
    <row r="237" spans="1:14" x14ac:dyDescent="0.25">
      <c r="A237" s="61">
        <f t="shared" si="24"/>
        <v>0</v>
      </c>
      <c r="G237" s="18"/>
      <c r="H237" s="40">
        <v>232</v>
      </c>
      <c r="I237" s="41" t="str">
        <f t="shared" si="20"/>
        <v/>
      </c>
      <c r="J237" s="40">
        <f t="shared" si="25"/>
        <v>-6</v>
      </c>
      <c r="K237" s="40">
        <f t="shared" si="21"/>
        <v>-60</v>
      </c>
      <c r="L237" s="40"/>
      <c r="M237" s="42">
        <f t="shared" si="22"/>
        <v>0</v>
      </c>
      <c r="N237" s="42">
        <f t="shared" si="23"/>
        <v>0</v>
      </c>
    </row>
    <row r="238" spans="1:14" x14ac:dyDescent="0.25">
      <c r="A238" s="61">
        <f t="shared" si="24"/>
        <v>0</v>
      </c>
      <c r="G238" s="18"/>
      <c r="H238" s="40">
        <v>233</v>
      </c>
      <c r="I238" s="41" t="str">
        <f t="shared" si="20"/>
        <v/>
      </c>
      <c r="J238" s="40">
        <f t="shared" si="25"/>
        <v>-6</v>
      </c>
      <c r="K238" s="40">
        <f t="shared" si="21"/>
        <v>-60</v>
      </c>
      <c r="L238" s="40"/>
      <c r="M238" s="42">
        <f t="shared" si="22"/>
        <v>0</v>
      </c>
      <c r="N238" s="42">
        <f t="shared" si="23"/>
        <v>0</v>
      </c>
    </row>
    <row r="239" spans="1:14" x14ac:dyDescent="0.25">
      <c r="A239" s="61">
        <f t="shared" si="24"/>
        <v>0</v>
      </c>
      <c r="G239" s="18"/>
      <c r="H239" s="40">
        <v>234</v>
      </c>
      <c r="I239" s="41" t="str">
        <f t="shared" si="20"/>
        <v/>
      </c>
      <c r="J239" s="40">
        <f t="shared" si="25"/>
        <v>-6</v>
      </c>
      <c r="K239" s="40">
        <f t="shared" si="21"/>
        <v>-60</v>
      </c>
      <c r="L239" s="40"/>
      <c r="M239" s="42">
        <f t="shared" si="22"/>
        <v>0</v>
      </c>
      <c r="N239" s="42">
        <f t="shared" si="23"/>
        <v>0</v>
      </c>
    </row>
    <row r="240" spans="1:14" x14ac:dyDescent="0.25">
      <c r="A240" s="61">
        <f t="shared" si="24"/>
        <v>0</v>
      </c>
      <c r="G240" s="18"/>
      <c r="H240" s="40">
        <v>235</v>
      </c>
      <c r="I240" s="41" t="str">
        <f t="shared" si="20"/>
        <v/>
      </c>
      <c r="J240" s="40">
        <f t="shared" si="25"/>
        <v>-6</v>
      </c>
      <c r="K240" s="40">
        <f t="shared" si="21"/>
        <v>-60</v>
      </c>
      <c r="L240" s="40"/>
      <c r="M240" s="42">
        <f t="shared" si="22"/>
        <v>0</v>
      </c>
      <c r="N240" s="42">
        <f t="shared" si="23"/>
        <v>0</v>
      </c>
    </row>
    <row r="241" spans="1:14" x14ac:dyDescent="0.25">
      <c r="A241" s="61">
        <f t="shared" si="24"/>
        <v>0</v>
      </c>
      <c r="G241" s="18"/>
      <c r="H241" s="40">
        <v>236</v>
      </c>
      <c r="I241" s="41" t="str">
        <f t="shared" si="20"/>
        <v/>
      </c>
      <c r="J241" s="40">
        <f t="shared" si="25"/>
        <v>-6</v>
      </c>
      <c r="K241" s="40">
        <f t="shared" si="21"/>
        <v>-60</v>
      </c>
      <c r="L241" s="40"/>
      <c r="M241" s="42">
        <f t="shared" si="22"/>
        <v>0</v>
      </c>
      <c r="N241" s="42">
        <f t="shared" si="23"/>
        <v>0</v>
      </c>
    </row>
    <row r="242" spans="1:14" x14ac:dyDescent="0.25">
      <c r="A242" s="61">
        <f t="shared" si="24"/>
        <v>0</v>
      </c>
      <c r="G242" s="18"/>
      <c r="H242" s="40">
        <v>237</v>
      </c>
      <c r="I242" s="41" t="str">
        <f t="shared" si="20"/>
        <v/>
      </c>
      <c r="J242" s="40">
        <f t="shared" si="25"/>
        <v>-6</v>
      </c>
      <c r="K242" s="40">
        <f t="shared" si="21"/>
        <v>-60</v>
      </c>
      <c r="L242" s="40"/>
      <c r="M242" s="42">
        <f t="shared" si="22"/>
        <v>0</v>
      </c>
      <c r="N242" s="42">
        <f t="shared" si="23"/>
        <v>0</v>
      </c>
    </row>
    <row r="243" spans="1:14" x14ac:dyDescent="0.25">
      <c r="A243" s="61">
        <f t="shared" si="24"/>
        <v>0</v>
      </c>
      <c r="G243" s="18"/>
      <c r="H243" s="40">
        <v>238</v>
      </c>
      <c r="I243" s="41" t="str">
        <f t="shared" si="20"/>
        <v/>
      </c>
      <c r="J243" s="40">
        <f t="shared" si="25"/>
        <v>-6</v>
      </c>
      <c r="K243" s="40">
        <f t="shared" si="21"/>
        <v>-60</v>
      </c>
      <c r="L243" s="40"/>
      <c r="M243" s="42">
        <f t="shared" si="22"/>
        <v>0</v>
      </c>
      <c r="N243" s="42">
        <f t="shared" si="23"/>
        <v>0</v>
      </c>
    </row>
    <row r="244" spans="1:14" x14ac:dyDescent="0.25">
      <c r="A244" s="61">
        <f t="shared" si="24"/>
        <v>0</v>
      </c>
      <c r="G244" s="18"/>
      <c r="H244" s="40">
        <v>239</v>
      </c>
      <c r="I244" s="41" t="str">
        <f t="shared" si="20"/>
        <v/>
      </c>
      <c r="J244" s="40">
        <f t="shared" si="25"/>
        <v>-6</v>
      </c>
      <c r="K244" s="40">
        <f t="shared" si="21"/>
        <v>-60</v>
      </c>
      <c r="L244" s="40"/>
      <c r="M244" s="42">
        <f t="shared" si="22"/>
        <v>0</v>
      </c>
      <c r="N244" s="42">
        <f t="shared" si="23"/>
        <v>0</v>
      </c>
    </row>
    <row r="245" spans="1:14" x14ac:dyDescent="0.25">
      <c r="A245" s="61">
        <f t="shared" si="24"/>
        <v>0</v>
      </c>
      <c r="G245" s="18"/>
      <c r="H245" s="40">
        <v>240</v>
      </c>
      <c r="I245" s="41" t="str">
        <f t="shared" si="20"/>
        <v/>
      </c>
      <c r="J245" s="40">
        <f t="shared" si="25"/>
        <v>-6</v>
      </c>
      <c r="K245" s="40">
        <f t="shared" si="21"/>
        <v>-60</v>
      </c>
      <c r="L245" s="40"/>
      <c r="M245" s="42">
        <f t="shared" si="22"/>
        <v>0</v>
      </c>
      <c r="N245" s="42">
        <f t="shared" si="23"/>
        <v>0</v>
      </c>
    </row>
    <row r="246" spans="1:14" x14ac:dyDescent="0.25">
      <c r="A246" s="61">
        <f t="shared" si="24"/>
        <v>0</v>
      </c>
      <c r="G246" s="18"/>
      <c r="H246" s="40">
        <v>241</v>
      </c>
      <c r="I246" s="41" t="str">
        <f t="shared" si="20"/>
        <v/>
      </c>
      <c r="J246" s="40">
        <f t="shared" si="25"/>
        <v>-6</v>
      </c>
      <c r="K246" s="40">
        <f t="shared" si="21"/>
        <v>-60</v>
      </c>
      <c r="L246" s="40"/>
      <c r="M246" s="42">
        <f t="shared" si="22"/>
        <v>0</v>
      </c>
      <c r="N246" s="42">
        <f t="shared" si="23"/>
        <v>0</v>
      </c>
    </row>
    <row r="247" spans="1:14" x14ac:dyDescent="0.25">
      <c r="A247" s="61">
        <f t="shared" si="24"/>
        <v>0</v>
      </c>
      <c r="G247" s="18"/>
      <c r="H247" s="40">
        <v>242</v>
      </c>
      <c r="I247" s="41" t="str">
        <f t="shared" si="20"/>
        <v/>
      </c>
      <c r="J247" s="40">
        <f t="shared" si="25"/>
        <v>-6</v>
      </c>
      <c r="K247" s="40">
        <f t="shared" si="21"/>
        <v>-60</v>
      </c>
      <c r="L247" s="40"/>
      <c r="M247" s="42">
        <f t="shared" si="22"/>
        <v>0</v>
      </c>
      <c r="N247" s="42">
        <f t="shared" si="23"/>
        <v>0</v>
      </c>
    </row>
    <row r="248" spans="1:14" x14ac:dyDescent="0.25">
      <c r="A248" s="61">
        <f t="shared" si="24"/>
        <v>0</v>
      </c>
      <c r="G248" s="18"/>
      <c r="H248" s="40">
        <v>243</v>
      </c>
      <c r="I248" s="41" t="str">
        <f t="shared" si="20"/>
        <v/>
      </c>
      <c r="J248" s="40">
        <f t="shared" si="25"/>
        <v>-6</v>
      </c>
      <c r="K248" s="40">
        <f t="shared" si="21"/>
        <v>-60</v>
      </c>
      <c r="L248" s="40"/>
      <c r="M248" s="42">
        <f t="shared" si="22"/>
        <v>0</v>
      </c>
      <c r="N248" s="42">
        <f t="shared" si="23"/>
        <v>0</v>
      </c>
    </row>
    <row r="249" spans="1:14" x14ac:dyDescent="0.25">
      <c r="A249" s="61">
        <f t="shared" si="24"/>
        <v>0</v>
      </c>
      <c r="G249" s="18"/>
      <c r="H249" s="40">
        <v>244</v>
      </c>
      <c r="I249" s="41" t="str">
        <f t="shared" si="20"/>
        <v/>
      </c>
      <c r="J249" s="40">
        <f t="shared" si="25"/>
        <v>-6</v>
      </c>
      <c r="K249" s="40">
        <f t="shared" si="21"/>
        <v>-60</v>
      </c>
      <c r="L249" s="40"/>
      <c r="M249" s="42">
        <f t="shared" si="22"/>
        <v>0</v>
      </c>
      <c r="N249" s="42">
        <f t="shared" si="23"/>
        <v>0</v>
      </c>
    </row>
    <row r="250" spans="1:14" x14ac:dyDescent="0.25">
      <c r="A250" s="61">
        <f t="shared" si="24"/>
        <v>0</v>
      </c>
      <c r="G250" s="18"/>
      <c r="H250" s="40">
        <v>245</v>
      </c>
      <c r="I250" s="41" t="str">
        <f t="shared" si="20"/>
        <v/>
      </c>
      <c r="J250" s="40">
        <f t="shared" si="25"/>
        <v>-6</v>
      </c>
      <c r="K250" s="40">
        <f t="shared" si="21"/>
        <v>-60</v>
      </c>
      <c r="L250" s="40"/>
      <c r="M250" s="42">
        <f t="shared" si="22"/>
        <v>0</v>
      </c>
      <c r="N250" s="42">
        <f t="shared" si="23"/>
        <v>0</v>
      </c>
    </row>
    <row r="251" spans="1:14" x14ac:dyDescent="0.25">
      <c r="A251" s="61">
        <f t="shared" si="24"/>
        <v>0</v>
      </c>
      <c r="G251" s="18"/>
      <c r="H251" s="40">
        <v>246</v>
      </c>
      <c r="I251" s="41" t="str">
        <f t="shared" si="20"/>
        <v/>
      </c>
      <c r="J251" s="40">
        <f t="shared" si="25"/>
        <v>-6</v>
      </c>
      <c r="K251" s="40">
        <f t="shared" si="21"/>
        <v>-60</v>
      </c>
      <c r="L251" s="40"/>
      <c r="M251" s="42">
        <f t="shared" si="22"/>
        <v>0</v>
      </c>
      <c r="N251" s="42">
        <f t="shared" si="23"/>
        <v>0</v>
      </c>
    </row>
    <row r="252" spans="1:14" x14ac:dyDescent="0.25">
      <c r="A252" s="61">
        <f t="shared" si="24"/>
        <v>0</v>
      </c>
      <c r="G252" s="18"/>
      <c r="H252" s="40">
        <v>247</v>
      </c>
      <c r="I252" s="41" t="str">
        <f t="shared" si="20"/>
        <v/>
      </c>
      <c r="J252" s="40">
        <f t="shared" si="25"/>
        <v>-6</v>
      </c>
      <c r="K252" s="40">
        <f t="shared" si="21"/>
        <v>-60</v>
      </c>
      <c r="L252" s="40"/>
      <c r="M252" s="42">
        <f t="shared" si="22"/>
        <v>0</v>
      </c>
      <c r="N252" s="42">
        <f t="shared" si="23"/>
        <v>0</v>
      </c>
    </row>
    <row r="253" spans="1:14" x14ac:dyDescent="0.25">
      <c r="A253" s="61">
        <f t="shared" si="24"/>
        <v>0</v>
      </c>
      <c r="G253" s="18"/>
      <c r="H253" s="40">
        <v>248</v>
      </c>
      <c r="I253" s="41" t="str">
        <f t="shared" si="20"/>
        <v/>
      </c>
      <c r="J253" s="40">
        <f t="shared" si="25"/>
        <v>-6</v>
      </c>
      <c r="K253" s="40">
        <f t="shared" si="21"/>
        <v>-60</v>
      </c>
      <c r="L253" s="40"/>
      <c r="M253" s="42">
        <f t="shared" si="22"/>
        <v>0</v>
      </c>
      <c r="N253" s="42">
        <f t="shared" si="23"/>
        <v>0</v>
      </c>
    </row>
    <row r="254" spans="1:14" x14ac:dyDescent="0.25">
      <c r="A254" s="61">
        <f t="shared" si="24"/>
        <v>0</v>
      </c>
      <c r="G254" s="18"/>
      <c r="H254" s="40">
        <v>249</v>
      </c>
      <c r="I254" s="41" t="str">
        <f t="shared" si="20"/>
        <v/>
      </c>
      <c r="J254" s="40">
        <f t="shared" si="25"/>
        <v>-6</v>
      </c>
      <c r="K254" s="40">
        <f t="shared" si="21"/>
        <v>-60</v>
      </c>
      <c r="L254" s="40"/>
      <c r="M254" s="42">
        <f t="shared" si="22"/>
        <v>0</v>
      </c>
      <c r="N254" s="42">
        <f t="shared" si="23"/>
        <v>0</v>
      </c>
    </row>
    <row r="255" spans="1:14" x14ac:dyDescent="0.25">
      <c r="A255" s="61">
        <f t="shared" si="24"/>
        <v>0</v>
      </c>
      <c r="G255" s="18"/>
      <c r="H255" s="40">
        <v>250</v>
      </c>
      <c r="I255" s="41" t="str">
        <f t="shared" si="20"/>
        <v/>
      </c>
      <c r="J255" s="40">
        <f t="shared" si="25"/>
        <v>-6</v>
      </c>
      <c r="K255" s="40">
        <f t="shared" si="21"/>
        <v>-60</v>
      </c>
      <c r="L255" s="40"/>
      <c r="M255" s="42">
        <f t="shared" si="22"/>
        <v>0</v>
      </c>
      <c r="N255" s="42">
        <f t="shared" si="23"/>
        <v>0</v>
      </c>
    </row>
    <row r="256" spans="1:14" x14ac:dyDescent="0.25">
      <c r="A256" s="61">
        <f t="shared" si="24"/>
        <v>0</v>
      </c>
      <c r="G256" s="18"/>
      <c r="H256" s="40">
        <v>251</v>
      </c>
      <c r="I256" s="41" t="str">
        <f t="shared" si="20"/>
        <v/>
      </c>
      <c r="J256" s="40">
        <f t="shared" si="25"/>
        <v>-6</v>
      </c>
      <c r="K256" s="40">
        <f t="shared" si="21"/>
        <v>-60</v>
      </c>
      <c r="L256" s="40"/>
      <c r="M256" s="42">
        <f t="shared" si="22"/>
        <v>0</v>
      </c>
      <c r="N256" s="42">
        <f t="shared" si="23"/>
        <v>0</v>
      </c>
    </row>
    <row r="257" spans="1:14" x14ac:dyDescent="0.25">
      <c r="A257" s="61">
        <f t="shared" si="24"/>
        <v>0</v>
      </c>
      <c r="G257" s="18"/>
      <c r="H257" s="40">
        <v>252</v>
      </c>
      <c r="I257" s="41" t="str">
        <f t="shared" si="20"/>
        <v/>
      </c>
      <c r="J257" s="40">
        <f t="shared" si="25"/>
        <v>-6</v>
      </c>
      <c r="K257" s="40">
        <f t="shared" si="21"/>
        <v>-60</v>
      </c>
      <c r="L257" s="40"/>
      <c r="M257" s="42">
        <f t="shared" si="22"/>
        <v>0</v>
      </c>
      <c r="N257" s="42">
        <f t="shared" si="23"/>
        <v>0</v>
      </c>
    </row>
    <row r="258" spans="1:14" x14ac:dyDescent="0.25">
      <c r="A258" s="61">
        <f t="shared" si="24"/>
        <v>0</v>
      </c>
      <c r="G258" s="18"/>
      <c r="H258" s="40">
        <v>253</v>
      </c>
      <c r="I258" s="41" t="str">
        <f t="shared" si="20"/>
        <v/>
      </c>
      <c r="J258" s="40">
        <f t="shared" si="25"/>
        <v>-6</v>
      </c>
      <c r="K258" s="40">
        <f t="shared" si="21"/>
        <v>-60</v>
      </c>
      <c r="L258" s="40"/>
      <c r="M258" s="42">
        <f t="shared" si="22"/>
        <v>0</v>
      </c>
      <c r="N258" s="42">
        <f t="shared" si="23"/>
        <v>0</v>
      </c>
    </row>
    <row r="259" spans="1:14" x14ac:dyDescent="0.25">
      <c r="A259" s="61">
        <f t="shared" si="24"/>
        <v>0</v>
      </c>
      <c r="G259" s="18"/>
      <c r="H259" s="40">
        <v>254</v>
      </c>
      <c r="I259" s="41" t="str">
        <f t="shared" si="20"/>
        <v/>
      </c>
      <c r="J259" s="40">
        <f t="shared" si="25"/>
        <v>-6</v>
      </c>
      <c r="K259" s="40">
        <f t="shared" si="21"/>
        <v>-60</v>
      </c>
      <c r="L259" s="40"/>
      <c r="M259" s="42">
        <f t="shared" si="22"/>
        <v>0</v>
      </c>
      <c r="N259" s="42">
        <f t="shared" si="23"/>
        <v>0</v>
      </c>
    </row>
    <row r="260" spans="1:14" x14ac:dyDescent="0.25">
      <c r="A260" s="61">
        <f t="shared" si="24"/>
        <v>0</v>
      </c>
      <c r="G260" s="18"/>
      <c r="H260" s="40">
        <v>255</v>
      </c>
      <c r="I260" s="41" t="str">
        <f t="shared" si="20"/>
        <v/>
      </c>
      <c r="J260" s="40">
        <f t="shared" si="25"/>
        <v>-6</v>
      </c>
      <c r="K260" s="40">
        <f t="shared" si="21"/>
        <v>-60</v>
      </c>
      <c r="L260" s="40"/>
      <c r="M260" s="42">
        <f t="shared" si="22"/>
        <v>0</v>
      </c>
      <c r="N260" s="42">
        <f t="shared" si="23"/>
        <v>0</v>
      </c>
    </row>
    <row r="261" spans="1:14" x14ac:dyDescent="0.25">
      <c r="A261" s="61">
        <f t="shared" si="24"/>
        <v>0</v>
      </c>
      <c r="G261" s="18"/>
      <c r="H261" s="40">
        <v>256</v>
      </c>
      <c r="I261" s="41" t="str">
        <f t="shared" si="20"/>
        <v/>
      </c>
      <c r="J261" s="40">
        <f t="shared" si="25"/>
        <v>-6</v>
      </c>
      <c r="K261" s="40">
        <f t="shared" si="21"/>
        <v>-60</v>
      </c>
      <c r="L261" s="40"/>
      <c r="M261" s="42">
        <f t="shared" si="22"/>
        <v>0</v>
      </c>
      <c r="N261" s="42">
        <f t="shared" si="23"/>
        <v>0</v>
      </c>
    </row>
    <row r="262" spans="1:14" x14ac:dyDescent="0.25">
      <c r="A262" s="61">
        <f t="shared" si="24"/>
        <v>0</v>
      </c>
      <c r="G262" s="18"/>
      <c r="H262" s="40">
        <v>257</v>
      </c>
      <c r="I262" s="41" t="str">
        <f t="shared" ref="I262:I305" si="26">IF(H262&lt;$H$2+1,($I$2-($I$2-1)*(LOG(H262)/LOG($H$2))),"")</f>
        <v/>
      </c>
      <c r="J262" s="40">
        <f t="shared" si="25"/>
        <v>-7</v>
      </c>
      <c r="K262" s="40">
        <f t="shared" ref="K262:K305" si="27">J262*$J$2</f>
        <v>-70</v>
      </c>
      <c r="L262" s="40"/>
      <c r="M262" s="42">
        <f t="shared" ref="M262:M305" si="28">IF(I262&lt;&gt;"",K262+I262+L262,0)</f>
        <v>0</v>
      </c>
      <c r="N262" s="42">
        <f t="shared" ref="N262:N305" si="29">IF(I262&lt;&gt;"",M262*L$2,0)</f>
        <v>0</v>
      </c>
    </row>
    <row r="263" spans="1:14" x14ac:dyDescent="0.25">
      <c r="A263" s="61">
        <f t="shared" ref="A263:A305" si="30">N263</f>
        <v>0</v>
      </c>
      <c r="G263" s="18"/>
      <c r="H263" s="40">
        <v>258</v>
      </c>
      <c r="I263" s="41" t="str">
        <f t="shared" si="26"/>
        <v/>
      </c>
      <c r="J263" s="40">
        <f t="shared" ref="J263:J305" si="31">INT(LOG($H$2,2))-ROUNDUP(LOG(H263,2),0)+IF(OR($H$2=1,$H$2=2,$H$2=4,$H$2=8,$H$2=16,$H$2=32,$H$2=64,$H$2=128,$H$2=256),0,1)</f>
        <v>-7</v>
      </c>
      <c r="K263" s="40">
        <f t="shared" si="27"/>
        <v>-70</v>
      </c>
      <c r="L263" s="40"/>
      <c r="M263" s="42">
        <f t="shared" si="28"/>
        <v>0</v>
      </c>
      <c r="N263" s="42">
        <f t="shared" si="29"/>
        <v>0</v>
      </c>
    </row>
    <row r="264" spans="1:14" x14ac:dyDescent="0.25">
      <c r="A264" s="61">
        <f t="shared" si="30"/>
        <v>0</v>
      </c>
      <c r="G264" s="18"/>
      <c r="H264" s="40">
        <v>259</v>
      </c>
      <c r="I264" s="41" t="str">
        <f t="shared" si="26"/>
        <v/>
      </c>
      <c r="J264" s="40">
        <f t="shared" si="31"/>
        <v>-7</v>
      </c>
      <c r="K264" s="40">
        <f t="shared" si="27"/>
        <v>-70</v>
      </c>
      <c r="L264" s="40"/>
      <c r="M264" s="42">
        <f t="shared" si="28"/>
        <v>0</v>
      </c>
      <c r="N264" s="42">
        <f t="shared" si="29"/>
        <v>0</v>
      </c>
    </row>
    <row r="265" spans="1:14" x14ac:dyDescent="0.25">
      <c r="A265" s="61">
        <f t="shared" si="30"/>
        <v>0</v>
      </c>
      <c r="G265" s="18"/>
      <c r="H265" s="40">
        <v>260</v>
      </c>
      <c r="I265" s="41" t="str">
        <f t="shared" si="26"/>
        <v/>
      </c>
      <c r="J265" s="40">
        <f t="shared" si="31"/>
        <v>-7</v>
      </c>
      <c r="K265" s="40">
        <f t="shared" si="27"/>
        <v>-70</v>
      </c>
      <c r="L265" s="40"/>
      <c r="M265" s="42">
        <f t="shared" si="28"/>
        <v>0</v>
      </c>
      <c r="N265" s="42">
        <f t="shared" si="29"/>
        <v>0</v>
      </c>
    </row>
    <row r="266" spans="1:14" x14ac:dyDescent="0.25">
      <c r="A266" s="61">
        <f t="shared" si="30"/>
        <v>0</v>
      </c>
      <c r="G266" s="18"/>
      <c r="H266" s="40">
        <v>261</v>
      </c>
      <c r="I266" s="41" t="str">
        <f t="shared" si="26"/>
        <v/>
      </c>
      <c r="J266" s="40">
        <f t="shared" si="31"/>
        <v>-7</v>
      </c>
      <c r="K266" s="40">
        <f t="shared" si="27"/>
        <v>-70</v>
      </c>
      <c r="L266" s="40"/>
      <c r="M266" s="42">
        <f t="shared" si="28"/>
        <v>0</v>
      </c>
      <c r="N266" s="42">
        <f t="shared" si="29"/>
        <v>0</v>
      </c>
    </row>
    <row r="267" spans="1:14" x14ac:dyDescent="0.25">
      <c r="A267" s="61">
        <f t="shared" si="30"/>
        <v>0</v>
      </c>
      <c r="G267" s="18"/>
      <c r="H267" s="40">
        <v>262</v>
      </c>
      <c r="I267" s="41" t="str">
        <f t="shared" si="26"/>
        <v/>
      </c>
      <c r="J267" s="40">
        <f t="shared" si="31"/>
        <v>-7</v>
      </c>
      <c r="K267" s="40">
        <f t="shared" si="27"/>
        <v>-70</v>
      </c>
      <c r="L267" s="40"/>
      <c r="M267" s="42">
        <f t="shared" si="28"/>
        <v>0</v>
      </c>
      <c r="N267" s="42">
        <f t="shared" si="29"/>
        <v>0</v>
      </c>
    </row>
    <row r="268" spans="1:14" x14ac:dyDescent="0.25">
      <c r="A268" s="61">
        <f t="shared" si="30"/>
        <v>0</v>
      </c>
      <c r="G268" s="18"/>
      <c r="H268" s="40">
        <v>263</v>
      </c>
      <c r="I268" s="41" t="str">
        <f t="shared" si="26"/>
        <v/>
      </c>
      <c r="J268" s="40">
        <f t="shared" si="31"/>
        <v>-7</v>
      </c>
      <c r="K268" s="40">
        <f t="shared" si="27"/>
        <v>-70</v>
      </c>
      <c r="L268" s="40"/>
      <c r="M268" s="42">
        <f t="shared" si="28"/>
        <v>0</v>
      </c>
      <c r="N268" s="42">
        <f t="shared" si="29"/>
        <v>0</v>
      </c>
    </row>
    <row r="269" spans="1:14" x14ac:dyDescent="0.25">
      <c r="A269" s="61">
        <f t="shared" si="30"/>
        <v>0</v>
      </c>
      <c r="G269" s="18"/>
      <c r="H269" s="40">
        <v>264</v>
      </c>
      <c r="I269" s="41" t="str">
        <f t="shared" si="26"/>
        <v/>
      </c>
      <c r="J269" s="40">
        <f t="shared" si="31"/>
        <v>-7</v>
      </c>
      <c r="K269" s="40">
        <f t="shared" si="27"/>
        <v>-70</v>
      </c>
      <c r="L269" s="40"/>
      <c r="M269" s="42">
        <f t="shared" si="28"/>
        <v>0</v>
      </c>
      <c r="N269" s="42">
        <f t="shared" si="29"/>
        <v>0</v>
      </c>
    </row>
    <row r="270" spans="1:14" x14ac:dyDescent="0.25">
      <c r="A270" s="61">
        <f t="shared" si="30"/>
        <v>0</v>
      </c>
      <c r="G270" s="18"/>
      <c r="H270" s="40">
        <v>265</v>
      </c>
      <c r="I270" s="41" t="str">
        <f t="shared" si="26"/>
        <v/>
      </c>
      <c r="J270" s="40">
        <f t="shared" si="31"/>
        <v>-7</v>
      </c>
      <c r="K270" s="40">
        <f t="shared" si="27"/>
        <v>-70</v>
      </c>
      <c r="L270" s="40"/>
      <c r="M270" s="42">
        <f t="shared" si="28"/>
        <v>0</v>
      </c>
      <c r="N270" s="42">
        <f t="shared" si="29"/>
        <v>0</v>
      </c>
    </row>
    <row r="271" spans="1:14" x14ac:dyDescent="0.25">
      <c r="A271" s="61">
        <f t="shared" si="30"/>
        <v>0</v>
      </c>
      <c r="G271" s="18"/>
      <c r="H271" s="40">
        <v>266</v>
      </c>
      <c r="I271" s="41" t="str">
        <f t="shared" si="26"/>
        <v/>
      </c>
      <c r="J271" s="40">
        <f t="shared" si="31"/>
        <v>-7</v>
      </c>
      <c r="K271" s="40">
        <f t="shared" si="27"/>
        <v>-70</v>
      </c>
      <c r="L271" s="40"/>
      <c r="M271" s="42">
        <f t="shared" si="28"/>
        <v>0</v>
      </c>
      <c r="N271" s="42">
        <f t="shared" si="29"/>
        <v>0</v>
      </c>
    </row>
    <row r="272" spans="1:14" x14ac:dyDescent="0.25">
      <c r="A272" s="61">
        <f t="shared" si="30"/>
        <v>0</v>
      </c>
      <c r="G272" s="18"/>
      <c r="H272" s="40">
        <v>267</v>
      </c>
      <c r="I272" s="41" t="str">
        <f t="shared" si="26"/>
        <v/>
      </c>
      <c r="J272" s="40">
        <f t="shared" si="31"/>
        <v>-7</v>
      </c>
      <c r="K272" s="40">
        <f t="shared" si="27"/>
        <v>-70</v>
      </c>
      <c r="L272" s="40"/>
      <c r="M272" s="42">
        <f t="shared" si="28"/>
        <v>0</v>
      </c>
      <c r="N272" s="42">
        <f t="shared" si="29"/>
        <v>0</v>
      </c>
    </row>
    <row r="273" spans="1:14" x14ac:dyDescent="0.25">
      <c r="A273" s="61">
        <f t="shared" si="30"/>
        <v>0</v>
      </c>
      <c r="G273" s="18"/>
      <c r="H273" s="40">
        <v>268</v>
      </c>
      <c r="I273" s="41" t="str">
        <f t="shared" si="26"/>
        <v/>
      </c>
      <c r="J273" s="40">
        <f t="shared" si="31"/>
        <v>-7</v>
      </c>
      <c r="K273" s="40">
        <f t="shared" si="27"/>
        <v>-70</v>
      </c>
      <c r="L273" s="40"/>
      <c r="M273" s="42">
        <f t="shared" si="28"/>
        <v>0</v>
      </c>
      <c r="N273" s="42">
        <f t="shared" si="29"/>
        <v>0</v>
      </c>
    </row>
    <row r="274" spans="1:14" x14ac:dyDescent="0.25">
      <c r="A274" s="61">
        <f t="shared" si="30"/>
        <v>0</v>
      </c>
      <c r="G274" s="18"/>
      <c r="H274" s="40">
        <v>269</v>
      </c>
      <c r="I274" s="41" t="str">
        <f t="shared" si="26"/>
        <v/>
      </c>
      <c r="J274" s="40">
        <f t="shared" si="31"/>
        <v>-7</v>
      </c>
      <c r="K274" s="40">
        <f t="shared" si="27"/>
        <v>-70</v>
      </c>
      <c r="L274" s="40"/>
      <c r="M274" s="42">
        <f t="shared" si="28"/>
        <v>0</v>
      </c>
      <c r="N274" s="42">
        <f t="shared" si="29"/>
        <v>0</v>
      </c>
    </row>
    <row r="275" spans="1:14" x14ac:dyDescent="0.25">
      <c r="A275" s="61">
        <f t="shared" si="30"/>
        <v>0</v>
      </c>
      <c r="G275" s="18"/>
      <c r="H275" s="40">
        <v>270</v>
      </c>
      <c r="I275" s="41" t="str">
        <f t="shared" si="26"/>
        <v/>
      </c>
      <c r="J275" s="40">
        <f t="shared" si="31"/>
        <v>-7</v>
      </c>
      <c r="K275" s="40">
        <f t="shared" si="27"/>
        <v>-70</v>
      </c>
      <c r="L275" s="40"/>
      <c r="M275" s="42">
        <f t="shared" si="28"/>
        <v>0</v>
      </c>
      <c r="N275" s="42">
        <f t="shared" si="29"/>
        <v>0</v>
      </c>
    </row>
    <row r="276" spans="1:14" x14ac:dyDescent="0.25">
      <c r="A276" s="61">
        <f t="shared" si="30"/>
        <v>0</v>
      </c>
      <c r="G276" s="18"/>
      <c r="H276" s="40">
        <v>271</v>
      </c>
      <c r="I276" s="41" t="str">
        <f t="shared" si="26"/>
        <v/>
      </c>
      <c r="J276" s="40">
        <f t="shared" si="31"/>
        <v>-7</v>
      </c>
      <c r="K276" s="40">
        <f t="shared" si="27"/>
        <v>-70</v>
      </c>
      <c r="L276" s="40"/>
      <c r="M276" s="42">
        <f t="shared" si="28"/>
        <v>0</v>
      </c>
      <c r="N276" s="42">
        <f t="shared" si="29"/>
        <v>0</v>
      </c>
    </row>
    <row r="277" spans="1:14" x14ac:dyDescent="0.25">
      <c r="A277" s="61">
        <f t="shared" si="30"/>
        <v>0</v>
      </c>
      <c r="G277" s="18"/>
      <c r="H277" s="40">
        <v>272</v>
      </c>
      <c r="I277" s="41" t="str">
        <f t="shared" si="26"/>
        <v/>
      </c>
      <c r="J277" s="40">
        <f t="shared" si="31"/>
        <v>-7</v>
      </c>
      <c r="K277" s="40">
        <f t="shared" si="27"/>
        <v>-70</v>
      </c>
      <c r="L277" s="40"/>
      <c r="M277" s="42">
        <f t="shared" si="28"/>
        <v>0</v>
      </c>
      <c r="N277" s="42">
        <f t="shared" si="29"/>
        <v>0</v>
      </c>
    </row>
    <row r="278" spans="1:14" x14ac:dyDescent="0.25">
      <c r="A278" s="61">
        <f t="shared" si="30"/>
        <v>0</v>
      </c>
      <c r="G278" s="18"/>
      <c r="H278" s="40">
        <v>273</v>
      </c>
      <c r="I278" s="41" t="str">
        <f t="shared" si="26"/>
        <v/>
      </c>
      <c r="J278" s="40">
        <f t="shared" si="31"/>
        <v>-7</v>
      </c>
      <c r="K278" s="40">
        <f t="shared" si="27"/>
        <v>-70</v>
      </c>
      <c r="L278" s="40"/>
      <c r="M278" s="42">
        <f t="shared" si="28"/>
        <v>0</v>
      </c>
      <c r="N278" s="42">
        <f t="shared" si="29"/>
        <v>0</v>
      </c>
    </row>
    <row r="279" spans="1:14" x14ac:dyDescent="0.25">
      <c r="A279" s="61">
        <f t="shared" si="30"/>
        <v>0</v>
      </c>
      <c r="G279" s="18"/>
      <c r="H279" s="40">
        <v>274</v>
      </c>
      <c r="I279" s="41" t="str">
        <f t="shared" si="26"/>
        <v/>
      </c>
      <c r="J279" s="40">
        <f t="shared" si="31"/>
        <v>-7</v>
      </c>
      <c r="K279" s="40">
        <f t="shared" si="27"/>
        <v>-70</v>
      </c>
      <c r="L279" s="40"/>
      <c r="M279" s="42">
        <f t="shared" si="28"/>
        <v>0</v>
      </c>
      <c r="N279" s="42">
        <f t="shared" si="29"/>
        <v>0</v>
      </c>
    </row>
    <row r="280" spans="1:14" x14ac:dyDescent="0.25">
      <c r="A280" s="61">
        <f t="shared" si="30"/>
        <v>0</v>
      </c>
      <c r="G280" s="18"/>
      <c r="H280" s="40">
        <v>275</v>
      </c>
      <c r="I280" s="41" t="str">
        <f t="shared" si="26"/>
        <v/>
      </c>
      <c r="J280" s="40">
        <f t="shared" si="31"/>
        <v>-7</v>
      </c>
      <c r="K280" s="40">
        <f t="shared" si="27"/>
        <v>-70</v>
      </c>
      <c r="L280" s="40"/>
      <c r="M280" s="42">
        <f t="shared" si="28"/>
        <v>0</v>
      </c>
      <c r="N280" s="42">
        <f t="shared" si="29"/>
        <v>0</v>
      </c>
    </row>
    <row r="281" spans="1:14" x14ac:dyDescent="0.25">
      <c r="A281" s="61">
        <f t="shared" si="30"/>
        <v>0</v>
      </c>
      <c r="G281" s="18"/>
      <c r="H281" s="40">
        <v>276</v>
      </c>
      <c r="I281" s="41" t="str">
        <f t="shared" si="26"/>
        <v/>
      </c>
      <c r="J281" s="40">
        <f t="shared" si="31"/>
        <v>-7</v>
      </c>
      <c r="K281" s="40">
        <f t="shared" si="27"/>
        <v>-70</v>
      </c>
      <c r="L281" s="40"/>
      <c r="M281" s="42">
        <f t="shared" si="28"/>
        <v>0</v>
      </c>
      <c r="N281" s="42">
        <f t="shared" si="29"/>
        <v>0</v>
      </c>
    </row>
    <row r="282" spans="1:14" x14ac:dyDescent="0.25">
      <c r="A282" s="61">
        <f t="shared" si="30"/>
        <v>0</v>
      </c>
      <c r="G282" s="18"/>
      <c r="H282" s="40">
        <v>277</v>
      </c>
      <c r="I282" s="41" t="str">
        <f t="shared" si="26"/>
        <v/>
      </c>
      <c r="J282" s="40">
        <f t="shared" si="31"/>
        <v>-7</v>
      </c>
      <c r="K282" s="40">
        <f t="shared" si="27"/>
        <v>-70</v>
      </c>
      <c r="L282" s="40"/>
      <c r="M282" s="42">
        <f t="shared" si="28"/>
        <v>0</v>
      </c>
      <c r="N282" s="42">
        <f t="shared" si="29"/>
        <v>0</v>
      </c>
    </row>
    <row r="283" spans="1:14" x14ac:dyDescent="0.25">
      <c r="A283" s="61">
        <f t="shared" si="30"/>
        <v>0</v>
      </c>
      <c r="G283" s="18"/>
      <c r="H283" s="40">
        <v>278</v>
      </c>
      <c r="I283" s="41" t="str">
        <f t="shared" si="26"/>
        <v/>
      </c>
      <c r="J283" s="40">
        <f t="shared" si="31"/>
        <v>-7</v>
      </c>
      <c r="K283" s="40">
        <f t="shared" si="27"/>
        <v>-70</v>
      </c>
      <c r="L283" s="40"/>
      <c r="M283" s="42">
        <f t="shared" si="28"/>
        <v>0</v>
      </c>
      <c r="N283" s="42">
        <f t="shared" si="29"/>
        <v>0</v>
      </c>
    </row>
    <row r="284" spans="1:14" x14ac:dyDescent="0.25">
      <c r="A284" s="61">
        <f t="shared" si="30"/>
        <v>0</v>
      </c>
      <c r="G284" s="18"/>
      <c r="H284" s="40">
        <v>279</v>
      </c>
      <c r="I284" s="41" t="str">
        <f t="shared" si="26"/>
        <v/>
      </c>
      <c r="J284" s="40">
        <f t="shared" si="31"/>
        <v>-7</v>
      </c>
      <c r="K284" s="40">
        <f t="shared" si="27"/>
        <v>-70</v>
      </c>
      <c r="L284" s="40"/>
      <c r="M284" s="42">
        <f t="shared" si="28"/>
        <v>0</v>
      </c>
      <c r="N284" s="42">
        <f t="shared" si="29"/>
        <v>0</v>
      </c>
    </row>
    <row r="285" spans="1:14" x14ac:dyDescent="0.25">
      <c r="A285" s="61">
        <f t="shared" si="30"/>
        <v>0</v>
      </c>
      <c r="G285" s="18"/>
      <c r="H285" s="40">
        <v>280</v>
      </c>
      <c r="I285" s="41" t="str">
        <f t="shared" si="26"/>
        <v/>
      </c>
      <c r="J285" s="40">
        <f t="shared" si="31"/>
        <v>-7</v>
      </c>
      <c r="K285" s="40">
        <f t="shared" si="27"/>
        <v>-70</v>
      </c>
      <c r="L285" s="40"/>
      <c r="M285" s="42">
        <f t="shared" si="28"/>
        <v>0</v>
      </c>
      <c r="N285" s="42">
        <f t="shared" si="29"/>
        <v>0</v>
      </c>
    </row>
    <row r="286" spans="1:14" x14ac:dyDescent="0.25">
      <c r="A286" s="61">
        <f t="shared" si="30"/>
        <v>0</v>
      </c>
      <c r="G286" s="18"/>
      <c r="H286" s="40">
        <v>281</v>
      </c>
      <c r="I286" s="41" t="str">
        <f t="shared" si="26"/>
        <v/>
      </c>
      <c r="J286" s="40">
        <f t="shared" si="31"/>
        <v>-7</v>
      </c>
      <c r="K286" s="40">
        <f t="shared" si="27"/>
        <v>-70</v>
      </c>
      <c r="L286" s="40"/>
      <c r="M286" s="42">
        <f t="shared" si="28"/>
        <v>0</v>
      </c>
      <c r="N286" s="42">
        <f t="shared" si="29"/>
        <v>0</v>
      </c>
    </row>
    <row r="287" spans="1:14" x14ac:dyDescent="0.25">
      <c r="A287" s="61">
        <f t="shared" si="30"/>
        <v>0</v>
      </c>
      <c r="G287" s="18"/>
      <c r="H287" s="40">
        <v>282</v>
      </c>
      <c r="I287" s="41" t="str">
        <f t="shared" si="26"/>
        <v/>
      </c>
      <c r="J287" s="40">
        <f t="shared" si="31"/>
        <v>-7</v>
      </c>
      <c r="K287" s="40">
        <f t="shared" si="27"/>
        <v>-70</v>
      </c>
      <c r="L287" s="40"/>
      <c r="M287" s="42">
        <f t="shared" si="28"/>
        <v>0</v>
      </c>
      <c r="N287" s="42">
        <f t="shared" si="29"/>
        <v>0</v>
      </c>
    </row>
    <row r="288" spans="1:14" x14ac:dyDescent="0.25">
      <c r="A288" s="61">
        <f t="shared" si="30"/>
        <v>0</v>
      </c>
      <c r="G288" s="18"/>
      <c r="H288" s="40">
        <v>283</v>
      </c>
      <c r="I288" s="41" t="str">
        <f t="shared" si="26"/>
        <v/>
      </c>
      <c r="J288" s="40">
        <f t="shared" si="31"/>
        <v>-7</v>
      </c>
      <c r="K288" s="40">
        <f t="shared" si="27"/>
        <v>-70</v>
      </c>
      <c r="L288" s="40"/>
      <c r="M288" s="42">
        <f t="shared" si="28"/>
        <v>0</v>
      </c>
      <c r="N288" s="42">
        <f t="shared" si="29"/>
        <v>0</v>
      </c>
    </row>
    <row r="289" spans="1:14" x14ac:dyDescent="0.25">
      <c r="A289" s="61">
        <f t="shared" si="30"/>
        <v>0</v>
      </c>
      <c r="G289" s="18"/>
      <c r="H289" s="40">
        <v>284</v>
      </c>
      <c r="I289" s="41" t="str">
        <f t="shared" si="26"/>
        <v/>
      </c>
      <c r="J289" s="40">
        <f t="shared" si="31"/>
        <v>-7</v>
      </c>
      <c r="K289" s="40">
        <f t="shared" si="27"/>
        <v>-70</v>
      </c>
      <c r="L289" s="40"/>
      <c r="M289" s="42">
        <f t="shared" si="28"/>
        <v>0</v>
      </c>
      <c r="N289" s="42">
        <f t="shared" si="29"/>
        <v>0</v>
      </c>
    </row>
    <row r="290" spans="1:14" x14ac:dyDescent="0.25">
      <c r="A290" s="61">
        <f t="shared" si="30"/>
        <v>0</v>
      </c>
      <c r="G290" s="18"/>
      <c r="H290" s="40">
        <v>285</v>
      </c>
      <c r="I290" s="41" t="str">
        <f t="shared" si="26"/>
        <v/>
      </c>
      <c r="J290" s="40">
        <f t="shared" si="31"/>
        <v>-7</v>
      </c>
      <c r="K290" s="40">
        <f t="shared" si="27"/>
        <v>-70</v>
      </c>
      <c r="L290" s="40"/>
      <c r="M290" s="42">
        <f t="shared" si="28"/>
        <v>0</v>
      </c>
      <c r="N290" s="42">
        <f t="shared" si="29"/>
        <v>0</v>
      </c>
    </row>
    <row r="291" spans="1:14" x14ac:dyDescent="0.25">
      <c r="A291" s="61">
        <f t="shared" si="30"/>
        <v>0</v>
      </c>
      <c r="G291" s="18"/>
      <c r="H291" s="40">
        <v>286</v>
      </c>
      <c r="I291" s="41" t="str">
        <f t="shared" si="26"/>
        <v/>
      </c>
      <c r="J291" s="40">
        <f t="shared" si="31"/>
        <v>-7</v>
      </c>
      <c r="K291" s="40">
        <f t="shared" si="27"/>
        <v>-70</v>
      </c>
      <c r="L291" s="40"/>
      <c r="M291" s="42">
        <f t="shared" si="28"/>
        <v>0</v>
      </c>
      <c r="N291" s="42">
        <f t="shared" si="29"/>
        <v>0</v>
      </c>
    </row>
    <row r="292" spans="1:14" x14ac:dyDescent="0.25">
      <c r="A292" s="61">
        <f t="shared" si="30"/>
        <v>0</v>
      </c>
      <c r="G292" s="18"/>
      <c r="H292" s="40">
        <v>287</v>
      </c>
      <c r="I292" s="41" t="str">
        <f t="shared" si="26"/>
        <v/>
      </c>
      <c r="J292" s="40">
        <f t="shared" si="31"/>
        <v>-7</v>
      </c>
      <c r="K292" s="40">
        <f t="shared" si="27"/>
        <v>-70</v>
      </c>
      <c r="L292" s="40"/>
      <c r="M292" s="42">
        <f t="shared" si="28"/>
        <v>0</v>
      </c>
      <c r="N292" s="42">
        <f t="shared" si="29"/>
        <v>0</v>
      </c>
    </row>
    <row r="293" spans="1:14" x14ac:dyDescent="0.25">
      <c r="A293" s="61">
        <f t="shared" si="30"/>
        <v>0</v>
      </c>
      <c r="G293" s="18"/>
      <c r="H293" s="40">
        <v>288</v>
      </c>
      <c r="I293" s="41" t="str">
        <f t="shared" si="26"/>
        <v/>
      </c>
      <c r="J293" s="40">
        <f t="shared" si="31"/>
        <v>-7</v>
      </c>
      <c r="K293" s="40">
        <f t="shared" si="27"/>
        <v>-70</v>
      </c>
      <c r="L293" s="40"/>
      <c r="M293" s="42">
        <f t="shared" si="28"/>
        <v>0</v>
      </c>
      <c r="N293" s="42">
        <f t="shared" si="29"/>
        <v>0</v>
      </c>
    </row>
    <row r="294" spans="1:14" x14ac:dyDescent="0.25">
      <c r="A294" s="61">
        <f t="shared" si="30"/>
        <v>0</v>
      </c>
      <c r="G294" s="18"/>
      <c r="H294" s="40">
        <v>289</v>
      </c>
      <c r="I294" s="41" t="str">
        <f t="shared" si="26"/>
        <v/>
      </c>
      <c r="J294" s="40">
        <f t="shared" si="31"/>
        <v>-7</v>
      </c>
      <c r="K294" s="40">
        <f t="shared" si="27"/>
        <v>-70</v>
      </c>
      <c r="L294" s="40"/>
      <c r="M294" s="42">
        <f t="shared" si="28"/>
        <v>0</v>
      </c>
      <c r="N294" s="42">
        <f t="shared" si="29"/>
        <v>0</v>
      </c>
    </row>
    <row r="295" spans="1:14" x14ac:dyDescent="0.25">
      <c r="A295" s="61">
        <f t="shared" si="30"/>
        <v>0</v>
      </c>
      <c r="G295" s="18"/>
      <c r="H295" s="40">
        <v>290</v>
      </c>
      <c r="I295" s="41" t="str">
        <f t="shared" si="26"/>
        <v/>
      </c>
      <c r="J295" s="40">
        <f t="shared" si="31"/>
        <v>-7</v>
      </c>
      <c r="K295" s="40">
        <f t="shared" si="27"/>
        <v>-70</v>
      </c>
      <c r="L295" s="40"/>
      <c r="M295" s="42">
        <f t="shared" si="28"/>
        <v>0</v>
      </c>
      <c r="N295" s="42">
        <f t="shared" si="29"/>
        <v>0</v>
      </c>
    </row>
    <row r="296" spans="1:14" x14ac:dyDescent="0.25">
      <c r="A296" s="61">
        <f t="shared" si="30"/>
        <v>0</v>
      </c>
      <c r="G296" s="18"/>
      <c r="H296" s="40">
        <v>291</v>
      </c>
      <c r="I296" s="41" t="str">
        <f t="shared" si="26"/>
        <v/>
      </c>
      <c r="J296" s="40">
        <f t="shared" si="31"/>
        <v>-7</v>
      </c>
      <c r="K296" s="40">
        <f t="shared" si="27"/>
        <v>-70</v>
      </c>
      <c r="L296" s="40"/>
      <c r="M296" s="42">
        <f t="shared" si="28"/>
        <v>0</v>
      </c>
      <c r="N296" s="42">
        <f t="shared" si="29"/>
        <v>0</v>
      </c>
    </row>
    <row r="297" spans="1:14" x14ac:dyDescent="0.25">
      <c r="A297" s="61">
        <f t="shared" si="30"/>
        <v>0</v>
      </c>
      <c r="G297" s="18"/>
      <c r="H297" s="40">
        <v>292</v>
      </c>
      <c r="I297" s="41" t="str">
        <f t="shared" si="26"/>
        <v/>
      </c>
      <c r="J297" s="40">
        <f t="shared" si="31"/>
        <v>-7</v>
      </c>
      <c r="K297" s="40">
        <f t="shared" si="27"/>
        <v>-70</v>
      </c>
      <c r="L297" s="40"/>
      <c r="M297" s="42">
        <f t="shared" si="28"/>
        <v>0</v>
      </c>
      <c r="N297" s="42">
        <f t="shared" si="29"/>
        <v>0</v>
      </c>
    </row>
    <row r="298" spans="1:14" x14ac:dyDescent="0.25">
      <c r="A298" s="61">
        <f t="shared" si="30"/>
        <v>0</v>
      </c>
      <c r="G298" s="18"/>
      <c r="H298" s="40">
        <v>293</v>
      </c>
      <c r="I298" s="41" t="str">
        <f t="shared" si="26"/>
        <v/>
      </c>
      <c r="J298" s="40">
        <f t="shared" si="31"/>
        <v>-7</v>
      </c>
      <c r="K298" s="40">
        <f t="shared" si="27"/>
        <v>-70</v>
      </c>
      <c r="L298" s="40"/>
      <c r="M298" s="42">
        <f t="shared" si="28"/>
        <v>0</v>
      </c>
      <c r="N298" s="42">
        <f t="shared" si="29"/>
        <v>0</v>
      </c>
    </row>
    <row r="299" spans="1:14" x14ac:dyDescent="0.25">
      <c r="A299" s="61">
        <f t="shared" si="30"/>
        <v>0</v>
      </c>
      <c r="G299" s="18"/>
      <c r="H299" s="40">
        <v>294</v>
      </c>
      <c r="I299" s="41" t="str">
        <f t="shared" si="26"/>
        <v/>
      </c>
      <c r="J299" s="40">
        <f t="shared" si="31"/>
        <v>-7</v>
      </c>
      <c r="K299" s="40">
        <f t="shared" si="27"/>
        <v>-70</v>
      </c>
      <c r="L299" s="40"/>
      <c r="M299" s="42">
        <f t="shared" si="28"/>
        <v>0</v>
      </c>
      <c r="N299" s="42">
        <f t="shared" si="29"/>
        <v>0</v>
      </c>
    </row>
    <row r="300" spans="1:14" x14ac:dyDescent="0.25">
      <c r="A300" s="61">
        <f t="shared" si="30"/>
        <v>0</v>
      </c>
      <c r="G300" s="18"/>
      <c r="H300" s="40">
        <v>295</v>
      </c>
      <c r="I300" s="41" t="str">
        <f t="shared" si="26"/>
        <v/>
      </c>
      <c r="J300" s="40">
        <f t="shared" si="31"/>
        <v>-7</v>
      </c>
      <c r="K300" s="40">
        <f t="shared" si="27"/>
        <v>-70</v>
      </c>
      <c r="L300" s="40"/>
      <c r="M300" s="42">
        <f t="shared" si="28"/>
        <v>0</v>
      </c>
      <c r="N300" s="42">
        <f t="shared" si="29"/>
        <v>0</v>
      </c>
    </row>
    <row r="301" spans="1:14" x14ac:dyDescent="0.25">
      <c r="A301" s="61">
        <f t="shared" si="30"/>
        <v>0</v>
      </c>
      <c r="G301" s="18"/>
      <c r="H301" s="40">
        <v>296</v>
      </c>
      <c r="I301" s="41" t="str">
        <f t="shared" si="26"/>
        <v/>
      </c>
      <c r="J301" s="40">
        <f t="shared" si="31"/>
        <v>-7</v>
      </c>
      <c r="K301" s="40">
        <f t="shared" si="27"/>
        <v>-70</v>
      </c>
      <c r="L301" s="40"/>
      <c r="M301" s="42">
        <f t="shared" si="28"/>
        <v>0</v>
      </c>
      <c r="N301" s="42">
        <f t="shared" si="29"/>
        <v>0</v>
      </c>
    </row>
    <row r="302" spans="1:14" x14ac:dyDescent="0.25">
      <c r="A302" s="61">
        <f t="shared" si="30"/>
        <v>0</v>
      </c>
      <c r="G302" s="18"/>
      <c r="H302" s="40">
        <v>297</v>
      </c>
      <c r="I302" s="41" t="str">
        <f t="shared" si="26"/>
        <v/>
      </c>
      <c r="J302" s="40">
        <f t="shared" si="31"/>
        <v>-7</v>
      </c>
      <c r="K302" s="40">
        <f t="shared" si="27"/>
        <v>-70</v>
      </c>
      <c r="L302" s="40"/>
      <c r="M302" s="42">
        <f t="shared" si="28"/>
        <v>0</v>
      </c>
      <c r="N302" s="42">
        <f t="shared" si="29"/>
        <v>0</v>
      </c>
    </row>
    <row r="303" spans="1:14" x14ac:dyDescent="0.25">
      <c r="A303" s="61">
        <f t="shared" si="30"/>
        <v>0</v>
      </c>
      <c r="G303" s="18"/>
      <c r="H303" s="40">
        <v>298</v>
      </c>
      <c r="I303" s="41" t="str">
        <f t="shared" si="26"/>
        <v/>
      </c>
      <c r="J303" s="40">
        <f t="shared" si="31"/>
        <v>-7</v>
      </c>
      <c r="K303" s="40">
        <f t="shared" si="27"/>
        <v>-70</v>
      </c>
      <c r="L303" s="40"/>
      <c r="M303" s="42">
        <f t="shared" si="28"/>
        <v>0</v>
      </c>
      <c r="N303" s="42">
        <f t="shared" si="29"/>
        <v>0</v>
      </c>
    </row>
    <row r="304" spans="1:14" x14ac:dyDescent="0.25">
      <c r="A304" s="61">
        <f t="shared" si="30"/>
        <v>0</v>
      </c>
      <c r="G304" s="18"/>
      <c r="H304" s="40">
        <v>299</v>
      </c>
      <c r="I304" s="41" t="str">
        <f t="shared" si="26"/>
        <v/>
      </c>
      <c r="J304" s="40">
        <f t="shared" si="31"/>
        <v>-7</v>
      </c>
      <c r="K304" s="40">
        <f t="shared" si="27"/>
        <v>-70</v>
      </c>
      <c r="L304" s="40"/>
      <c r="M304" s="42">
        <f t="shared" si="28"/>
        <v>0</v>
      </c>
      <c r="N304" s="42">
        <f t="shared" si="29"/>
        <v>0</v>
      </c>
    </row>
    <row r="305" spans="1:17" x14ac:dyDescent="0.25">
      <c r="A305" s="61">
        <f t="shared" si="30"/>
        <v>0</v>
      </c>
      <c r="G305" s="18"/>
      <c r="H305" s="40">
        <v>300</v>
      </c>
      <c r="I305" s="41" t="str">
        <f t="shared" si="26"/>
        <v/>
      </c>
      <c r="J305" s="40">
        <f t="shared" si="31"/>
        <v>-7</v>
      </c>
      <c r="K305" s="40">
        <f t="shared" si="27"/>
        <v>-70</v>
      </c>
      <c r="L305" s="40"/>
      <c r="M305" s="42">
        <f t="shared" si="28"/>
        <v>0</v>
      </c>
      <c r="N305" s="42">
        <f t="shared" si="29"/>
        <v>0</v>
      </c>
    </row>
    <row r="306" spans="1:17" x14ac:dyDescent="0.25">
      <c r="A306" s="63"/>
    </row>
    <row r="314" spans="1:17" x14ac:dyDescent="0.25">
      <c r="L314" s="66"/>
      <c r="M314" s="66"/>
      <c r="Q314" s="56"/>
    </row>
    <row r="315" spans="1:17" x14ac:dyDescent="0.25">
      <c r="L315" s="66"/>
      <c r="M315" s="66"/>
      <c r="Q315" s="56"/>
    </row>
    <row r="316" spans="1:17" x14ac:dyDescent="0.25">
      <c r="L316" s="66"/>
      <c r="M316" s="66"/>
      <c r="Q316" s="56"/>
    </row>
    <row r="317" spans="1:17" x14ac:dyDescent="0.25">
      <c r="L317" s="66"/>
      <c r="M317" s="66"/>
      <c r="Q317" s="56"/>
    </row>
  </sheetData>
  <mergeCells count="2">
    <mergeCell ref="C2:D2"/>
    <mergeCell ref="C3:D3"/>
  </mergeCells>
  <conditionalFormatting sqref="J6:N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383167B7-37C6-473F-B9FE-61AA76750CC8}">
      <formula1>#REF!</formula1>
    </dataValidation>
  </dataValidations>
  <hyperlinks>
    <hyperlink ref="C2:D2" r:id="rId1" display="KRAKÓW" xr:uid="{9630E493-55B2-4ED8-915F-E1F81DE35D19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D46A3-359B-40B8-B1CC-0207BD530121}">
  <dimension ref="A1:AO39"/>
  <sheetViews>
    <sheetView workbookViewId="0">
      <selection activeCell="B12" sqref="B12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16" width="5.140625" customWidth="1"/>
    <col min="17" max="17" width="2" customWidth="1"/>
    <col min="18" max="33" width="5.140625" customWidth="1"/>
    <col min="35" max="41" width="3.140625" customWidth="1"/>
  </cols>
  <sheetData>
    <row r="1" spans="1:41" ht="13.7" customHeight="1" x14ac:dyDescent="0.2">
      <c r="A1" s="3"/>
      <c r="B1" s="3"/>
      <c r="C1" s="3"/>
      <c r="D1" s="182" t="s">
        <v>83</v>
      </c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R1" s="183" t="s">
        <v>84</v>
      </c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5"/>
    </row>
    <row r="2" spans="1:41" ht="13.7" customHeight="1" x14ac:dyDescent="0.2">
      <c r="A2" s="3"/>
      <c r="B2" s="4" t="s">
        <v>0</v>
      </c>
      <c r="C2" s="3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R2" s="186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8"/>
    </row>
    <row r="3" spans="1:41" ht="13.7" customHeight="1" x14ac:dyDescent="0.2">
      <c r="A3" s="3"/>
      <c r="B3" s="3"/>
      <c r="C3" s="3"/>
      <c r="D3" s="124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89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1"/>
    </row>
    <row r="4" spans="1:41" ht="24.75" customHeight="1" x14ac:dyDescent="0.2">
      <c r="A4" s="194" t="s">
        <v>4</v>
      </c>
      <c r="B4" s="196" t="s">
        <v>5</v>
      </c>
      <c r="C4" s="196" t="s">
        <v>6</v>
      </c>
      <c r="D4" s="196" t="s">
        <v>7</v>
      </c>
      <c r="E4" s="192" t="s">
        <v>8</v>
      </c>
      <c r="F4" s="193"/>
      <c r="G4" s="192" t="s">
        <v>9</v>
      </c>
      <c r="H4" s="193"/>
      <c r="I4" s="192" t="s">
        <v>10</v>
      </c>
      <c r="J4" s="193"/>
      <c r="K4" s="192" t="s">
        <v>11</v>
      </c>
      <c r="L4" s="193"/>
      <c r="M4" s="192" t="s">
        <v>12</v>
      </c>
      <c r="N4" s="193"/>
      <c r="O4" s="192" t="s">
        <v>13</v>
      </c>
      <c r="P4" s="193"/>
      <c r="R4" s="180" t="s">
        <v>85</v>
      </c>
      <c r="S4" s="181"/>
      <c r="T4" s="180" t="s">
        <v>86</v>
      </c>
      <c r="U4" s="181"/>
      <c r="V4" s="180" t="s">
        <v>87</v>
      </c>
      <c r="W4" s="181"/>
      <c r="X4" s="180" t="s">
        <v>88</v>
      </c>
      <c r="Y4" s="181"/>
      <c r="Z4" s="180" t="s">
        <v>89</v>
      </c>
      <c r="AA4" s="181"/>
      <c r="AB4" s="180" t="s">
        <v>90</v>
      </c>
      <c r="AC4" s="181"/>
      <c r="AD4" s="180" t="s">
        <v>91</v>
      </c>
      <c r="AE4" s="181"/>
      <c r="AF4" s="180" t="s">
        <v>92</v>
      </c>
      <c r="AG4" s="181"/>
    </row>
    <row r="5" spans="1:41" ht="18" customHeight="1" x14ac:dyDescent="0.2">
      <c r="A5" s="195"/>
      <c r="B5" s="197"/>
      <c r="C5" s="197"/>
      <c r="D5" s="198"/>
      <c r="E5" s="125" t="s">
        <v>14</v>
      </c>
      <c r="F5" s="125" t="s">
        <v>15</v>
      </c>
      <c r="G5" s="125" t="s">
        <v>14</v>
      </c>
      <c r="H5" s="125" t="s">
        <v>15</v>
      </c>
      <c r="I5" s="125" t="s">
        <v>14</v>
      </c>
      <c r="J5" s="125" t="s">
        <v>15</v>
      </c>
      <c r="K5" s="125" t="s">
        <v>14</v>
      </c>
      <c r="L5" s="125" t="s">
        <v>15</v>
      </c>
      <c r="M5" s="125" t="s">
        <v>14</v>
      </c>
      <c r="N5" s="126" t="s">
        <v>15</v>
      </c>
      <c r="O5" s="125" t="s">
        <v>14</v>
      </c>
      <c r="P5" s="126" t="s">
        <v>15</v>
      </c>
      <c r="R5" s="127" t="s">
        <v>14</v>
      </c>
      <c r="S5" s="127" t="s">
        <v>15</v>
      </c>
      <c r="T5" s="127" t="s">
        <v>14</v>
      </c>
      <c r="U5" s="127" t="s">
        <v>15</v>
      </c>
      <c r="V5" s="127" t="s">
        <v>14</v>
      </c>
      <c r="W5" s="127" t="s">
        <v>15</v>
      </c>
      <c r="X5" s="127" t="s">
        <v>14</v>
      </c>
      <c r="Y5" s="127" t="s">
        <v>15</v>
      </c>
      <c r="Z5" s="127" t="s">
        <v>14</v>
      </c>
      <c r="AA5" s="128" t="s">
        <v>15</v>
      </c>
      <c r="AB5" s="127" t="s">
        <v>14</v>
      </c>
      <c r="AC5" s="128" t="s">
        <v>15</v>
      </c>
      <c r="AD5" s="127" t="s">
        <v>14</v>
      </c>
      <c r="AE5" s="128" t="s">
        <v>15</v>
      </c>
      <c r="AF5" s="127" t="s">
        <v>14</v>
      </c>
      <c r="AG5" s="128" t="s">
        <v>15</v>
      </c>
    </row>
    <row r="6" spans="1:41" ht="14.85" customHeight="1" x14ac:dyDescent="0.2">
      <c r="A6" s="8">
        <f>ROW()-5</f>
        <v>1</v>
      </c>
      <c r="B6" s="9" t="s">
        <v>16</v>
      </c>
      <c r="C6" s="71"/>
      <c r="D6" s="132">
        <f>SUM(F6,H6,J6,L6,N6,P6)-MIN(F6,H6,J6,L6,N6)+SUM(LARGE(AI6:AO6,1),LARGE(AI6:AO6,2),AG6)</f>
        <v>430.21233058390862</v>
      </c>
      <c r="E6" s="10">
        <f>_xlfn.XLOOKUP($B6,'GP1'!$C$6:$C$101,'GP1'!$B$6:$B$101,"")</f>
        <v>1</v>
      </c>
      <c r="F6" s="130">
        <f>_xlfn.XLOOKUP(E6,'GP1'!$B$6:$B$55,'GP1'!$A$6:$A$55,0)</f>
        <v>82.980246132766666</v>
      </c>
      <c r="G6" s="10">
        <f>_xlfn.XLOOKUP($B6,'GP2'!$C$6:$C$101,'GP2'!$B$6:$B$101,"")</f>
        <v>1</v>
      </c>
      <c r="H6" s="130">
        <f>_xlfn.XLOOKUP(G6,'GP2'!$B$6:$B$55,'GP2'!$A$6:$A$55,0)</f>
        <v>82.980246132766666</v>
      </c>
      <c r="I6" s="10">
        <f>_xlfn.XLOOKUP($B6,'GP3'!$C$6:$C$101,'GP3'!$B$6:$B$101,"")</f>
        <v>1</v>
      </c>
      <c r="J6" s="130">
        <f>_xlfn.XLOOKUP(I6,'GP3'!$B$6:$B$55,'GP3'!$A$6:$A$55,0)</f>
        <v>96.354085335489259</v>
      </c>
      <c r="K6" s="10">
        <f>_xlfn.XLOOKUP($B6,'GP4'!$C$6:$C$101,'GP4'!$B$6:$B$101,"")</f>
        <v>2</v>
      </c>
      <c r="L6" s="130">
        <f>_xlfn.XLOOKUP(K6,'GP4'!$B$6:$B$55,'GP4'!$A$6:$A$55,0)</f>
        <v>37.73793949684304</v>
      </c>
      <c r="M6" s="10">
        <f>_xlfn.XLOOKUP($B6,'GP5'!$C$6:$C$101,'GP5'!$B$6:$B$101,"")</f>
        <v>1</v>
      </c>
      <c r="N6" s="130">
        <f>_xlfn.XLOOKUP(M6,'GP5'!$B$6:$B$55,'GP5'!$A$6:$A$55,0)</f>
        <v>59</v>
      </c>
      <c r="O6" s="10">
        <f>_xlfn.XLOOKUP(B6,MPW!C$6:C$101,MPW!B$6:B$101,"")</f>
        <v>2</v>
      </c>
      <c r="P6" s="133">
        <f>_xlfn.XLOOKUP(O6,MPW!$B$6:$B$55,MPW!$A$6:$A$55,0)</f>
        <v>45.285527396211648</v>
      </c>
      <c r="R6" s="10" t="str">
        <f>_xlfn.XLOOKUP($B6,'PEW1'!$C$6:$C$101,'PEW1'!$B$6:$B$101,"")</f>
        <v/>
      </c>
      <c r="S6" s="134">
        <f>_xlfn.XLOOKUP(R6,'PEW1'!$B$6:$B$55,'PEW1'!$A$6:$A$55,0)</f>
        <v>0</v>
      </c>
      <c r="T6" s="10" t="str">
        <f>_xlfn.XLOOKUP($B6,'PEW2'!$C$6:$C$101,'PEW2'!$B$6:$B$101,"")</f>
        <v/>
      </c>
      <c r="U6" s="134">
        <f>_xlfn.XLOOKUP(T6,'PEW2'!$B$6:$B$55,'PEW2'!$A$6:$A$55,0)</f>
        <v>0</v>
      </c>
      <c r="V6" s="10">
        <f>_xlfn.XLOOKUP($B6,'PEW3'!$C$6:$C$101,'PEW3'!$B$6:$B$101,"")</f>
        <v>3</v>
      </c>
      <c r="W6" s="134">
        <f>_xlfn.XLOOKUP(V6,'PEW3'!$B$6:$B$55,'PEW3'!$A$6:$A$55,0)</f>
        <v>31.682224310216817</v>
      </c>
      <c r="X6" s="10" t="str">
        <f>_xlfn.XLOOKUP($B6,'PEW4'!$C$6:$C$101,'PEW4'!$B$6:$B$101,"")</f>
        <v/>
      </c>
      <c r="Y6" s="134">
        <f>_xlfn.XLOOKUP(X6,'PEW4'!$B$6:$B$55,'PEW4'!$A$6:$A$55,0)</f>
        <v>0</v>
      </c>
      <c r="Z6" s="10">
        <f>_xlfn.XLOOKUP($B6,'PEW5'!$C$6:$C$101,'PEW5'!$B$6:$B$101,"")</f>
        <v>9</v>
      </c>
      <c r="AA6" s="134">
        <f>_xlfn.XLOOKUP(Z6,'PEW5'!$B$6:$B$55,'PEW5'!$A$6:$A$55,0)</f>
        <v>8.0249005789233223</v>
      </c>
      <c r="AB6" s="10" t="str">
        <f>_xlfn.XLOOKUP($B6,'PEW6'!$C$6:$C$101,'PEW6'!$B$6:$B$101,"")</f>
        <v/>
      </c>
      <c r="AC6" s="134">
        <f>_xlfn.XLOOKUP(AB6,'PEW6'!$B$6:$B$55,'PEW6'!$A$6:$A$55,0)</f>
        <v>0</v>
      </c>
      <c r="AD6" s="10" t="str">
        <f>_xlfn.XLOOKUP($B6,'PEW7'!$C$6:$C$101,'PEW7'!$B$6:$B$101,"")</f>
        <v/>
      </c>
      <c r="AE6" s="134">
        <f>_xlfn.XLOOKUP(AD6,'PEW7'!$B$6:$B$55,'PEW7'!$A$6:$A$55,0)</f>
        <v>0</v>
      </c>
      <c r="AF6" s="10" cm="1">
        <f t="array" ref="AF6">_xlfn.XLOOKUP($B6,IMEW!C$6:C$101,IMEW!$B$6:B$101,"")</f>
        <v>45</v>
      </c>
      <c r="AG6" s="136">
        <f>_xlfn.XLOOKUP(AF6,IMEW!$B$6:$B$100,IMEW!$A$6:$A$100,0)</f>
        <v>23.905100697534152</v>
      </c>
      <c r="AI6" s="129">
        <f>S6</f>
        <v>0</v>
      </c>
      <c r="AJ6" s="129">
        <f>U6</f>
        <v>0</v>
      </c>
      <c r="AK6" s="129">
        <f>W6</f>
        <v>31.682224310216817</v>
      </c>
      <c r="AL6" s="129">
        <f>Y6</f>
        <v>0</v>
      </c>
      <c r="AM6" s="129">
        <f>AA6</f>
        <v>8.0249005789233223</v>
      </c>
      <c r="AN6" s="129">
        <f>AC6</f>
        <v>0</v>
      </c>
      <c r="AO6" s="129">
        <f>AE6</f>
        <v>0</v>
      </c>
    </row>
    <row r="7" spans="1:41" ht="14.85" customHeight="1" x14ac:dyDescent="0.2">
      <c r="A7" s="8">
        <f>ROW()-5</f>
        <v>2</v>
      </c>
      <c r="B7" s="12" t="s">
        <v>17</v>
      </c>
      <c r="C7" s="72"/>
      <c r="D7" s="132">
        <f>SUM(F7,H7,J7,L7,N7,P7)-MIN(F7,H7,J7,L7,N7)+SUM(LARGE(AI7:AO7,1),LARGE(AI7:AO7,2),AG7)</f>
        <v>369.99009565427076</v>
      </c>
      <c r="E7" s="14" t="str">
        <f>_xlfn.XLOOKUP($B7,'GP1'!$C$6:$C$101,'GP1'!$B$6:$B$101,"")</f>
        <v/>
      </c>
      <c r="F7" s="131">
        <f>_xlfn.XLOOKUP(E7,'GP1'!$B$6:$B$55,'GP1'!$A$6:$A$55,0)</f>
        <v>0</v>
      </c>
      <c r="G7" s="10">
        <f>_xlfn.XLOOKUP($B7,'GP2'!$C$6:$C$101,'GP2'!$B$6:$B$101,"")</f>
        <v>2</v>
      </c>
      <c r="H7" s="130">
        <f>_xlfn.XLOOKUP(G7,'GP2'!$B$6:$B$55,'GP2'!$A$6:$A$55,0)</f>
        <v>37.73793949684304</v>
      </c>
      <c r="I7" s="10">
        <f>_xlfn.XLOOKUP($B7,'GP3'!$C$6:$C$101,'GP3'!$B$6:$B$101,"")</f>
        <v>2</v>
      </c>
      <c r="J7" s="130">
        <f>_xlfn.XLOOKUP(I7,'GP3'!$B$6:$B$55,'GP3'!$A$6:$A$55,0)</f>
        <v>61.946936002500301</v>
      </c>
      <c r="K7" s="10">
        <f>_xlfn.XLOOKUP($B7,'GP4'!$C$6:$C$101,'GP4'!$B$6:$B$101,"")</f>
        <v>1</v>
      </c>
      <c r="L7" s="130">
        <f>_xlfn.XLOOKUP(K7,'GP4'!$B$6:$B$55,'GP4'!$A$6:$A$55,0)</f>
        <v>82.980246132766666</v>
      </c>
      <c r="M7" s="10" t="str">
        <f>_xlfn.XLOOKUP($B7,'GP5'!$C$6:$C$101,'GP5'!$B$6:$B$101,"")</f>
        <v/>
      </c>
      <c r="N7" s="130">
        <f>_xlfn.XLOOKUP(M7,'GP5'!$B$6:$B$55,'GP5'!$A$6:$A$55,0)</f>
        <v>0</v>
      </c>
      <c r="O7" s="10">
        <f>_xlfn.XLOOKUP(B7,MPW!C$6:C$101,MPW!B$6:B$101,"")</f>
        <v>1</v>
      </c>
      <c r="P7" s="133">
        <f>_xlfn.XLOOKUP(O7,MPW!$B$6:$B$55,MPW!$A$6:$A$55,0)</f>
        <v>99.57629535932</v>
      </c>
      <c r="R7" s="14" t="str">
        <f>_xlfn.XLOOKUP($B7,'PEW1'!$C$6:$C$101,'PEW1'!$B$6:$B$101,"")</f>
        <v/>
      </c>
      <c r="S7" s="135">
        <f>_xlfn.XLOOKUP(R7,'PEW1'!$B$6:$B$55,'PEW1'!$A$6:$A$55,0)</f>
        <v>0</v>
      </c>
      <c r="T7" s="10" t="str">
        <f>_xlfn.XLOOKUP($B7,'PEW2'!$C$6:$C$101,'PEW2'!$B$6:$B$101,"")</f>
        <v/>
      </c>
      <c r="U7" s="134">
        <f>_xlfn.XLOOKUP(T7,'PEW2'!$B$6:$B$55,'PEW2'!$A$6:$A$55,0)</f>
        <v>0</v>
      </c>
      <c r="V7" s="10">
        <f>_xlfn.XLOOKUP($B7,'PEW3'!$C$6:$C$101,'PEW3'!$B$6:$B$101,"")</f>
        <v>3</v>
      </c>
      <c r="W7" s="134">
        <f>_xlfn.XLOOKUP(V7,'PEW3'!$B$6:$B$55,'PEW3'!$A$6:$A$55,0)</f>
        <v>31.682224310216817</v>
      </c>
      <c r="X7" s="10" t="str">
        <f>_xlfn.XLOOKUP($B7,'PEW4'!$C$6:$C$101,'PEW4'!$B$6:$B$101,"")</f>
        <v/>
      </c>
      <c r="Y7" s="134">
        <f>_xlfn.XLOOKUP(X7,'PEW4'!$B$6:$B$55,'PEW4'!$A$6:$A$55,0)</f>
        <v>0</v>
      </c>
      <c r="Z7" s="10">
        <f>_xlfn.XLOOKUP($B7,'PEW5'!$C$6:$C$101,'PEW5'!$B$6:$B$101,"")</f>
        <v>3</v>
      </c>
      <c r="AA7" s="134">
        <f>_xlfn.XLOOKUP(Z7,'PEW5'!$B$6:$B$55,'PEW5'!$A$6:$A$55,0)</f>
        <v>56.066454352623936</v>
      </c>
      <c r="AB7" s="10" t="str">
        <f>_xlfn.XLOOKUP($B7,'PEW6'!$C$6:$C$101,'PEW6'!$B$6:$B$101,"")</f>
        <v/>
      </c>
      <c r="AC7" s="134">
        <f>_xlfn.XLOOKUP(AB7,'PEW6'!$B$6:$B$55,'PEW6'!$A$6:$A$55,0)</f>
        <v>0</v>
      </c>
      <c r="AD7" s="10" t="str">
        <f>_xlfn.XLOOKUP($B7,'PEW7'!$C$6:$C$101,'PEW7'!$B$6:$B$101,"")</f>
        <v/>
      </c>
      <c r="AE7" s="134">
        <f>_xlfn.XLOOKUP(AD7,'PEW7'!$B$6:$B$55,'PEW7'!$A$6:$A$55,0)</f>
        <v>0</v>
      </c>
      <c r="AF7" s="10" t="str" cm="1">
        <f t="array" ref="AF7">_xlfn.XLOOKUP($B7,IMEW!C$6:C$101,IMEW!$B$6:B$101,"")</f>
        <v/>
      </c>
      <c r="AG7" s="136">
        <f>_xlfn.XLOOKUP(AF7,IMEW!$B$6:$B$100,IMEW!$A$6:$A$100,0)</f>
        <v>0</v>
      </c>
      <c r="AI7" s="129">
        <f t="shared" ref="AI7:AI23" si="0">S7</f>
        <v>0</v>
      </c>
      <c r="AJ7" s="129">
        <f t="shared" ref="AJ7:AJ23" si="1">U7</f>
        <v>0</v>
      </c>
      <c r="AK7" s="129">
        <f t="shared" ref="AK7:AK23" si="2">W7</f>
        <v>31.682224310216817</v>
      </c>
      <c r="AL7" s="129">
        <f t="shared" ref="AL7:AL23" si="3">Y7</f>
        <v>0</v>
      </c>
      <c r="AM7" s="129">
        <f t="shared" ref="AM7:AM23" si="4">AA7</f>
        <v>56.066454352623936</v>
      </c>
      <c r="AN7" s="129">
        <f t="shared" ref="AN7:AN23" si="5">AC7</f>
        <v>0</v>
      </c>
      <c r="AO7" s="129">
        <f t="shared" ref="AO7:AO23" si="6">AE7</f>
        <v>0</v>
      </c>
    </row>
    <row r="8" spans="1:41" ht="15.75" customHeight="1" x14ac:dyDescent="0.2">
      <c r="A8" s="8">
        <f>ROW()-5</f>
        <v>3</v>
      </c>
      <c r="B8" s="12" t="s">
        <v>19</v>
      </c>
      <c r="C8" s="13"/>
      <c r="D8" s="132">
        <f>SUM(F8,H8,J8,L8,N8,P8)-MIN(F8,H8,J8,L8,N8)+SUM(LARGE(AI8:AO8,1),LARGE(AI8:AO8,2),AG8)</f>
        <v>37.73793949684304</v>
      </c>
      <c r="E8" s="14">
        <f>_xlfn.XLOOKUP($B8,'GP1'!$C$6:$C$101,'GP1'!$B$6:$B$101,"")</f>
        <v>2</v>
      </c>
      <c r="F8" s="131">
        <f>_xlfn.XLOOKUP(E8,'GP1'!$B$6:$B$55,'GP1'!$A$6:$A$55,0)</f>
        <v>37.73793949684304</v>
      </c>
      <c r="G8" s="10" t="str">
        <f>_xlfn.XLOOKUP($B8,'GP2'!$C$6:$C$101,'GP2'!$B$6:$B$101,"")</f>
        <v/>
      </c>
      <c r="H8" s="130">
        <f>_xlfn.XLOOKUP(G8,'GP2'!$B$6:$B$55,'GP2'!$A$6:$A$55,0)</f>
        <v>0</v>
      </c>
      <c r="I8" s="10" t="str">
        <f>_xlfn.XLOOKUP($B8,'GP3'!$C$6:$C$101,'GP3'!$B$6:$B$101,"")</f>
        <v/>
      </c>
      <c r="J8" s="130">
        <f>_xlfn.XLOOKUP(I8,'GP3'!$B$6:$B$55,'GP3'!$A$6:$A$55,0)</f>
        <v>0</v>
      </c>
      <c r="K8" s="10" t="str">
        <f>_xlfn.XLOOKUP($B8,'GP4'!$C$6:$C$101,'GP4'!$B$6:$B$101,"")</f>
        <v/>
      </c>
      <c r="L8" s="130">
        <f>_xlfn.XLOOKUP(K8,'GP4'!$B$6:$B$55,'GP4'!$A$6:$A$55,0)</f>
        <v>0</v>
      </c>
      <c r="M8" s="10" t="str">
        <f>_xlfn.XLOOKUP($B8,'GP5'!$C$6:$C$101,'GP5'!$B$6:$B$101,"")</f>
        <v/>
      </c>
      <c r="N8" s="130">
        <f>_xlfn.XLOOKUP(M8,'GP5'!$B$6:$B$55,'GP5'!$A$6:$A$55,0)</f>
        <v>0</v>
      </c>
      <c r="O8" s="10" t="str">
        <f>_xlfn.XLOOKUP(B8,MPW!C$6:C$101,MPW!B$6:B$101,"")</f>
        <v/>
      </c>
      <c r="P8" s="133">
        <f>_xlfn.XLOOKUP(O8,MPW!$B$6:$B$55,MPW!$A$6:$A$55,0)</f>
        <v>0</v>
      </c>
      <c r="R8" s="14" t="str">
        <f>_xlfn.XLOOKUP($B8,'PEW1'!$C$6:$C$101,'PEW1'!$B$6:$B$101,"")</f>
        <v/>
      </c>
      <c r="S8" s="135">
        <f>_xlfn.XLOOKUP(R8,'PEW1'!$B$6:$B$55,'PEW1'!$A$6:$A$55,0)</f>
        <v>0</v>
      </c>
      <c r="T8" s="10" t="str">
        <f>_xlfn.XLOOKUP($B8,'PEW2'!$C$6:$C$101,'PEW2'!$B$6:$B$101,"")</f>
        <v/>
      </c>
      <c r="U8" s="134">
        <f>_xlfn.XLOOKUP(T8,'PEW2'!$B$6:$B$55,'PEW2'!$A$6:$A$55,0)</f>
        <v>0</v>
      </c>
      <c r="V8" s="10" t="str">
        <f>_xlfn.XLOOKUP($B8,'PEW3'!$C$6:$C$101,'PEW3'!$B$6:$B$101,"")</f>
        <v/>
      </c>
      <c r="W8" s="134">
        <f>_xlfn.XLOOKUP(V8,'PEW3'!$B$6:$B$55,'PEW3'!$A$6:$A$55,0)</f>
        <v>0</v>
      </c>
      <c r="X8" s="10" t="str">
        <f>_xlfn.XLOOKUP($B8,'PEW4'!$C$6:$C$101,'PEW4'!$B$6:$B$101,"")</f>
        <v/>
      </c>
      <c r="Y8" s="134">
        <f>_xlfn.XLOOKUP(X8,'PEW4'!$B$6:$B$55,'PEW4'!$A$6:$A$55,0)</f>
        <v>0</v>
      </c>
      <c r="Z8" s="10" t="str">
        <f>_xlfn.XLOOKUP($B8,'PEW5'!$C$6:$C$101,'PEW5'!$B$6:$B$101,"")</f>
        <v/>
      </c>
      <c r="AA8" s="134">
        <f>_xlfn.XLOOKUP(Z8,'PEW5'!$B$6:$B$55,'PEW5'!$A$6:$A$55,0)</f>
        <v>0</v>
      </c>
      <c r="AB8" s="10" t="str">
        <f>_xlfn.XLOOKUP($B8,'PEW6'!$C$6:$C$101,'PEW6'!$B$6:$B$101,"")</f>
        <v/>
      </c>
      <c r="AC8" s="134">
        <f>_xlfn.XLOOKUP(AB8,'PEW6'!$B$6:$B$55,'PEW6'!$A$6:$A$55,0)</f>
        <v>0</v>
      </c>
      <c r="AD8" s="10" t="str">
        <f>_xlfn.XLOOKUP($B8,'PEW7'!$C$6:$C$101,'PEW7'!$B$6:$B$101,"")</f>
        <v/>
      </c>
      <c r="AE8" s="134">
        <f>_xlfn.XLOOKUP(AD8,'PEW7'!$B$6:$B$55,'PEW7'!$A$6:$A$55,0)</f>
        <v>0</v>
      </c>
      <c r="AF8" s="10" t="str" cm="1">
        <f t="array" ref="AF8">_xlfn.XLOOKUP($B8,IMEW!C$6:C$101,IMEW!$B$6:B$101,"")</f>
        <v/>
      </c>
      <c r="AG8" s="136">
        <f>_xlfn.XLOOKUP(AF8,IMEW!$B$6:$B$100,IMEW!$A$6:$A$100,0)</f>
        <v>0</v>
      </c>
      <c r="AI8" s="129">
        <f t="shared" si="0"/>
        <v>0</v>
      </c>
      <c r="AJ8" s="129">
        <f t="shared" si="1"/>
        <v>0</v>
      </c>
      <c r="AK8" s="129">
        <f t="shared" si="2"/>
        <v>0</v>
      </c>
      <c r="AL8" s="129">
        <f t="shared" si="3"/>
        <v>0</v>
      </c>
      <c r="AM8" s="129">
        <f t="shared" si="4"/>
        <v>0</v>
      </c>
      <c r="AN8" s="129">
        <f t="shared" si="5"/>
        <v>0</v>
      </c>
      <c r="AO8" s="129">
        <f t="shared" si="6"/>
        <v>0</v>
      </c>
    </row>
    <row r="9" spans="1:41" ht="14.85" customHeight="1" x14ac:dyDescent="0.2">
      <c r="A9" s="8">
        <f>ROW()-5</f>
        <v>4</v>
      </c>
      <c r="B9" s="12" t="s">
        <v>24</v>
      </c>
      <c r="C9" s="13"/>
      <c r="D9" s="132">
        <f>SUM(F9,H9,J9,L9,N9,P9)-MIN(F9,H9,J9,L9,N9)+SUM(LARGE(AI9:AO9,1),LARGE(AI9:AO9,2),AG9)</f>
        <v>35.407149332988958</v>
      </c>
      <c r="E9" s="14" t="str">
        <f>_xlfn.XLOOKUP($B9,'GP1'!$C$6:$C$101,'GP1'!$B$6:$B$101,"")</f>
        <v/>
      </c>
      <c r="F9" s="131">
        <f>_xlfn.XLOOKUP(E9,'GP1'!$B$6:$B$55,'GP1'!$A$6:$A$55,0)</f>
        <v>0</v>
      </c>
      <c r="G9" s="10" t="str">
        <f>_xlfn.XLOOKUP($B9,'GP2'!$C$6:$C$101,'GP2'!$B$6:$B$101,"")</f>
        <v/>
      </c>
      <c r="H9" s="130">
        <f>_xlfn.XLOOKUP(G9,'GP2'!$B$6:$B$55,'GP2'!$A$6:$A$55,0)</f>
        <v>0</v>
      </c>
      <c r="I9" s="10">
        <f>_xlfn.XLOOKUP($B9,'GP3'!$C$6:$C$101,'GP3'!$B$6:$B$101,"")</f>
        <v>3</v>
      </c>
      <c r="J9" s="130">
        <f>_xlfn.XLOOKUP(I9,'GP3'!$B$6:$B$55,'GP3'!$A$6:$A$55,0)</f>
        <v>35.407149332988958</v>
      </c>
      <c r="K9" s="10" t="str">
        <f>_xlfn.XLOOKUP($B9,'GP4'!$C$6:$C$101,'GP4'!$B$6:$B$101,"")</f>
        <v/>
      </c>
      <c r="L9" s="130">
        <f>_xlfn.XLOOKUP(K9,'GP4'!$B$6:$B$55,'GP4'!$A$6:$A$55,0)</f>
        <v>0</v>
      </c>
      <c r="M9" s="10" t="str">
        <f>_xlfn.XLOOKUP($B9,'GP5'!$C$6:$C$101,'GP5'!$B$6:$B$101,"")</f>
        <v/>
      </c>
      <c r="N9" s="130">
        <f>_xlfn.XLOOKUP(M9,'GP5'!$B$6:$B$55,'GP5'!$A$6:$A$55,0)</f>
        <v>0</v>
      </c>
      <c r="O9" s="10" t="str">
        <f>_xlfn.XLOOKUP(B9,MPW!C$6:C$101,MPW!B$6:B$101,"")</f>
        <v/>
      </c>
      <c r="P9" s="133">
        <f>_xlfn.XLOOKUP(O9,MPW!$B$6:$B$55,MPW!$A$6:$A$55,0)</f>
        <v>0</v>
      </c>
      <c r="R9" s="14" t="str">
        <f>_xlfn.XLOOKUP($B9,'PEW1'!$C$6:$C$101,'PEW1'!$B$6:$B$101,"")</f>
        <v/>
      </c>
      <c r="S9" s="135">
        <f>_xlfn.XLOOKUP(R9,'PEW1'!$B$6:$B$55,'PEW1'!$A$6:$A$55,0)</f>
        <v>0</v>
      </c>
      <c r="T9" s="10" t="str">
        <f>_xlfn.XLOOKUP($B9,'PEW2'!$C$6:$C$101,'PEW2'!$B$6:$B$101,"")</f>
        <v/>
      </c>
      <c r="U9" s="134">
        <f>_xlfn.XLOOKUP(T9,'PEW2'!$B$6:$B$55,'PEW2'!$A$6:$A$55,0)</f>
        <v>0</v>
      </c>
      <c r="V9" s="10" t="str">
        <f>_xlfn.XLOOKUP($B9,'PEW3'!$C$6:$C$101,'PEW3'!$B$6:$B$101,"")</f>
        <v/>
      </c>
      <c r="W9" s="134">
        <f>_xlfn.XLOOKUP(V9,'PEW3'!$B$6:$B$55,'PEW3'!$A$6:$A$55,0)</f>
        <v>0</v>
      </c>
      <c r="X9" s="10" t="str">
        <f>_xlfn.XLOOKUP($B9,'PEW4'!$C$6:$C$101,'PEW4'!$B$6:$B$101,"")</f>
        <v/>
      </c>
      <c r="Y9" s="134">
        <f>_xlfn.XLOOKUP(X9,'PEW4'!$B$6:$B$55,'PEW4'!$A$6:$A$55,0)</f>
        <v>0</v>
      </c>
      <c r="Z9" s="10" t="str">
        <f>_xlfn.XLOOKUP($B9,'PEW5'!$C$6:$C$101,'PEW5'!$B$6:$B$101,"")</f>
        <v/>
      </c>
      <c r="AA9" s="134">
        <f>_xlfn.XLOOKUP(Z9,'PEW5'!$B$6:$B$55,'PEW5'!$A$6:$A$55,0)</f>
        <v>0</v>
      </c>
      <c r="AB9" s="10" t="str">
        <f>_xlfn.XLOOKUP($B9,'PEW6'!$C$6:$C$101,'PEW6'!$B$6:$B$101,"")</f>
        <v/>
      </c>
      <c r="AC9" s="134">
        <f>_xlfn.XLOOKUP(AB9,'PEW6'!$B$6:$B$55,'PEW6'!$A$6:$A$55,0)</f>
        <v>0</v>
      </c>
      <c r="AD9" s="10" t="str">
        <f>_xlfn.XLOOKUP($B9,'PEW7'!$C$6:$C$101,'PEW7'!$B$6:$B$101,"")</f>
        <v/>
      </c>
      <c r="AE9" s="134">
        <f>_xlfn.XLOOKUP(AD9,'PEW7'!$B$6:$B$55,'PEW7'!$A$6:$A$55,0)</f>
        <v>0</v>
      </c>
      <c r="AF9" s="10" t="str" cm="1">
        <f t="array" ref="AF9">_xlfn.XLOOKUP($B9,IMEW!C$6:C$101,IMEW!$B$6:B$101,"")</f>
        <v/>
      </c>
      <c r="AG9" s="136">
        <f>_xlfn.XLOOKUP(AF9,IMEW!$B$6:$B$100,IMEW!$A$6:$A$100,0)</f>
        <v>0</v>
      </c>
      <c r="AI9" s="129">
        <f t="shared" si="0"/>
        <v>0</v>
      </c>
      <c r="AJ9" s="129">
        <f t="shared" si="1"/>
        <v>0</v>
      </c>
      <c r="AK9" s="129">
        <f t="shared" si="2"/>
        <v>0</v>
      </c>
      <c r="AL9" s="129">
        <f t="shared" si="3"/>
        <v>0</v>
      </c>
      <c r="AM9" s="129">
        <f t="shared" si="4"/>
        <v>0</v>
      </c>
      <c r="AN9" s="129">
        <f t="shared" si="5"/>
        <v>0</v>
      </c>
      <c r="AO9" s="129">
        <f t="shared" si="6"/>
        <v>0</v>
      </c>
    </row>
    <row r="10" spans="1:41" ht="14.85" customHeight="1" x14ac:dyDescent="0.2">
      <c r="A10" s="8">
        <f>ROW()-5</f>
        <v>5</v>
      </c>
      <c r="B10" s="76" t="s">
        <v>20</v>
      </c>
      <c r="C10" s="13"/>
      <c r="D10" s="132">
        <f>SUM(F10,H10,J10,L10,N10,P10)-MIN(F10,H10,J10,L10,N10)+SUM(LARGE(AI10:AO10,1),LARGE(AI10:AO10,2),AG10)</f>
        <v>34.110868021002943</v>
      </c>
      <c r="E10" s="14">
        <f>_xlfn.XLOOKUP($B10,'GP1'!$C$6:$C$101,'GP1'!$B$6:$B$101,"")</f>
        <v>3</v>
      </c>
      <c r="F10" s="131">
        <f>_xlfn.XLOOKUP(E10,'GP1'!$B$6:$B$55,'GP1'!$A$6:$A$55,0)</f>
        <v>5.3267487109222245</v>
      </c>
      <c r="G10" s="10">
        <f>_xlfn.XLOOKUP($B10,'GP2'!$C$6:$C$101,'GP2'!$B$6:$B$101,"")</f>
        <v>3</v>
      </c>
      <c r="H10" s="130">
        <f>_xlfn.XLOOKUP(G10,'GP2'!$B$6:$B$55,'GP2'!$A$6:$A$55,0)</f>
        <v>5.3267487109222245</v>
      </c>
      <c r="I10" s="10">
        <f>_xlfn.XLOOKUP($B10,'GP3'!$C$6:$C$101,'GP3'!$B$6:$B$101,"")</f>
        <v>5</v>
      </c>
      <c r="J10" s="130">
        <f>_xlfn.XLOOKUP(I10,'GP3'!$B$6:$B$55,'GP3'!$A$6:$A$55,0)</f>
        <v>1</v>
      </c>
      <c r="K10" s="10" t="str">
        <f>_xlfn.XLOOKUP($B10,'GP4'!$C$6:$C$101,'GP4'!$B$6:$B$101,"")</f>
        <v>3k1</v>
      </c>
      <c r="L10" s="130">
        <f>_xlfn.XLOOKUP(K10,'GP4'!$B$6:$B$55,'GP4'!$A$6:$A$55,0)</f>
        <v>5.3267487109222245</v>
      </c>
      <c r="M10" s="10" t="str">
        <f>_xlfn.XLOOKUP($B10,'GP5'!$C$6:$C$101,'GP5'!$B$6:$B$101,"")</f>
        <v>3k1</v>
      </c>
      <c r="N10" s="130">
        <f>_xlfn.XLOOKUP(M10,'GP5'!$B$6:$B$55,'GP5'!$A$6:$A$55,0)</f>
        <v>15.930621888236271</v>
      </c>
      <c r="O10" s="10" t="str">
        <f>_xlfn.XLOOKUP(B10,MPW!C$6:C$101,MPW!B$6:B$101,"")</f>
        <v>6k1</v>
      </c>
      <c r="P10" s="133">
        <f>_xlfn.XLOOKUP(O10,MPW!$B$6:$B$55,MPW!$A$6:$A$55,0)</f>
        <v>1.2</v>
      </c>
      <c r="R10" s="14" t="str">
        <f>_xlfn.XLOOKUP($B10,'PEW1'!$C$6:$C$101,'PEW1'!$B$6:$B$101,"")</f>
        <v/>
      </c>
      <c r="S10" s="135">
        <f>_xlfn.XLOOKUP(R10,'PEW1'!$B$6:$B$55,'PEW1'!$A$6:$A$55,0)</f>
        <v>0</v>
      </c>
      <c r="T10" s="10" t="str">
        <f>_xlfn.XLOOKUP($B10,'PEW2'!$C$6:$C$101,'PEW2'!$B$6:$B$101,"")</f>
        <v/>
      </c>
      <c r="U10" s="134">
        <f>_xlfn.XLOOKUP(T10,'PEW2'!$B$6:$B$55,'PEW2'!$A$6:$A$55,0)</f>
        <v>0</v>
      </c>
      <c r="V10" s="10">
        <f>_xlfn.XLOOKUP($B10,'PEW3'!$C$6:$C$101,'PEW3'!$B$6:$B$101,"")</f>
        <v>5</v>
      </c>
      <c r="W10" s="134">
        <f>_xlfn.XLOOKUP(V10,'PEW3'!$B$6:$B$55,'PEW3'!$A$6:$A$55,0)</f>
        <v>1</v>
      </c>
      <c r="X10" s="10" t="str">
        <f>_xlfn.XLOOKUP($B10,'PEW4'!$C$6:$C$101,'PEW4'!$B$6:$B$101,"")</f>
        <v/>
      </c>
      <c r="Y10" s="134">
        <f>_xlfn.XLOOKUP(X10,'PEW4'!$B$6:$B$55,'PEW4'!$A$6:$A$55,0)</f>
        <v>0</v>
      </c>
      <c r="Z10" s="10" t="str">
        <f>_xlfn.XLOOKUP($B10,'PEW5'!$C$6:$C$101,'PEW5'!$B$6:$B$101,"")</f>
        <v/>
      </c>
      <c r="AA10" s="134">
        <f>_xlfn.XLOOKUP(Z10,'PEW5'!$B$6:$B$55,'PEW5'!$A$6:$A$55,0)</f>
        <v>0</v>
      </c>
      <c r="AB10" s="10" t="str">
        <f>_xlfn.XLOOKUP($B10,'PEW6'!$C$6:$C$101,'PEW6'!$B$6:$B$101,"")</f>
        <v/>
      </c>
      <c r="AC10" s="134">
        <f>_xlfn.XLOOKUP(AB10,'PEW6'!$B$6:$B$55,'PEW6'!$A$6:$A$55,0)</f>
        <v>0</v>
      </c>
      <c r="AD10" s="10" t="str">
        <f>_xlfn.XLOOKUP($B10,'PEW7'!$C$6:$C$101,'PEW7'!$B$6:$B$101,"")</f>
        <v/>
      </c>
      <c r="AE10" s="134">
        <f>_xlfn.XLOOKUP(AD10,'PEW7'!$B$6:$B$55,'PEW7'!$A$6:$A$55,0)</f>
        <v>0</v>
      </c>
      <c r="AF10" s="10" t="str" cm="1">
        <f t="array" ref="AF10">_xlfn.XLOOKUP($B10,IMEW!C$6:C$101,IMEW!$B$6:B$101,"")</f>
        <v/>
      </c>
      <c r="AG10" s="136">
        <f>_xlfn.XLOOKUP(AF10,IMEW!$B$6:$B$100,IMEW!$A$6:$A$100,0)</f>
        <v>0</v>
      </c>
      <c r="AI10" s="129">
        <f t="shared" si="0"/>
        <v>0</v>
      </c>
      <c r="AJ10" s="129">
        <f t="shared" si="1"/>
        <v>0</v>
      </c>
      <c r="AK10" s="129">
        <f t="shared" si="2"/>
        <v>1</v>
      </c>
      <c r="AL10" s="129">
        <f t="shared" si="3"/>
        <v>0</v>
      </c>
      <c r="AM10" s="129">
        <f t="shared" si="4"/>
        <v>0</v>
      </c>
      <c r="AN10" s="129">
        <f t="shared" si="5"/>
        <v>0</v>
      </c>
      <c r="AO10" s="129">
        <f t="shared" si="6"/>
        <v>0</v>
      </c>
    </row>
    <row r="11" spans="1:41" ht="14.85" customHeight="1" x14ac:dyDescent="0.2">
      <c r="A11" s="8">
        <f>ROW()-5</f>
        <v>6</v>
      </c>
      <c r="B11" s="12" t="s">
        <v>21</v>
      </c>
      <c r="C11" s="13"/>
      <c r="D11" s="132">
        <f>SUM(F11,H11,J11,L11,N11,P11)-MIN(F11,H11,J11,L11,N11)+SUM(LARGE(AI11:AO11,1),LARGE(AI11:AO11,2),AG11)</f>
        <v>33.807272055043818</v>
      </c>
      <c r="E11" s="14" t="str">
        <f>_xlfn.XLOOKUP($B11,'GP1'!$C$6:$C$101,'GP1'!$B$6:$B$101,"")</f>
        <v/>
      </c>
      <c r="F11" s="131">
        <f>_xlfn.XLOOKUP(E11,'GP1'!$B$6:$B$55,'GP1'!$A$6:$A$55,0)</f>
        <v>0</v>
      </c>
      <c r="G11" s="10" t="str">
        <f>_xlfn.XLOOKUP($B11,'GP2'!$C$6:$C$101,'GP2'!$B$6:$B$101,"")</f>
        <v/>
      </c>
      <c r="H11" s="130">
        <f>_xlfn.XLOOKUP(G11,'GP2'!$B$6:$B$55,'GP2'!$A$6:$A$55,0)</f>
        <v>0</v>
      </c>
      <c r="I11" s="10">
        <f>_xlfn.XLOOKUP($B11,'GP3'!$C$6:$C$101,'GP3'!$B$6:$B$101,"")</f>
        <v>4</v>
      </c>
      <c r="J11" s="130">
        <f>_xlfn.XLOOKUP(I11,'GP3'!$B$6:$B$55,'GP3'!$A$6:$A$55,0)</f>
        <v>22.088424891014924</v>
      </c>
      <c r="K11" s="10">
        <f>_xlfn.XLOOKUP($B11,'GP4'!$C$6:$C$101,'GP4'!$B$6:$B$101,"")</f>
        <v>3</v>
      </c>
      <c r="L11" s="130">
        <f>_xlfn.XLOOKUP(K11,'GP4'!$B$6:$B$55,'GP4'!$A$6:$A$55,0)</f>
        <v>5.3267487109222245</v>
      </c>
      <c r="M11" s="10" t="str">
        <f>_xlfn.XLOOKUP($B11,'GP5'!$C$6:$C$101,'GP5'!$B$6:$B$101,"")</f>
        <v/>
      </c>
      <c r="N11" s="130">
        <f>_xlfn.XLOOKUP(M11,'GP5'!$B$6:$B$55,'GP5'!$A$6:$A$55,0)</f>
        <v>0</v>
      </c>
      <c r="O11" s="10">
        <f>_xlfn.XLOOKUP(B11,MPW!C$6:C$101,MPW!B$6:B$101,"")</f>
        <v>3</v>
      </c>
      <c r="P11" s="133">
        <f>_xlfn.XLOOKUP(O11,MPW!$B$6:$B$55,MPW!$A$6:$A$55,0)</f>
        <v>6.3920984531066694</v>
      </c>
      <c r="R11" s="14" t="str">
        <f>_xlfn.XLOOKUP($B11,'PEW1'!$C$6:$C$101,'PEW1'!$B$6:$B$101,"")</f>
        <v/>
      </c>
      <c r="S11" s="135">
        <f>_xlfn.XLOOKUP(R11,'PEW1'!$B$6:$B$55,'PEW1'!$A$6:$A$55,0)</f>
        <v>0</v>
      </c>
      <c r="T11" s="10" t="str">
        <f>_xlfn.XLOOKUP($B11,'PEW2'!$C$6:$C$101,'PEW2'!$B$6:$B$101,"")</f>
        <v/>
      </c>
      <c r="U11" s="134">
        <f>_xlfn.XLOOKUP(T11,'PEW2'!$B$6:$B$55,'PEW2'!$A$6:$A$55,0)</f>
        <v>0</v>
      </c>
      <c r="V11" s="10" t="str">
        <f>_xlfn.XLOOKUP($B11,'PEW3'!$C$6:$C$101,'PEW3'!$B$6:$B$101,"")</f>
        <v/>
      </c>
      <c r="W11" s="134">
        <f>_xlfn.XLOOKUP(V11,'PEW3'!$B$6:$B$55,'PEW3'!$A$6:$A$55,0)</f>
        <v>0</v>
      </c>
      <c r="X11" s="10" t="str">
        <f>_xlfn.XLOOKUP($B11,'PEW4'!$C$6:$C$101,'PEW4'!$B$6:$B$101,"")</f>
        <v/>
      </c>
      <c r="Y11" s="134">
        <f>_xlfn.XLOOKUP(X11,'PEW4'!$B$6:$B$55,'PEW4'!$A$6:$A$55,0)</f>
        <v>0</v>
      </c>
      <c r="Z11" s="10" t="str">
        <f>_xlfn.XLOOKUP($B11,'PEW5'!$C$6:$C$101,'PEW5'!$B$6:$B$101,"")</f>
        <v/>
      </c>
      <c r="AA11" s="134">
        <f>_xlfn.XLOOKUP(Z11,'PEW5'!$B$6:$B$55,'PEW5'!$A$6:$A$55,0)</f>
        <v>0</v>
      </c>
      <c r="AB11" s="10" t="str">
        <f>_xlfn.XLOOKUP($B11,'PEW6'!$C$6:$C$101,'PEW6'!$B$6:$B$101,"")</f>
        <v/>
      </c>
      <c r="AC11" s="134">
        <f>_xlfn.XLOOKUP(AB11,'PEW6'!$B$6:$B$55,'PEW6'!$A$6:$A$55,0)</f>
        <v>0</v>
      </c>
      <c r="AD11" s="10" t="str">
        <f>_xlfn.XLOOKUP($B11,'PEW7'!$C$6:$C$101,'PEW7'!$B$6:$B$101,"")</f>
        <v/>
      </c>
      <c r="AE11" s="134">
        <f>_xlfn.XLOOKUP(AD11,'PEW7'!$B$6:$B$55,'PEW7'!$A$6:$A$55,0)</f>
        <v>0</v>
      </c>
      <c r="AF11" s="10" t="str" cm="1">
        <f t="array" ref="AF11">_xlfn.XLOOKUP($B11,IMEW!C$6:C$101,IMEW!$B$6:B$101,"")</f>
        <v/>
      </c>
      <c r="AG11" s="136">
        <f>_xlfn.XLOOKUP(AF11,IMEW!$B$6:$B$100,IMEW!$A$6:$A$100,0)</f>
        <v>0</v>
      </c>
      <c r="AI11" s="129">
        <f t="shared" si="0"/>
        <v>0</v>
      </c>
      <c r="AJ11" s="129">
        <f t="shared" si="1"/>
        <v>0</v>
      </c>
      <c r="AK11" s="129">
        <f t="shared" si="2"/>
        <v>0</v>
      </c>
      <c r="AL11" s="129">
        <f t="shared" si="3"/>
        <v>0</v>
      </c>
      <c r="AM11" s="129">
        <f t="shared" si="4"/>
        <v>0</v>
      </c>
      <c r="AN11" s="129">
        <f t="shared" si="5"/>
        <v>0</v>
      </c>
      <c r="AO11" s="129">
        <f t="shared" si="6"/>
        <v>0</v>
      </c>
    </row>
    <row r="12" spans="1:41" ht="14.85" customHeight="1" x14ac:dyDescent="0.2">
      <c r="A12" s="8">
        <f>ROW()-5</f>
        <v>7</v>
      </c>
      <c r="B12" s="12" t="s">
        <v>23</v>
      </c>
      <c r="C12" s="13"/>
      <c r="D12" s="132">
        <f>SUM(F12,H12,J12,L12,N12,P12)-MIN(F12,H12,J12,L12,N12)+SUM(LARGE(AI12:AO12,1),LARGE(AI12:AO12,2),AG12)</f>
        <v>0</v>
      </c>
      <c r="E12" s="14" t="str">
        <f>_xlfn.XLOOKUP($B12,'GP1'!$C$6:$C$101,'GP1'!$B$6:$B$101,"")</f>
        <v/>
      </c>
      <c r="F12" s="131">
        <f>_xlfn.XLOOKUP(E12,'GP1'!$B$6:$B$55,'GP1'!$A$6:$A$55,0)</f>
        <v>0</v>
      </c>
      <c r="G12" s="10" t="str">
        <f>_xlfn.XLOOKUP($B12,'GP2'!$C$6:$C$101,'GP2'!$B$6:$B$101,"")</f>
        <v/>
      </c>
      <c r="H12" s="130">
        <f>_xlfn.XLOOKUP(G12,'GP2'!$B$6:$B$55,'GP2'!$A$6:$A$55,0)</f>
        <v>0</v>
      </c>
      <c r="I12" s="10" t="str">
        <f>_xlfn.XLOOKUP($B12,'GP3'!$C$6:$C$101,'GP3'!$B$6:$B$101,"")</f>
        <v/>
      </c>
      <c r="J12" s="130">
        <f>_xlfn.XLOOKUP(I12,'GP3'!$B$6:$B$55,'GP3'!$A$6:$A$55,0)</f>
        <v>0</v>
      </c>
      <c r="K12" s="10" t="str">
        <f>_xlfn.XLOOKUP($B12,'GP4'!$C$6:$C$101,'GP4'!$B$6:$B$101,"")</f>
        <v/>
      </c>
      <c r="L12" s="130">
        <f>_xlfn.XLOOKUP(K12,'GP4'!$B$6:$B$55,'GP4'!$A$6:$A$55,0)</f>
        <v>0</v>
      </c>
      <c r="M12" s="10" t="str">
        <f>_xlfn.XLOOKUP($B12,'GP5'!$C$6:$C$101,'GP5'!$B$6:$B$101,"")</f>
        <v/>
      </c>
      <c r="N12" s="130">
        <f>_xlfn.XLOOKUP(M12,'GP5'!$B$6:$B$55,'GP5'!$A$6:$A$55,0)</f>
        <v>0</v>
      </c>
      <c r="O12" s="10" t="str">
        <f>_xlfn.XLOOKUP(B12,MPW!C$6:C$101,MPW!B$6:B$101,"")</f>
        <v/>
      </c>
      <c r="P12" s="133">
        <f>_xlfn.XLOOKUP(O12,MPW!$B$6:$B$55,MPW!$A$6:$A$55,0)</f>
        <v>0</v>
      </c>
      <c r="R12" s="14" t="str">
        <f>_xlfn.XLOOKUP($B12,'PEW1'!$C$6:$C$101,'PEW1'!$B$6:$B$101,"")</f>
        <v/>
      </c>
      <c r="S12" s="135">
        <f>_xlfn.XLOOKUP(R12,'PEW1'!$B$6:$B$55,'PEW1'!$A$6:$A$55,0)</f>
        <v>0</v>
      </c>
      <c r="T12" s="10" t="str">
        <f>_xlfn.XLOOKUP($B12,'PEW2'!$C$6:$C$101,'PEW2'!$B$6:$B$101,"")</f>
        <v/>
      </c>
      <c r="U12" s="134">
        <f>_xlfn.XLOOKUP(T12,'PEW2'!$B$6:$B$55,'PEW2'!$A$6:$A$55,0)</f>
        <v>0</v>
      </c>
      <c r="V12" s="10" t="str">
        <f>_xlfn.XLOOKUP($B12,'PEW3'!$C$6:$C$101,'PEW3'!$B$6:$B$101,"")</f>
        <v/>
      </c>
      <c r="W12" s="134">
        <f>_xlfn.XLOOKUP(V12,'PEW3'!$B$6:$B$55,'PEW3'!$A$6:$A$55,0)</f>
        <v>0</v>
      </c>
      <c r="X12" s="10" t="str">
        <f>_xlfn.XLOOKUP($B12,'PEW4'!$C$6:$C$101,'PEW4'!$B$6:$B$101,"")</f>
        <v/>
      </c>
      <c r="Y12" s="134">
        <f>_xlfn.XLOOKUP(X12,'PEW4'!$B$6:$B$55,'PEW4'!$A$6:$A$55,0)</f>
        <v>0</v>
      </c>
      <c r="Z12" s="10" t="str">
        <f>_xlfn.XLOOKUP($B12,'PEW5'!$C$6:$C$101,'PEW5'!$B$6:$B$101,"")</f>
        <v/>
      </c>
      <c r="AA12" s="134">
        <f>_xlfn.XLOOKUP(Z12,'PEW5'!$B$6:$B$55,'PEW5'!$A$6:$A$55,0)</f>
        <v>0</v>
      </c>
      <c r="AB12" s="10" t="str">
        <f>_xlfn.XLOOKUP($B12,'PEW6'!$C$6:$C$101,'PEW6'!$B$6:$B$101,"")</f>
        <v/>
      </c>
      <c r="AC12" s="134">
        <f>_xlfn.XLOOKUP(AB12,'PEW6'!$B$6:$B$55,'PEW6'!$A$6:$A$55,0)</f>
        <v>0</v>
      </c>
      <c r="AD12" s="10" t="str">
        <f>_xlfn.XLOOKUP($B12,'PEW7'!$C$6:$C$101,'PEW7'!$B$6:$B$101,"")</f>
        <v/>
      </c>
      <c r="AE12" s="134">
        <f>_xlfn.XLOOKUP(AD12,'PEW7'!$B$6:$B$55,'PEW7'!$A$6:$A$55,0)</f>
        <v>0</v>
      </c>
      <c r="AF12" s="10" t="str" cm="1">
        <f t="array" ref="AF12">_xlfn.XLOOKUP($B12,IMEW!C$6:C$101,IMEW!$B$6:B$101,"")</f>
        <v/>
      </c>
      <c r="AG12" s="136">
        <f>_xlfn.XLOOKUP(AF12,IMEW!$B$6:$B$100,IMEW!$A$6:$A$100,0)</f>
        <v>0</v>
      </c>
      <c r="AI12" s="129">
        <f t="shared" si="0"/>
        <v>0</v>
      </c>
      <c r="AJ12" s="129">
        <f t="shared" si="1"/>
        <v>0</v>
      </c>
      <c r="AK12" s="129">
        <f t="shared" si="2"/>
        <v>0</v>
      </c>
      <c r="AL12" s="129">
        <f t="shared" si="3"/>
        <v>0</v>
      </c>
      <c r="AM12" s="129">
        <f t="shared" si="4"/>
        <v>0</v>
      </c>
      <c r="AN12" s="129">
        <f t="shared" si="5"/>
        <v>0</v>
      </c>
      <c r="AO12" s="129">
        <f t="shared" si="6"/>
        <v>0</v>
      </c>
    </row>
    <row r="13" spans="1:41" ht="14.85" customHeight="1" x14ac:dyDescent="0.2">
      <c r="A13" s="8">
        <f>ROW()-5</f>
        <v>8</v>
      </c>
      <c r="B13" s="12"/>
      <c r="C13" s="13"/>
      <c r="D13" s="132">
        <f>SUM(F13,H13,J13,L13,N13,P13)-MIN(F13,H13,J13,L13,N13)+SUM(LARGE(AI13:AO13,1),LARGE(AI13:AO13,2),AG13)</f>
        <v>0</v>
      </c>
      <c r="E13" s="14">
        <f>_xlfn.XLOOKUP($B13,'GP1'!$C$6:$C$101,'GP1'!$B$6:$B$101,"")</f>
        <v>0</v>
      </c>
      <c r="F13" s="131">
        <f>_xlfn.XLOOKUP(E13,'GP1'!$B$6:$B$55,'GP1'!$A$6:$A$55,0)</f>
        <v>0</v>
      </c>
      <c r="G13" s="10">
        <f>_xlfn.XLOOKUP($B13,'GP2'!$C$6:$C$101,'GP2'!$B$6:$B$101,"")</f>
        <v>0</v>
      </c>
      <c r="H13" s="130">
        <f>_xlfn.XLOOKUP(G13,'GP2'!$B$6:$B$55,'GP2'!$A$6:$A$55,0)</f>
        <v>0</v>
      </c>
      <c r="I13" s="10" t="str">
        <f>_xlfn.XLOOKUP($B13,'GP3'!$C$6:$C$101,'GP3'!$B$6:$B$101,"")</f>
        <v/>
      </c>
      <c r="J13" s="130">
        <f>_xlfn.XLOOKUP(I13,'GP3'!$B$6:$B$55,'GP3'!$A$6:$A$55,0)</f>
        <v>0</v>
      </c>
      <c r="K13" s="10" t="str">
        <f>_xlfn.XLOOKUP($B13,'GP4'!$C$6:$C$101,'GP4'!$B$6:$B$101,"")</f>
        <v/>
      </c>
      <c r="L13" s="130">
        <f>_xlfn.XLOOKUP(K13,'GP4'!$B$6:$B$55,'GP4'!$A$6:$A$55,0)</f>
        <v>0</v>
      </c>
      <c r="M13" s="10" t="str">
        <f>_xlfn.XLOOKUP($B13,'GP5'!$C$6:$C$101,'GP5'!$B$6:$B$101,"")</f>
        <v/>
      </c>
      <c r="N13" s="130">
        <f>_xlfn.XLOOKUP(M13,'GP5'!$B$6:$B$55,'GP5'!$A$6:$A$55,0)</f>
        <v>0</v>
      </c>
      <c r="O13" s="10" t="str">
        <f>_xlfn.XLOOKUP(B13,MPW!C$6:C$101,MPW!B$6:B$101,"")</f>
        <v/>
      </c>
      <c r="P13" s="133">
        <f>_xlfn.XLOOKUP(O13,MPW!$B$6:$B$55,MPW!$A$6:$A$55,0)</f>
        <v>0</v>
      </c>
      <c r="R13" s="14" t="str">
        <f>_xlfn.XLOOKUP($B13,'PEW1'!$C$6:$C$101,'PEW1'!$B$6:$B$101,"")</f>
        <v/>
      </c>
      <c r="S13" s="135">
        <f>_xlfn.XLOOKUP(R13,'PEW1'!$B$6:$B$55,'PEW1'!$A$6:$A$55,0)</f>
        <v>0</v>
      </c>
      <c r="T13" s="10" t="str">
        <f>_xlfn.XLOOKUP($B13,'PEW2'!$C$6:$C$101,'PEW2'!$B$6:$B$101,"")</f>
        <v/>
      </c>
      <c r="U13" s="134">
        <f>_xlfn.XLOOKUP(T13,'PEW2'!$B$6:$B$55,'PEW2'!$A$6:$A$55,0)</f>
        <v>0</v>
      </c>
      <c r="V13" s="10" t="str">
        <f>_xlfn.XLOOKUP($B13,'PEW3'!$C$6:$C$101,'PEW3'!$B$6:$B$101,"")</f>
        <v/>
      </c>
      <c r="W13" s="134">
        <f>_xlfn.XLOOKUP(V13,'PEW3'!$B$6:$B$55,'PEW3'!$A$6:$A$55,0)</f>
        <v>0</v>
      </c>
      <c r="X13" s="10" t="str">
        <f>_xlfn.XLOOKUP($B13,'PEW4'!$C$6:$C$101,'PEW4'!$B$6:$B$101,"")</f>
        <v/>
      </c>
      <c r="Y13" s="134">
        <f>_xlfn.XLOOKUP(X13,'PEW4'!$B$6:$B$55,'PEW4'!$A$6:$A$55,0)</f>
        <v>0</v>
      </c>
      <c r="Z13" s="10" t="str">
        <f>_xlfn.XLOOKUP($B13,'PEW5'!$C$6:$C$101,'PEW5'!$B$6:$B$101,"")</f>
        <v/>
      </c>
      <c r="AA13" s="134">
        <f>_xlfn.XLOOKUP(Z13,'PEW5'!$B$6:$B$55,'PEW5'!$A$6:$A$55,0)</f>
        <v>0</v>
      </c>
      <c r="AB13" s="10" t="str">
        <f>_xlfn.XLOOKUP($B13,'PEW6'!$C$6:$C$101,'PEW6'!$B$6:$B$101,"")</f>
        <v/>
      </c>
      <c r="AC13" s="134">
        <f>_xlfn.XLOOKUP(AB13,'PEW6'!$B$6:$B$55,'PEW6'!$A$6:$A$55,0)</f>
        <v>0</v>
      </c>
      <c r="AD13" s="10" t="str">
        <f>_xlfn.XLOOKUP($B13,'PEW7'!$C$6:$C$101,'PEW7'!$B$6:$B$101,"")</f>
        <v/>
      </c>
      <c r="AE13" s="134">
        <f>_xlfn.XLOOKUP(AD13,'PEW7'!$B$6:$B$55,'PEW7'!$A$6:$A$55,0)</f>
        <v>0</v>
      </c>
      <c r="AF13" s="10" t="str" cm="1">
        <f t="array" ref="AF13">_xlfn.XLOOKUP($B13,IMEW!C$6:C$101,IMEW!$B$6:B$101,"")</f>
        <v/>
      </c>
      <c r="AG13" s="136">
        <f>_xlfn.XLOOKUP(AF13,IMEW!$B$6:$B$100,IMEW!$A$6:$A$100,0)</f>
        <v>0</v>
      </c>
      <c r="AI13" s="129">
        <f t="shared" si="0"/>
        <v>0</v>
      </c>
      <c r="AJ13" s="129">
        <f t="shared" si="1"/>
        <v>0</v>
      </c>
      <c r="AK13" s="129">
        <f t="shared" si="2"/>
        <v>0</v>
      </c>
      <c r="AL13" s="129">
        <f t="shared" si="3"/>
        <v>0</v>
      </c>
      <c r="AM13" s="129">
        <f t="shared" si="4"/>
        <v>0</v>
      </c>
      <c r="AN13" s="129">
        <f t="shared" si="5"/>
        <v>0</v>
      </c>
      <c r="AO13" s="129">
        <f t="shared" si="6"/>
        <v>0</v>
      </c>
    </row>
    <row r="14" spans="1:41" ht="14.85" customHeight="1" x14ac:dyDescent="0.2">
      <c r="A14" s="8">
        <f>ROW()-5</f>
        <v>9</v>
      </c>
      <c r="B14" s="12"/>
      <c r="C14" s="13"/>
      <c r="D14" s="132">
        <f>SUM(F14,H14,J14,L14,N14,P14)-MIN(F14,H14,J14,L14,N14)+SUM(LARGE(AI14:AO14,1),LARGE(AI14:AO14,2),AG14)</f>
        <v>0</v>
      </c>
      <c r="E14" s="14">
        <f>_xlfn.XLOOKUP($B14,'GP1'!$C$6:$C$101,'GP1'!$B$6:$B$101,"")</f>
        <v>0</v>
      </c>
      <c r="F14" s="131">
        <f>_xlfn.XLOOKUP(E14,'GP1'!$B$6:$B$55,'GP1'!$A$6:$A$55,0)</f>
        <v>0</v>
      </c>
      <c r="G14" s="10">
        <f>_xlfn.XLOOKUP($B14,'GP2'!$C$6:$C$101,'GP2'!$B$6:$B$101,"")</f>
        <v>0</v>
      </c>
      <c r="H14" s="130">
        <f>_xlfn.XLOOKUP(G14,'GP2'!$B$6:$B$55,'GP2'!$A$6:$A$55,0)</f>
        <v>0</v>
      </c>
      <c r="I14" s="10" t="str">
        <f>_xlfn.XLOOKUP($B14,'GP3'!$C$6:$C$101,'GP3'!$B$6:$B$101,"")</f>
        <v/>
      </c>
      <c r="J14" s="130">
        <f>_xlfn.XLOOKUP(I14,'GP3'!$B$6:$B$55,'GP3'!$A$6:$A$55,0)</f>
        <v>0</v>
      </c>
      <c r="K14" s="10" t="str">
        <f>_xlfn.XLOOKUP($B14,'GP4'!$C$6:$C$101,'GP4'!$B$6:$B$101,"")</f>
        <v/>
      </c>
      <c r="L14" s="130">
        <f>_xlfn.XLOOKUP(K14,'GP4'!$B$6:$B$55,'GP4'!$A$6:$A$55,0)</f>
        <v>0</v>
      </c>
      <c r="M14" s="10" t="str">
        <f>_xlfn.XLOOKUP($B14,'GP5'!$C$6:$C$101,'GP5'!$B$6:$B$101,"")</f>
        <v/>
      </c>
      <c r="N14" s="130">
        <f>_xlfn.XLOOKUP(M14,'GP5'!$B$6:$B$55,'GP5'!$A$6:$A$55,0)</f>
        <v>0</v>
      </c>
      <c r="O14" s="10" t="str">
        <f>_xlfn.XLOOKUP(B14,MPW!C$6:C$101,MPW!B$6:B$101,"")</f>
        <v/>
      </c>
      <c r="P14" s="133">
        <f>_xlfn.XLOOKUP(O14,MPW!$B$6:$B$55,MPW!$A$6:$A$55,0)</f>
        <v>0</v>
      </c>
      <c r="R14" s="14" t="str">
        <f>_xlfn.XLOOKUP($B14,'PEW1'!$C$6:$C$101,'PEW1'!$B$6:$B$101,"")</f>
        <v/>
      </c>
      <c r="S14" s="135">
        <f>_xlfn.XLOOKUP(R14,'PEW1'!$B$6:$B$55,'PEW1'!$A$6:$A$55,0)</f>
        <v>0</v>
      </c>
      <c r="T14" s="10" t="str">
        <f>_xlfn.XLOOKUP($B14,'PEW2'!$C$6:$C$101,'PEW2'!$B$6:$B$101,"")</f>
        <v/>
      </c>
      <c r="U14" s="134">
        <f>_xlfn.XLOOKUP(T14,'PEW2'!$B$6:$B$55,'PEW2'!$A$6:$A$55,0)</f>
        <v>0</v>
      </c>
      <c r="V14" s="10" t="str">
        <f>_xlfn.XLOOKUP($B14,'PEW3'!$C$6:$C$101,'PEW3'!$B$6:$B$101,"")</f>
        <v/>
      </c>
      <c r="W14" s="134">
        <f>_xlfn.XLOOKUP(V14,'PEW3'!$B$6:$B$55,'PEW3'!$A$6:$A$55,0)</f>
        <v>0</v>
      </c>
      <c r="X14" s="10" t="str">
        <f>_xlfn.XLOOKUP($B14,'PEW4'!$C$6:$C$101,'PEW4'!$B$6:$B$101,"")</f>
        <v/>
      </c>
      <c r="Y14" s="134">
        <f>_xlfn.XLOOKUP(X14,'PEW4'!$B$6:$B$55,'PEW4'!$A$6:$A$55,0)</f>
        <v>0</v>
      </c>
      <c r="Z14" s="10" t="str">
        <f>_xlfn.XLOOKUP($B14,'PEW5'!$C$6:$C$101,'PEW5'!$B$6:$B$101,"")</f>
        <v/>
      </c>
      <c r="AA14" s="134">
        <f>_xlfn.XLOOKUP(Z14,'PEW5'!$B$6:$B$55,'PEW5'!$A$6:$A$55,0)</f>
        <v>0</v>
      </c>
      <c r="AB14" s="10" t="str">
        <f>_xlfn.XLOOKUP($B14,'PEW6'!$C$6:$C$101,'PEW6'!$B$6:$B$101,"")</f>
        <v/>
      </c>
      <c r="AC14" s="134">
        <f>_xlfn.XLOOKUP(AB14,'PEW6'!$B$6:$B$55,'PEW6'!$A$6:$A$55,0)</f>
        <v>0</v>
      </c>
      <c r="AD14" s="10" t="str">
        <f>_xlfn.XLOOKUP($B14,'PEW7'!$C$6:$C$101,'PEW7'!$B$6:$B$101,"")</f>
        <v/>
      </c>
      <c r="AE14" s="134">
        <f>_xlfn.XLOOKUP(AD14,'PEW7'!$B$6:$B$55,'PEW7'!$A$6:$A$55,0)</f>
        <v>0</v>
      </c>
      <c r="AF14" s="10" t="str" cm="1">
        <f t="array" ref="AF14">_xlfn.XLOOKUP($B14,IMEW!C$6:C$101,IMEW!$B$6:B$101,"")</f>
        <v/>
      </c>
      <c r="AG14" s="136">
        <f>_xlfn.XLOOKUP(AF14,IMEW!$B$6:$B$100,IMEW!$A$6:$A$100,0)</f>
        <v>0</v>
      </c>
      <c r="AI14" s="129">
        <f t="shared" si="0"/>
        <v>0</v>
      </c>
      <c r="AJ14" s="129">
        <f t="shared" si="1"/>
        <v>0</v>
      </c>
      <c r="AK14" s="129">
        <f t="shared" si="2"/>
        <v>0</v>
      </c>
      <c r="AL14" s="129">
        <f t="shared" si="3"/>
        <v>0</v>
      </c>
      <c r="AM14" s="129">
        <f t="shared" si="4"/>
        <v>0</v>
      </c>
      <c r="AN14" s="129">
        <f t="shared" si="5"/>
        <v>0</v>
      </c>
      <c r="AO14" s="129">
        <f t="shared" si="6"/>
        <v>0</v>
      </c>
    </row>
    <row r="15" spans="1:41" ht="14.85" customHeight="1" x14ac:dyDescent="0.2">
      <c r="A15" s="8">
        <f>ROW()-5</f>
        <v>10</v>
      </c>
      <c r="B15" s="12"/>
      <c r="C15" s="13"/>
      <c r="D15" s="132">
        <f>SUM(F15,H15,J15,L15,N15,P15)-MIN(F15,H15,J15,L15,N15)+SUM(LARGE(AI15:AO15,1),LARGE(AI15:AO15,2),AG15)</f>
        <v>0</v>
      </c>
      <c r="E15" s="14">
        <f>_xlfn.XLOOKUP($B15,'GP1'!$C$6:$C$101,'GP1'!$B$6:$B$101,"")</f>
        <v>0</v>
      </c>
      <c r="F15" s="131">
        <f>_xlfn.XLOOKUP(E15,'GP1'!$B$6:$B$55,'GP1'!$A$6:$A$55,0)</f>
        <v>0</v>
      </c>
      <c r="G15" s="10">
        <f>_xlfn.XLOOKUP($B15,'GP2'!$C$6:$C$101,'GP2'!$B$6:$B$101,"")</f>
        <v>0</v>
      </c>
      <c r="H15" s="130">
        <f>_xlfn.XLOOKUP(G15,'GP2'!$B$6:$B$55,'GP2'!$A$6:$A$55,0)</f>
        <v>0</v>
      </c>
      <c r="I15" s="10" t="str">
        <f>_xlfn.XLOOKUP($B15,'GP3'!$C$6:$C$101,'GP3'!$B$6:$B$101,"")</f>
        <v/>
      </c>
      <c r="J15" s="130">
        <f>_xlfn.XLOOKUP(I15,'GP3'!$B$6:$B$55,'GP3'!$A$6:$A$55,0)</f>
        <v>0</v>
      </c>
      <c r="K15" s="10" t="str">
        <f>_xlfn.XLOOKUP($B15,'GP4'!$C$6:$C$101,'GP4'!$B$6:$B$101,"")</f>
        <v/>
      </c>
      <c r="L15" s="130">
        <f>_xlfn.XLOOKUP(K15,'GP4'!$B$6:$B$55,'GP4'!$A$6:$A$55,0)</f>
        <v>0</v>
      </c>
      <c r="M15" s="10" t="str">
        <f>_xlfn.XLOOKUP($B15,'GP5'!$C$6:$C$101,'GP5'!$B$6:$B$101,"")</f>
        <v/>
      </c>
      <c r="N15" s="130">
        <f>_xlfn.XLOOKUP(M15,'GP5'!$B$6:$B$55,'GP5'!$A$6:$A$55,0)</f>
        <v>0</v>
      </c>
      <c r="O15" s="10" t="str">
        <f>_xlfn.XLOOKUP(B15,MPW!C$6:C$101,MPW!B$6:B$101,"")</f>
        <v/>
      </c>
      <c r="P15" s="133">
        <f>_xlfn.XLOOKUP(O15,MPW!$B$6:$B$55,MPW!$A$6:$A$55,0)</f>
        <v>0</v>
      </c>
      <c r="R15" s="14" t="str">
        <f>_xlfn.XLOOKUP($B15,'PEW1'!$C$6:$C$101,'PEW1'!$B$6:$B$101,"")</f>
        <v/>
      </c>
      <c r="S15" s="135">
        <f>_xlfn.XLOOKUP(R15,'PEW1'!$B$6:$B$55,'PEW1'!$A$6:$A$55,0)</f>
        <v>0</v>
      </c>
      <c r="T15" s="10" t="str">
        <f>_xlfn.XLOOKUP($B15,'PEW2'!$C$6:$C$101,'PEW2'!$B$6:$B$101,"")</f>
        <v/>
      </c>
      <c r="U15" s="134">
        <f>_xlfn.XLOOKUP(T15,'PEW2'!$B$6:$B$55,'PEW2'!$A$6:$A$55,0)</f>
        <v>0</v>
      </c>
      <c r="V15" s="10" t="str">
        <f>_xlfn.XLOOKUP($B15,'PEW3'!$C$6:$C$101,'PEW3'!$B$6:$B$101,"")</f>
        <v/>
      </c>
      <c r="W15" s="134">
        <f>_xlfn.XLOOKUP(V15,'PEW3'!$B$6:$B$55,'PEW3'!$A$6:$A$55,0)</f>
        <v>0</v>
      </c>
      <c r="X15" s="10" t="str">
        <f>_xlfn.XLOOKUP($B15,'PEW4'!$C$6:$C$101,'PEW4'!$B$6:$B$101,"")</f>
        <v/>
      </c>
      <c r="Y15" s="134">
        <f>_xlfn.XLOOKUP(X15,'PEW4'!$B$6:$B$55,'PEW4'!$A$6:$A$55,0)</f>
        <v>0</v>
      </c>
      <c r="Z15" s="10" t="str">
        <f>_xlfn.XLOOKUP($B15,'PEW5'!$C$6:$C$101,'PEW5'!$B$6:$B$101,"")</f>
        <v/>
      </c>
      <c r="AA15" s="134">
        <f>_xlfn.XLOOKUP(Z15,'PEW5'!$B$6:$B$55,'PEW5'!$A$6:$A$55,0)</f>
        <v>0</v>
      </c>
      <c r="AB15" s="10" t="str">
        <f>_xlfn.XLOOKUP($B15,'PEW6'!$C$6:$C$101,'PEW6'!$B$6:$B$101,"")</f>
        <v/>
      </c>
      <c r="AC15" s="134">
        <f>_xlfn.XLOOKUP(AB15,'PEW6'!$B$6:$B$55,'PEW6'!$A$6:$A$55,0)</f>
        <v>0</v>
      </c>
      <c r="AD15" s="10" t="str">
        <f>_xlfn.XLOOKUP($B15,'PEW7'!$C$6:$C$101,'PEW7'!$B$6:$B$101,"")</f>
        <v/>
      </c>
      <c r="AE15" s="134">
        <f>_xlfn.XLOOKUP(AD15,'PEW7'!$B$6:$B$55,'PEW7'!$A$6:$A$55,0)</f>
        <v>0</v>
      </c>
      <c r="AF15" s="10" t="str" cm="1">
        <f t="array" ref="AF15">_xlfn.XLOOKUP($B15,IMEW!C$6:C$101,IMEW!$B$6:B$101,"")</f>
        <v/>
      </c>
      <c r="AG15" s="136">
        <f>_xlfn.XLOOKUP(AF15,IMEW!$B$6:$B$100,IMEW!$A$6:$A$100,0)</f>
        <v>0</v>
      </c>
      <c r="AI15" s="129">
        <f t="shared" si="0"/>
        <v>0</v>
      </c>
      <c r="AJ15" s="129">
        <f t="shared" si="1"/>
        <v>0</v>
      </c>
      <c r="AK15" s="129">
        <f t="shared" si="2"/>
        <v>0</v>
      </c>
      <c r="AL15" s="129">
        <f t="shared" si="3"/>
        <v>0</v>
      </c>
      <c r="AM15" s="129">
        <f t="shared" si="4"/>
        <v>0</v>
      </c>
      <c r="AN15" s="129">
        <f t="shared" si="5"/>
        <v>0</v>
      </c>
      <c r="AO15" s="129">
        <f t="shared" si="6"/>
        <v>0</v>
      </c>
    </row>
    <row r="16" spans="1:41" ht="14.85" customHeight="1" x14ac:dyDescent="0.2">
      <c r="A16" s="8">
        <f>ROW()-5</f>
        <v>11</v>
      </c>
      <c r="B16" s="12"/>
      <c r="C16" s="13"/>
      <c r="D16" s="132">
        <f>SUM(F16,H16,J16,L16,N16,P16)-MIN(F16,H16,J16,L16,N16)+SUM(LARGE(AI16:AO16,1),LARGE(AI16:AO16,2),AG16)</f>
        <v>0</v>
      </c>
      <c r="E16" s="14">
        <f>_xlfn.XLOOKUP($B16,'GP1'!$C$6:$C$101,'GP1'!$B$6:$B$101,"")</f>
        <v>0</v>
      </c>
      <c r="F16" s="131">
        <f>_xlfn.XLOOKUP(E16,'GP1'!$B$6:$B$55,'GP1'!$A$6:$A$55,0)</f>
        <v>0</v>
      </c>
      <c r="G16" s="10">
        <f>_xlfn.XLOOKUP($B16,'GP2'!$C$6:$C$101,'GP2'!$B$6:$B$101,"")</f>
        <v>0</v>
      </c>
      <c r="H16" s="130">
        <f>_xlfn.XLOOKUP(G16,'GP2'!$B$6:$B$55,'GP2'!$A$6:$A$55,0)</f>
        <v>0</v>
      </c>
      <c r="I16" s="10" t="str">
        <f>_xlfn.XLOOKUP($B16,'GP3'!$C$6:$C$101,'GP3'!$B$6:$B$101,"")</f>
        <v/>
      </c>
      <c r="J16" s="130">
        <f>_xlfn.XLOOKUP(I16,'GP3'!$B$6:$B$55,'GP3'!$A$6:$A$55,0)</f>
        <v>0</v>
      </c>
      <c r="K16" s="10" t="str">
        <f>_xlfn.XLOOKUP($B16,'GP4'!$C$6:$C$101,'GP4'!$B$6:$B$101,"")</f>
        <v/>
      </c>
      <c r="L16" s="130">
        <f>_xlfn.XLOOKUP(K16,'GP4'!$B$6:$B$55,'GP4'!$A$6:$A$55,0)</f>
        <v>0</v>
      </c>
      <c r="M16" s="10" t="str">
        <f>_xlfn.XLOOKUP($B16,'GP5'!$C$6:$C$101,'GP5'!$B$6:$B$101,"")</f>
        <v/>
      </c>
      <c r="N16" s="130">
        <f>_xlfn.XLOOKUP(M16,'GP5'!$B$6:$B$55,'GP5'!$A$6:$A$55,0)</f>
        <v>0</v>
      </c>
      <c r="O16" s="10" t="str">
        <f>_xlfn.XLOOKUP(B16,MPW!C$6:C$101,MPW!B$6:B$101,"")</f>
        <v/>
      </c>
      <c r="P16" s="133">
        <f>_xlfn.XLOOKUP(O16,MPW!$B$6:$B$55,MPW!$A$6:$A$55,0)</f>
        <v>0</v>
      </c>
      <c r="R16" s="14" t="str">
        <f>_xlfn.XLOOKUP($B16,'PEW1'!$C$6:$C$101,'PEW1'!$B$6:$B$101,"")</f>
        <v/>
      </c>
      <c r="S16" s="135">
        <f>_xlfn.XLOOKUP(R16,'PEW1'!$B$6:$B$55,'PEW1'!$A$6:$A$55,0)</f>
        <v>0</v>
      </c>
      <c r="T16" s="10" t="str">
        <f>_xlfn.XLOOKUP($B16,'PEW2'!$C$6:$C$101,'PEW2'!$B$6:$B$101,"")</f>
        <v/>
      </c>
      <c r="U16" s="134">
        <f>_xlfn.XLOOKUP(T16,'PEW2'!$B$6:$B$55,'PEW2'!$A$6:$A$55,0)</f>
        <v>0</v>
      </c>
      <c r="V16" s="10" t="str">
        <f>_xlfn.XLOOKUP($B16,'PEW3'!$C$6:$C$101,'PEW3'!$B$6:$B$101,"")</f>
        <v/>
      </c>
      <c r="W16" s="134">
        <f>_xlfn.XLOOKUP(V16,'PEW3'!$B$6:$B$55,'PEW3'!$A$6:$A$55,0)</f>
        <v>0</v>
      </c>
      <c r="X16" s="10" t="str">
        <f>_xlfn.XLOOKUP($B16,'PEW4'!$C$6:$C$101,'PEW4'!$B$6:$B$101,"")</f>
        <v/>
      </c>
      <c r="Y16" s="134">
        <f>_xlfn.XLOOKUP(X16,'PEW4'!$B$6:$B$55,'PEW4'!$A$6:$A$55,0)</f>
        <v>0</v>
      </c>
      <c r="Z16" s="10" t="str">
        <f>_xlfn.XLOOKUP($B16,'PEW5'!$C$6:$C$101,'PEW5'!$B$6:$B$101,"")</f>
        <v/>
      </c>
      <c r="AA16" s="134">
        <f>_xlfn.XLOOKUP(Z16,'PEW5'!$B$6:$B$55,'PEW5'!$A$6:$A$55,0)</f>
        <v>0</v>
      </c>
      <c r="AB16" s="10" t="str">
        <f>_xlfn.XLOOKUP($B16,'PEW6'!$C$6:$C$101,'PEW6'!$B$6:$B$101,"")</f>
        <v/>
      </c>
      <c r="AC16" s="134">
        <f>_xlfn.XLOOKUP(AB16,'PEW6'!$B$6:$B$55,'PEW6'!$A$6:$A$55,0)</f>
        <v>0</v>
      </c>
      <c r="AD16" s="10" t="str">
        <f>_xlfn.XLOOKUP($B16,'PEW7'!$C$6:$C$101,'PEW7'!$B$6:$B$101,"")</f>
        <v/>
      </c>
      <c r="AE16" s="134">
        <f>_xlfn.XLOOKUP(AD16,'PEW7'!$B$6:$B$55,'PEW7'!$A$6:$A$55,0)</f>
        <v>0</v>
      </c>
      <c r="AF16" s="10" t="str" cm="1">
        <f t="array" ref="AF16">_xlfn.XLOOKUP($B16,IMEW!C$6:C$101,IMEW!$B$6:B$101,"")</f>
        <v/>
      </c>
      <c r="AG16" s="136">
        <f>_xlfn.XLOOKUP(AF16,IMEW!$B$6:$B$100,IMEW!$A$6:$A$100,0)</f>
        <v>0</v>
      </c>
      <c r="AI16" s="129">
        <f t="shared" si="0"/>
        <v>0</v>
      </c>
      <c r="AJ16" s="129">
        <f t="shared" si="1"/>
        <v>0</v>
      </c>
      <c r="AK16" s="129">
        <f t="shared" si="2"/>
        <v>0</v>
      </c>
      <c r="AL16" s="129">
        <f t="shared" si="3"/>
        <v>0</v>
      </c>
      <c r="AM16" s="129">
        <f t="shared" si="4"/>
        <v>0</v>
      </c>
      <c r="AN16" s="129">
        <f t="shared" si="5"/>
        <v>0</v>
      </c>
      <c r="AO16" s="129">
        <f t="shared" si="6"/>
        <v>0</v>
      </c>
    </row>
    <row r="17" spans="1:41" ht="14.85" customHeight="1" x14ac:dyDescent="0.2">
      <c r="A17" s="8">
        <f>ROW()-5</f>
        <v>12</v>
      </c>
      <c r="B17" s="12"/>
      <c r="C17" s="13"/>
      <c r="D17" s="132">
        <f>SUM(F17,H17,J17,L17,N17,P17)-MIN(F17,H17,J17,L17,N17)+SUM(LARGE(AI17:AO17,1),LARGE(AI17:AO17,2),AG17)</f>
        <v>0</v>
      </c>
      <c r="E17" s="14">
        <f>_xlfn.XLOOKUP($B17,'GP1'!$C$6:$C$101,'GP1'!$B$6:$B$101,"")</f>
        <v>0</v>
      </c>
      <c r="F17" s="131">
        <f>_xlfn.XLOOKUP(E17,'GP1'!$B$6:$B$55,'GP1'!$A$6:$A$55,0)</f>
        <v>0</v>
      </c>
      <c r="G17" s="10">
        <f>_xlfn.XLOOKUP($B17,'GP2'!$C$6:$C$101,'GP2'!$B$6:$B$101,"")</f>
        <v>0</v>
      </c>
      <c r="H17" s="130">
        <f>_xlfn.XLOOKUP(G17,'GP2'!$B$6:$B$55,'GP2'!$A$6:$A$55,0)</f>
        <v>0</v>
      </c>
      <c r="I17" s="10" t="str">
        <f>_xlfn.XLOOKUP($B17,'GP3'!$C$6:$C$101,'GP3'!$B$6:$B$101,"")</f>
        <v/>
      </c>
      <c r="J17" s="130">
        <f>_xlfn.XLOOKUP(I17,'GP3'!$B$6:$B$55,'GP3'!$A$6:$A$55,0)</f>
        <v>0</v>
      </c>
      <c r="K17" s="10" t="str">
        <f>_xlfn.XLOOKUP($B17,'GP4'!$C$6:$C$101,'GP4'!$B$6:$B$101,"")</f>
        <v/>
      </c>
      <c r="L17" s="130">
        <f>_xlfn.XLOOKUP(K17,'GP4'!$B$6:$B$55,'GP4'!$A$6:$A$55,0)</f>
        <v>0</v>
      </c>
      <c r="M17" s="10" t="str">
        <f>_xlfn.XLOOKUP($B17,'GP5'!$C$6:$C$101,'GP5'!$B$6:$B$101,"")</f>
        <v/>
      </c>
      <c r="N17" s="130">
        <f>_xlfn.XLOOKUP(M17,'GP5'!$B$6:$B$55,'GP5'!$A$6:$A$55,0)</f>
        <v>0</v>
      </c>
      <c r="O17" s="10" t="str">
        <f>_xlfn.XLOOKUP(B17,MPW!C$6:C$101,MPW!B$6:B$101,"")</f>
        <v/>
      </c>
      <c r="P17" s="133">
        <f>_xlfn.XLOOKUP(O17,MPW!$B$6:$B$55,MPW!$A$6:$A$55,0)</f>
        <v>0</v>
      </c>
      <c r="R17" s="14" t="str">
        <f>_xlfn.XLOOKUP($B17,'PEW1'!$C$6:$C$101,'PEW1'!$B$6:$B$101,"")</f>
        <v/>
      </c>
      <c r="S17" s="135">
        <f>_xlfn.XLOOKUP(R17,'PEW1'!$B$6:$B$55,'PEW1'!$A$6:$A$55,0)</f>
        <v>0</v>
      </c>
      <c r="T17" s="10" t="str">
        <f>_xlfn.XLOOKUP($B17,'PEW2'!$C$6:$C$101,'PEW2'!$B$6:$B$101,"")</f>
        <v/>
      </c>
      <c r="U17" s="134">
        <f>_xlfn.XLOOKUP(T17,'PEW2'!$B$6:$B$55,'PEW2'!$A$6:$A$55,0)</f>
        <v>0</v>
      </c>
      <c r="V17" s="10" t="str">
        <f>_xlfn.XLOOKUP($B17,'PEW3'!$C$6:$C$101,'PEW3'!$B$6:$B$101,"")</f>
        <v/>
      </c>
      <c r="W17" s="134">
        <f>_xlfn.XLOOKUP(V17,'PEW3'!$B$6:$B$55,'PEW3'!$A$6:$A$55,0)</f>
        <v>0</v>
      </c>
      <c r="X17" s="10" t="str">
        <f>_xlfn.XLOOKUP($B17,'PEW4'!$C$6:$C$101,'PEW4'!$B$6:$B$101,"")</f>
        <v/>
      </c>
      <c r="Y17" s="134">
        <f>_xlfn.XLOOKUP(X17,'PEW4'!$B$6:$B$55,'PEW4'!$A$6:$A$55,0)</f>
        <v>0</v>
      </c>
      <c r="Z17" s="10" t="str">
        <f>_xlfn.XLOOKUP($B17,'PEW5'!$C$6:$C$101,'PEW5'!$B$6:$B$101,"")</f>
        <v/>
      </c>
      <c r="AA17" s="134">
        <f>_xlfn.XLOOKUP(Z17,'PEW5'!$B$6:$B$55,'PEW5'!$A$6:$A$55,0)</f>
        <v>0</v>
      </c>
      <c r="AB17" s="10" t="str">
        <f>_xlfn.XLOOKUP($B17,'PEW6'!$C$6:$C$101,'PEW6'!$B$6:$B$101,"")</f>
        <v/>
      </c>
      <c r="AC17" s="134">
        <f>_xlfn.XLOOKUP(AB17,'PEW6'!$B$6:$B$55,'PEW6'!$A$6:$A$55,0)</f>
        <v>0</v>
      </c>
      <c r="AD17" s="10" t="str">
        <f>_xlfn.XLOOKUP($B17,'PEW7'!$C$6:$C$101,'PEW7'!$B$6:$B$101,"")</f>
        <v/>
      </c>
      <c r="AE17" s="134">
        <f>_xlfn.XLOOKUP(AD17,'PEW7'!$B$6:$B$55,'PEW7'!$A$6:$A$55,0)</f>
        <v>0</v>
      </c>
      <c r="AF17" s="10" t="str" cm="1">
        <f t="array" ref="AF17">_xlfn.XLOOKUP($B17,IMEW!C$6:C$101,IMEW!$B$6:B$101,"")</f>
        <v/>
      </c>
      <c r="AG17" s="136">
        <f>_xlfn.XLOOKUP(AF17,IMEW!$B$6:$B$100,IMEW!$A$6:$A$100,0)</f>
        <v>0</v>
      </c>
      <c r="AI17" s="129">
        <f t="shared" si="0"/>
        <v>0</v>
      </c>
      <c r="AJ17" s="129">
        <f t="shared" si="1"/>
        <v>0</v>
      </c>
      <c r="AK17" s="129">
        <f t="shared" si="2"/>
        <v>0</v>
      </c>
      <c r="AL17" s="129">
        <f t="shared" si="3"/>
        <v>0</v>
      </c>
      <c r="AM17" s="129">
        <f t="shared" si="4"/>
        <v>0</v>
      </c>
      <c r="AN17" s="129">
        <f t="shared" si="5"/>
        <v>0</v>
      </c>
      <c r="AO17" s="129">
        <f t="shared" si="6"/>
        <v>0</v>
      </c>
    </row>
    <row r="18" spans="1:41" ht="14.85" customHeight="1" x14ac:dyDescent="0.2">
      <c r="A18" s="8">
        <f>ROW()-5</f>
        <v>13</v>
      </c>
      <c r="B18" s="12" t="s">
        <v>25</v>
      </c>
      <c r="C18" s="13"/>
      <c r="D18" s="132">
        <f>SUM(F18,H18,J18,L18,N18,P18)-MIN(F18,H18,J18,L18,N18)+SUM(LARGE(AI18:AO18,1),LARGE(AI18:AO18,2),AG18)</f>
        <v>0</v>
      </c>
      <c r="E18" s="14" t="str">
        <f>_xlfn.XLOOKUP($B18,'GP1'!$C$6:$C$101,'GP1'!$B$6:$B$101,"")</f>
        <v/>
      </c>
      <c r="F18" s="131">
        <f>_xlfn.XLOOKUP(E18,'GP1'!$B$6:$B$55,'GP1'!$A$6:$A$55,0)</f>
        <v>0</v>
      </c>
      <c r="G18" s="10" t="str">
        <f>_xlfn.XLOOKUP($B18,'GP2'!$C$6:$C$101,'GP2'!$B$6:$B$101,"")</f>
        <v/>
      </c>
      <c r="H18" s="130">
        <f>_xlfn.XLOOKUP(G18,'GP2'!$B$6:$B$55,'GP2'!$A$6:$A$55,0)</f>
        <v>0</v>
      </c>
      <c r="I18" s="10" t="str">
        <f>_xlfn.XLOOKUP($B18,'GP3'!$C$6:$C$101,'GP3'!$B$6:$B$101,"")</f>
        <v/>
      </c>
      <c r="J18" s="130">
        <f>_xlfn.XLOOKUP(I18,'GP3'!$B$6:$B$55,'GP3'!$A$6:$A$55,0)</f>
        <v>0</v>
      </c>
      <c r="K18" s="10" t="str">
        <f>_xlfn.XLOOKUP($B18,'GP4'!$C$6:$C$101,'GP4'!$B$6:$B$101,"")</f>
        <v/>
      </c>
      <c r="L18" s="130">
        <f>_xlfn.XLOOKUP(K18,'GP4'!$B$6:$B$55,'GP4'!$A$6:$A$55,0)</f>
        <v>0</v>
      </c>
      <c r="M18" s="10" t="str">
        <f>_xlfn.XLOOKUP($B18,'GP5'!$C$6:$C$101,'GP5'!$B$6:$B$101,"")</f>
        <v/>
      </c>
      <c r="N18" s="130">
        <f>_xlfn.XLOOKUP(M18,'GP5'!$B$6:$B$55,'GP5'!$A$6:$A$55,0)</f>
        <v>0</v>
      </c>
      <c r="O18" s="10" t="str">
        <f>_xlfn.XLOOKUP(B18,MPW!C$6:C$101,MPW!B$6:B$101,"")</f>
        <v/>
      </c>
      <c r="P18" s="133">
        <f>_xlfn.XLOOKUP(O18,MPW!$B$6:$B$55,MPW!$A$6:$A$55,0)</f>
        <v>0</v>
      </c>
      <c r="R18" s="14" t="str">
        <f>_xlfn.XLOOKUP($B18,'PEW1'!$C$6:$C$101,'PEW1'!$B$6:$B$101,"")</f>
        <v/>
      </c>
      <c r="S18" s="135">
        <f>_xlfn.XLOOKUP(R18,'PEW1'!$B$6:$B$55,'PEW1'!$A$6:$A$55,0)</f>
        <v>0</v>
      </c>
      <c r="T18" s="10" t="str">
        <f>_xlfn.XLOOKUP($B18,'PEW2'!$C$6:$C$101,'PEW2'!$B$6:$B$101,"")</f>
        <v/>
      </c>
      <c r="U18" s="134">
        <f>_xlfn.XLOOKUP(T18,'PEW2'!$B$6:$B$55,'PEW2'!$A$6:$A$55,0)</f>
        <v>0</v>
      </c>
      <c r="V18" s="10" t="str">
        <f>_xlfn.XLOOKUP($B18,'PEW3'!$C$6:$C$101,'PEW3'!$B$6:$B$101,"")</f>
        <v/>
      </c>
      <c r="W18" s="134">
        <f>_xlfn.XLOOKUP(V18,'PEW3'!$B$6:$B$55,'PEW3'!$A$6:$A$55,0)</f>
        <v>0</v>
      </c>
      <c r="X18" s="10" t="str">
        <f>_xlfn.XLOOKUP($B18,'PEW4'!$C$6:$C$101,'PEW4'!$B$6:$B$101,"")</f>
        <v/>
      </c>
      <c r="Y18" s="134">
        <f>_xlfn.XLOOKUP(X18,'PEW4'!$B$6:$B$55,'PEW4'!$A$6:$A$55,0)</f>
        <v>0</v>
      </c>
      <c r="Z18" s="10" t="str">
        <f>_xlfn.XLOOKUP($B18,'PEW5'!$C$6:$C$101,'PEW5'!$B$6:$B$101,"")</f>
        <v/>
      </c>
      <c r="AA18" s="134">
        <f>_xlfn.XLOOKUP(Z18,'PEW5'!$B$6:$B$55,'PEW5'!$A$6:$A$55,0)</f>
        <v>0</v>
      </c>
      <c r="AB18" s="10" t="str">
        <f>_xlfn.XLOOKUP($B18,'PEW6'!$C$6:$C$101,'PEW6'!$B$6:$B$101,"")</f>
        <v/>
      </c>
      <c r="AC18" s="134">
        <f>_xlfn.XLOOKUP(AB18,'PEW6'!$B$6:$B$55,'PEW6'!$A$6:$A$55,0)</f>
        <v>0</v>
      </c>
      <c r="AD18" s="10" t="str">
        <f>_xlfn.XLOOKUP($B18,'PEW7'!$C$6:$C$101,'PEW7'!$B$6:$B$101,"")</f>
        <v/>
      </c>
      <c r="AE18" s="134">
        <f>_xlfn.XLOOKUP(AD18,'PEW7'!$B$6:$B$55,'PEW7'!$A$6:$A$55,0)</f>
        <v>0</v>
      </c>
      <c r="AF18" s="10" t="str" cm="1">
        <f t="array" ref="AF18">_xlfn.XLOOKUP($B18,IMEW!C$6:C$101,IMEW!$B$6:B$101,"")</f>
        <v/>
      </c>
      <c r="AG18" s="136">
        <f>_xlfn.XLOOKUP(AF18,IMEW!$B$6:$B$100,IMEW!$A$6:$A$100,0)</f>
        <v>0</v>
      </c>
      <c r="AI18" s="129">
        <f t="shared" si="0"/>
        <v>0</v>
      </c>
      <c r="AJ18" s="129">
        <f t="shared" si="1"/>
        <v>0</v>
      </c>
      <c r="AK18" s="129">
        <f t="shared" si="2"/>
        <v>0</v>
      </c>
      <c r="AL18" s="129">
        <f t="shared" si="3"/>
        <v>0</v>
      </c>
      <c r="AM18" s="129">
        <f t="shared" si="4"/>
        <v>0</v>
      </c>
      <c r="AN18" s="129">
        <f t="shared" si="5"/>
        <v>0</v>
      </c>
      <c r="AO18" s="129">
        <f t="shared" si="6"/>
        <v>0</v>
      </c>
    </row>
    <row r="19" spans="1:41" ht="14.85" customHeight="1" x14ac:dyDescent="0.2">
      <c r="A19" s="8">
        <f>ROW()-5</f>
        <v>14</v>
      </c>
      <c r="B19" s="12" t="s">
        <v>25</v>
      </c>
      <c r="C19" s="13"/>
      <c r="D19" s="132">
        <f>SUM(F19,H19,J19,L19,N19,P19)-MIN(F19,H19,J19,L19,N19)+SUM(LARGE(AI19:AO19,1),LARGE(AI19:AO19,2),AG19)</f>
        <v>0</v>
      </c>
      <c r="E19" s="14" t="str">
        <f>_xlfn.XLOOKUP($B19,'GP1'!$C$6:$C$101,'GP1'!$B$6:$B$101,"")</f>
        <v/>
      </c>
      <c r="F19" s="131">
        <f>_xlfn.XLOOKUP(E19,'GP1'!$B$6:$B$55,'GP1'!$A$6:$A$55,0)</f>
        <v>0</v>
      </c>
      <c r="G19" s="10" t="str">
        <f>_xlfn.XLOOKUP($B19,'GP2'!$C$6:$C$101,'GP2'!$B$6:$B$101,"")</f>
        <v/>
      </c>
      <c r="H19" s="130">
        <f>_xlfn.XLOOKUP(G19,'GP2'!$B$6:$B$55,'GP2'!$A$6:$A$55,0)</f>
        <v>0</v>
      </c>
      <c r="I19" s="10" t="str">
        <f>_xlfn.XLOOKUP($B19,'GP3'!$C$6:$C$101,'GP3'!$B$6:$B$101,"")</f>
        <v/>
      </c>
      <c r="J19" s="130">
        <f>_xlfn.XLOOKUP(I19,'GP3'!$B$6:$B$55,'GP3'!$A$6:$A$55,0)</f>
        <v>0</v>
      </c>
      <c r="K19" s="10" t="str">
        <f>_xlfn.XLOOKUP($B19,'GP4'!$C$6:$C$101,'GP4'!$B$6:$B$101,"")</f>
        <v/>
      </c>
      <c r="L19" s="130">
        <f>_xlfn.XLOOKUP(K19,'GP4'!$B$6:$B$55,'GP4'!$A$6:$A$55,0)</f>
        <v>0</v>
      </c>
      <c r="M19" s="10" t="str">
        <f>_xlfn.XLOOKUP($B19,'GP5'!$C$6:$C$101,'GP5'!$B$6:$B$101,"")</f>
        <v/>
      </c>
      <c r="N19" s="130">
        <f>_xlfn.XLOOKUP(M19,'GP5'!$B$6:$B$55,'GP5'!$A$6:$A$55,0)</f>
        <v>0</v>
      </c>
      <c r="O19" s="10" t="str">
        <f>_xlfn.XLOOKUP(B19,MPW!C$6:C$101,MPW!B$6:B$101,"")</f>
        <v/>
      </c>
      <c r="P19" s="133">
        <f>_xlfn.XLOOKUP(O19,MPW!$B$6:$B$55,MPW!$A$6:$A$55,0)</f>
        <v>0</v>
      </c>
      <c r="R19" s="14" t="str">
        <f>_xlfn.XLOOKUP($B19,'PEW1'!$C$6:$C$101,'PEW1'!$B$6:$B$101,"")</f>
        <v/>
      </c>
      <c r="S19" s="135">
        <f>_xlfn.XLOOKUP(R19,'PEW1'!$B$6:$B$55,'PEW1'!$A$6:$A$55,0)</f>
        <v>0</v>
      </c>
      <c r="T19" s="10" t="str">
        <f>_xlfn.XLOOKUP($B19,'PEW2'!$C$6:$C$101,'PEW2'!$B$6:$B$101,"")</f>
        <v/>
      </c>
      <c r="U19" s="134">
        <f>_xlfn.XLOOKUP(T19,'PEW2'!$B$6:$B$55,'PEW2'!$A$6:$A$55,0)</f>
        <v>0</v>
      </c>
      <c r="V19" s="10" t="str">
        <f>_xlfn.XLOOKUP($B19,'PEW3'!$C$6:$C$101,'PEW3'!$B$6:$B$101,"")</f>
        <v/>
      </c>
      <c r="W19" s="134">
        <f>_xlfn.XLOOKUP(V19,'PEW3'!$B$6:$B$55,'PEW3'!$A$6:$A$55,0)</f>
        <v>0</v>
      </c>
      <c r="X19" s="10" t="str">
        <f>_xlfn.XLOOKUP($B19,'PEW4'!$C$6:$C$101,'PEW4'!$B$6:$B$101,"")</f>
        <v/>
      </c>
      <c r="Y19" s="134">
        <f>_xlfn.XLOOKUP(X19,'PEW4'!$B$6:$B$55,'PEW4'!$A$6:$A$55,0)</f>
        <v>0</v>
      </c>
      <c r="Z19" s="10" t="str">
        <f>_xlfn.XLOOKUP($B19,'PEW5'!$C$6:$C$101,'PEW5'!$B$6:$B$101,"")</f>
        <v/>
      </c>
      <c r="AA19" s="134">
        <f>_xlfn.XLOOKUP(Z19,'PEW5'!$B$6:$B$55,'PEW5'!$A$6:$A$55,0)</f>
        <v>0</v>
      </c>
      <c r="AB19" s="10" t="str">
        <f>_xlfn.XLOOKUP($B19,'PEW6'!$C$6:$C$101,'PEW6'!$B$6:$B$101,"")</f>
        <v/>
      </c>
      <c r="AC19" s="134">
        <f>_xlfn.XLOOKUP(AB19,'PEW6'!$B$6:$B$55,'PEW6'!$A$6:$A$55,0)</f>
        <v>0</v>
      </c>
      <c r="AD19" s="10" t="str">
        <f>_xlfn.XLOOKUP($B19,'PEW7'!$C$6:$C$101,'PEW7'!$B$6:$B$101,"")</f>
        <v/>
      </c>
      <c r="AE19" s="134">
        <f>_xlfn.XLOOKUP(AD19,'PEW7'!$B$6:$B$55,'PEW7'!$A$6:$A$55,0)</f>
        <v>0</v>
      </c>
      <c r="AF19" s="10" t="str" cm="1">
        <f t="array" ref="AF19">_xlfn.XLOOKUP($B19,IMEW!C$6:C$101,IMEW!$B$6:B$101,"")</f>
        <v/>
      </c>
      <c r="AG19" s="136">
        <f>_xlfn.XLOOKUP(AF19,IMEW!$B$6:$B$100,IMEW!$A$6:$A$100,0)</f>
        <v>0</v>
      </c>
      <c r="AI19" s="129">
        <f t="shared" si="0"/>
        <v>0</v>
      </c>
      <c r="AJ19" s="129">
        <f t="shared" si="1"/>
        <v>0</v>
      </c>
      <c r="AK19" s="129">
        <f t="shared" si="2"/>
        <v>0</v>
      </c>
      <c r="AL19" s="129">
        <f t="shared" si="3"/>
        <v>0</v>
      </c>
      <c r="AM19" s="129">
        <f t="shared" si="4"/>
        <v>0</v>
      </c>
      <c r="AN19" s="129">
        <f t="shared" si="5"/>
        <v>0</v>
      </c>
      <c r="AO19" s="129">
        <f t="shared" si="6"/>
        <v>0</v>
      </c>
    </row>
    <row r="20" spans="1:41" ht="14.85" customHeight="1" x14ac:dyDescent="0.2">
      <c r="A20" s="8">
        <f>ROW()-5</f>
        <v>15</v>
      </c>
      <c r="B20" s="12" t="s">
        <v>25</v>
      </c>
      <c r="C20" s="13"/>
      <c r="D20" s="132">
        <f>SUM(F20,H20,J20,L20,N20,P20)-MIN(F20,H20,J20,L20,N20)+SUM(LARGE(AI20:AO20,1),LARGE(AI20:AO20,2),AG20)</f>
        <v>0</v>
      </c>
      <c r="E20" s="14" t="str">
        <f>_xlfn.XLOOKUP($B20,'GP1'!$C$6:$C$101,'GP1'!$B$6:$B$101,"")</f>
        <v/>
      </c>
      <c r="F20" s="131">
        <f>_xlfn.XLOOKUP(E20,'GP1'!$B$6:$B$55,'GP1'!$A$6:$A$55,0)</f>
        <v>0</v>
      </c>
      <c r="G20" s="10" t="str">
        <f>_xlfn.XLOOKUP($B20,'GP2'!$C$6:$C$101,'GP2'!$B$6:$B$101,"")</f>
        <v/>
      </c>
      <c r="H20" s="130">
        <f>_xlfn.XLOOKUP(G20,'GP2'!$B$6:$B$55,'GP2'!$A$6:$A$55,0)</f>
        <v>0</v>
      </c>
      <c r="I20" s="10" t="str">
        <f>_xlfn.XLOOKUP($B20,'GP3'!$C$6:$C$101,'GP3'!$B$6:$B$101,"")</f>
        <v/>
      </c>
      <c r="J20" s="130">
        <f>_xlfn.XLOOKUP(I20,'GP3'!$B$6:$B$55,'GP3'!$A$6:$A$55,0)</f>
        <v>0</v>
      </c>
      <c r="K20" s="10" t="str">
        <f>_xlfn.XLOOKUP($B20,'GP4'!$C$6:$C$101,'GP4'!$B$6:$B$101,"")</f>
        <v/>
      </c>
      <c r="L20" s="130">
        <f>_xlfn.XLOOKUP(K20,'GP4'!$B$6:$B$55,'GP4'!$A$6:$A$55,0)</f>
        <v>0</v>
      </c>
      <c r="M20" s="10" t="str">
        <f>_xlfn.XLOOKUP($B20,'GP5'!$C$6:$C$101,'GP5'!$B$6:$B$101,"")</f>
        <v/>
      </c>
      <c r="N20" s="130">
        <f>_xlfn.XLOOKUP(M20,'GP5'!$B$6:$B$55,'GP5'!$A$6:$A$55,0)</f>
        <v>0</v>
      </c>
      <c r="O20" s="10" t="str">
        <f>_xlfn.XLOOKUP(B20,MPW!C$6:C$101,MPW!B$6:B$101,"")</f>
        <v/>
      </c>
      <c r="P20" s="133">
        <f>_xlfn.XLOOKUP(O20,MPW!$B$6:$B$55,MPW!$A$6:$A$55,0)</f>
        <v>0</v>
      </c>
      <c r="R20" s="14" t="str">
        <f>_xlfn.XLOOKUP($B20,'PEW1'!$C$6:$C$101,'PEW1'!$B$6:$B$101,"")</f>
        <v/>
      </c>
      <c r="S20" s="135">
        <f>_xlfn.XLOOKUP(R20,'PEW1'!$B$6:$B$55,'PEW1'!$A$6:$A$55,0)</f>
        <v>0</v>
      </c>
      <c r="T20" s="10" t="str">
        <f>_xlfn.XLOOKUP($B20,'PEW2'!$C$6:$C$101,'PEW2'!$B$6:$B$101,"")</f>
        <v/>
      </c>
      <c r="U20" s="134">
        <f>_xlfn.XLOOKUP(T20,'PEW2'!$B$6:$B$55,'PEW2'!$A$6:$A$55,0)</f>
        <v>0</v>
      </c>
      <c r="V20" s="10" t="str">
        <f>_xlfn.XLOOKUP($B20,'PEW3'!$C$6:$C$101,'PEW3'!$B$6:$B$101,"")</f>
        <v/>
      </c>
      <c r="W20" s="134">
        <f>_xlfn.XLOOKUP(V20,'PEW3'!$B$6:$B$55,'PEW3'!$A$6:$A$55,0)</f>
        <v>0</v>
      </c>
      <c r="X20" s="10" t="str">
        <f>_xlfn.XLOOKUP($B20,'PEW4'!$C$6:$C$101,'PEW4'!$B$6:$B$101,"")</f>
        <v/>
      </c>
      <c r="Y20" s="134">
        <f>_xlfn.XLOOKUP(X20,'PEW4'!$B$6:$B$55,'PEW4'!$A$6:$A$55,0)</f>
        <v>0</v>
      </c>
      <c r="Z20" s="10" t="str">
        <f>_xlfn.XLOOKUP($B20,'PEW5'!$C$6:$C$101,'PEW5'!$B$6:$B$101,"")</f>
        <v/>
      </c>
      <c r="AA20" s="134">
        <f>_xlfn.XLOOKUP(Z20,'PEW5'!$B$6:$B$55,'PEW5'!$A$6:$A$55,0)</f>
        <v>0</v>
      </c>
      <c r="AB20" s="10" t="str">
        <f>_xlfn.XLOOKUP($B20,'PEW6'!$C$6:$C$101,'PEW6'!$B$6:$B$101,"")</f>
        <v/>
      </c>
      <c r="AC20" s="134">
        <f>_xlfn.XLOOKUP(AB20,'PEW6'!$B$6:$B$55,'PEW6'!$A$6:$A$55,0)</f>
        <v>0</v>
      </c>
      <c r="AD20" s="10" t="str">
        <f>_xlfn.XLOOKUP($B20,'PEW7'!$C$6:$C$101,'PEW7'!$B$6:$B$101,"")</f>
        <v/>
      </c>
      <c r="AE20" s="134">
        <f>_xlfn.XLOOKUP(AD20,'PEW7'!$B$6:$B$55,'PEW7'!$A$6:$A$55,0)</f>
        <v>0</v>
      </c>
      <c r="AF20" s="10" t="str" cm="1">
        <f t="array" ref="AF20">_xlfn.XLOOKUP($B20,IMEW!C$6:C$101,IMEW!$B$6:B$101,"")</f>
        <v/>
      </c>
      <c r="AG20" s="136">
        <f>_xlfn.XLOOKUP(AF20,IMEW!$B$6:$B$100,IMEW!$A$6:$A$100,0)</f>
        <v>0</v>
      </c>
      <c r="AI20" s="129">
        <f t="shared" si="0"/>
        <v>0</v>
      </c>
      <c r="AJ20" s="129">
        <f t="shared" si="1"/>
        <v>0</v>
      </c>
      <c r="AK20" s="129">
        <f t="shared" si="2"/>
        <v>0</v>
      </c>
      <c r="AL20" s="129">
        <f t="shared" si="3"/>
        <v>0</v>
      </c>
      <c r="AM20" s="129">
        <f t="shared" si="4"/>
        <v>0</v>
      </c>
      <c r="AN20" s="129">
        <f t="shared" si="5"/>
        <v>0</v>
      </c>
      <c r="AO20" s="129">
        <f t="shared" si="6"/>
        <v>0</v>
      </c>
    </row>
    <row r="21" spans="1:41" ht="14.85" customHeight="1" x14ac:dyDescent="0.2">
      <c r="A21" s="8">
        <f>ROW()-5</f>
        <v>16</v>
      </c>
      <c r="B21" s="12" t="s">
        <v>25</v>
      </c>
      <c r="C21" s="13"/>
      <c r="D21" s="132">
        <f>SUM(F21,H21,J21,L21,N21,P21)-MIN(F21,H21,J21,L21,N21)+SUM(LARGE(AI21:AO21,1),LARGE(AI21:AO21,2),AG21)</f>
        <v>0</v>
      </c>
      <c r="E21" s="14" t="str">
        <f>_xlfn.XLOOKUP($B21,'GP1'!$C$6:$C$101,'GP1'!$B$6:$B$101,"")</f>
        <v/>
      </c>
      <c r="F21" s="131">
        <f>_xlfn.XLOOKUP(E21,'GP1'!$B$6:$B$55,'GP1'!$A$6:$A$55,0)</f>
        <v>0</v>
      </c>
      <c r="G21" s="10" t="str">
        <f>_xlfn.XLOOKUP($B21,'GP2'!$C$6:$C$101,'GP2'!$B$6:$B$101,"")</f>
        <v/>
      </c>
      <c r="H21" s="130">
        <f>_xlfn.XLOOKUP(G21,'GP2'!$B$6:$B$55,'GP2'!$A$6:$A$55,0)</f>
        <v>0</v>
      </c>
      <c r="I21" s="10" t="str">
        <f>_xlfn.XLOOKUP($B21,'GP3'!$C$6:$C$101,'GP3'!$B$6:$B$101,"")</f>
        <v/>
      </c>
      <c r="J21" s="130">
        <f>_xlfn.XLOOKUP(I21,'GP3'!$B$6:$B$55,'GP3'!$A$6:$A$55,0)</f>
        <v>0</v>
      </c>
      <c r="K21" s="10" t="str">
        <f>_xlfn.XLOOKUP($B21,'GP4'!$C$6:$C$101,'GP4'!$B$6:$B$101,"")</f>
        <v/>
      </c>
      <c r="L21" s="130">
        <f>_xlfn.XLOOKUP(K21,'GP4'!$B$6:$B$55,'GP4'!$A$6:$A$55,0)</f>
        <v>0</v>
      </c>
      <c r="M21" s="10" t="str">
        <f>_xlfn.XLOOKUP($B21,'GP5'!$C$6:$C$101,'GP5'!$B$6:$B$101,"")</f>
        <v/>
      </c>
      <c r="N21" s="130">
        <f>_xlfn.XLOOKUP(M21,'GP5'!$B$6:$B$55,'GP5'!$A$6:$A$55,0)</f>
        <v>0</v>
      </c>
      <c r="O21" s="10" t="str">
        <f>_xlfn.XLOOKUP(B21,MPW!C$6:C$101,MPW!B$6:B$101,"")</f>
        <v/>
      </c>
      <c r="P21" s="133">
        <f>_xlfn.XLOOKUP(O21,MPW!$B$6:$B$55,MPW!$A$6:$A$55,0)</f>
        <v>0</v>
      </c>
      <c r="R21" s="14" t="str">
        <f>_xlfn.XLOOKUP($B21,'PEW1'!$C$6:$C$101,'PEW1'!$B$6:$B$101,"")</f>
        <v/>
      </c>
      <c r="S21" s="135">
        <f>_xlfn.XLOOKUP(R21,'PEW1'!$B$6:$B$55,'PEW1'!$A$6:$A$55,0)</f>
        <v>0</v>
      </c>
      <c r="T21" s="10" t="str">
        <f>_xlfn.XLOOKUP($B21,'PEW2'!$C$6:$C$101,'PEW2'!$B$6:$B$101,"")</f>
        <v/>
      </c>
      <c r="U21" s="134">
        <f>_xlfn.XLOOKUP(T21,'PEW2'!$B$6:$B$55,'PEW2'!$A$6:$A$55,0)</f>
        <v>0</v>
      </c>
      <c r="V21" s="10" t="str">
        <f>_xlfn.XLOOKUP($B21,'PEW3'!$C$6:$C$101,'PEW3'!$B$6:$B$101,"")</f>
        <v/>
      </c>
      <c r="W21" s="134">
        <f>_xlfn.XLOOKUP(V21,'PEW3'!$B$6:$B$55,'PEW3'!$A$6:$A$55,0)</f>
        <v>0</v>
      </c>
      <c r="X21" s="10" t="str">
        <f>_xlfn.XLOOKUP($B21,'PEW4'!$C$6:$C$101,'PEW4'!$B$6:$B$101,"")</f>
        <v/>
      </c>
      <c r="Y21" s="134">
        <f>_xlfn.XLOOKUP(X21,'PEW4'!$B$6:$B$55,'PEW4'!$A$6:$A$55,0)</f>
        <v>0</v>
      </c>
      <c r="Z21" s="10" t="str">
        <f>_xlfn.XLOOKUP($B21,'PEW5'!$C$6:$C$101,'PEW5'!$B$6:$B$101,"")</f>
        <v/>
      </c>
      <c r="AA21" s="134">
        <f>_xlfn.XLOOKUP(Z21,'PEW5'!$B$6:$B$55,'PEW5'!$A$6:$A$55,0)</f>
        <v>0</v>
      </c>
      <c r="AB21" s="10" t="str">
        <f>_xlfn.XLOOKUP($B21,'PEW6'!$C$6:$C$101,'PEW6'!$B$6:$B$101,"")</f>
        <v/>
      </c>
      <c r="AC21" s="134">
        <f>_xlfn.XLOOKUP(AB21,'PEW6'!$B$6:$B$55,'PEW6'!$A$6:$A$55,0)</f>
        <v>0</v>
      </c>
      <c r="AD21" s="10" t="str">
        <f>_xlfn.XLOOKUP($B21,'PEW7'!$C$6:$C$101,'PEW7'!$B$6:$B$101,"")</f>
        <v/>
      </c>
      <c r="AE21" s="134">
        <f>_xlfn.XLOOKUP(AD21,'PEW7'!$B$6:$B$55,'PEW7'!$A$6:$A$55,0)</f>
        <v>0</v>
      </c>
      <c r="AF21" s="10" t="str" cm="1">
        <f t="array" ref="AF21">_xlfn.XLOOKUP($B21,IMEW!C$6:C$101,IMEW!$B$6:B$101,"")</f>
        <v/>
      </c>
      <c r="AG21" s="136">
        <f>_xlfn.XLOOKUP(AF21,IMEW!$B$6:$B$100,IMEW!$A$6:$A$100,0)</f>
        <v>0</v>
      </c>
      <c r="AI21" s="129">
        <f t="shared" si="0"/>
        <v>0</v>
      </c>
      <c r="AJ21" s="129">
        <f t="shared" si="1"/>
        <v>0</v>
      </c>
      <c r="AK21" s="129">
        <f t="shared" si="2"/>
        <v>0</v>
      </c>
      <c r="AL21" s="129">
        <f t="shared" si="3"/>
        <v>0</v>
      </c>
      <c r="AM21" s="129">
        <f t="shared" si="4"/>
        <v>0</v>
      </c>
      <c r="AN21" s="129">
        <f t="shared" si="5"/>
        <v>0</v>
      </c>
      <c r="AO21" s="129">
        <f t="shared" si="6"/>
        <v>0</v>
      </c>
    </row>
    <row r="22" spans="1:41" ht="14.85" customHeight="1" x14ac:dyDescent="0.2">
      <c r="A22" s="8">
        <f>ROW()-5</f>
        <v>17</v>
      </c>
      <c r="B22" s="12" t="s">
        <v>25</v>
      </c>
      <c r="C22" s="13"/>
      <c r="D22" s="132">
        <f>SUM(F22,H22,J22,L22,N22,P22)-MIN(F22,H22,J22,L22,N22)+SUM(LARGE(AI22:AO22,1),LARGE(AI22:AO22,2),AG22)</f>
        <v>0</v>
      </c>
      <c r="E22" s="14" t="str">
        <f>_xlfn.XLOOKUP($B22,'GP1'!$C$6:$C$101,'GP1'!$B$6:$B$101,"")</f>
        <v/>
      </c>
      <c r="F22" s="131">
        <f>_xlfn.XLOOKUP(E22,'GP1'!$B$6:$B$55,'GP1'!$A$6:$A$55,0)</f>
        <v>0</v>
      </c>
      <c r="G22" s="10" t="str">
        <f>_xlfn.XLOOKUP($B22,'GP2'!$C$6:$C$101,'GP2'!$B$6:$B$101,"")</f>
        <v/>
      </c>
      <c r="H22" s="130">
        <f>_xlfn.XLOOKUP(G22,'GP2'!$B$6:$B$55,'GP2'!$A$6:$A$55,0)</f>
        <v>0</v>
      </c>
      <c r="I22" s="10" t="str">
        <f>_xlfn.XLOOKUP($B22,'GP3'!$C$6:$C$101,'GP3'!$B$6:$B$101,"")</f>
        <v/>
      </c>
      <c r="J22" s="130">
        <f>_xlfn.XLOOKUP(I22,'GP3'!$B$6:$B$55,'GP3'!$A$6:$A$55,0)</f>
        <v>0</v>
      </c>
      <c r="K22" s="10" t="str">
        <f>_xlfn.XLOOKUP($B22,'GP4'!$C$6:$C$101,'GP4'!$B$6:$B$101,"")</f>
        <v/>
      </c>
      <c r="L22" s="130">
        <f>_xlfn.XLOOKUP(K22,'GP4'!$B$6:$B$55,'GP4'!$A$6:$A$55,0)</f>
        <v>0</v>
      </c>
      <c r="M22" s="10" t="str">
        <f>_xlfn.XLOOKUP($B22,'GP5'!$C$6:$C$101,'GP5'!$B$6:$B$101,"")</f>
        <v/>
      </c>
      <c r="N22" s="130">
        <f>_xlfn.XLOOKUP(M22,'GP5'!$B$6:$B$55,'GP5'!$A$6:$A$55,0)</f>
        <v>0</v>
      </c>
      <c r="O22" s="10" t="str">
        <f>_xlfn.XLOOKUP(B22,MPW!C$6:C$101,MPW!B$6:B$101,"")</f>
        <v/>
      </c>
      <c r="P22" s="133">
        <f>_xlfn.XLOOKUP(O22,MPW!$B$6:$B$55,MPW!$A$6:$A$55,0)</f>
        <v>0</v>
      </c>
      <c r="R22" s="14" t="str">
        <f>_xlfn.XLOOKUP($B22,'PEW1'!$C$6:$C$101,'PEW1'!$B$6:$B$101,"")</f>
        <v/>
      </c>
      <c r="S22" s="135">
        <f>_xlfn.XLOOKUP(R22,'PEW1'!$B$6:$B$55,'PEW1'!$A$6:$A$55,0)</f>
        <v>0</v>
      </c>
      <c r="T22" s="10" t="str">
        <f>_xlfn.XLOOKUP($B22,'PEW2'!$C$6:$C$101,'PEW2'!$B$6:$B$101,"")</f>
        <v/>
      </c>
      <c r="U22" s="134">
        <f>_xlfn.XLOOKUP(T22,'PEW2'!$B$6:$B$55,'PEW2'!$A$6:$A$55,0)</f>
        <v>0</v>
      </c>
      <c r="V22" s="10" t="str">
        <f>_xlfn.XLOOKUP($B22,'PEW3'!$C$6:$C$101,'PEW3'!$B$6:$B$101,"")</f>
        <v/>
      </c>
      <c r="W22" s="134">
        <f>_xlfn.XLOOKUP(V22,'PEW3'!$B$6:$B$55,'PEW3'!$A$6:$A$55,0)</f>
        <v>0</v>
      </c>
      <c r="X22" s="10" t="str">
        <f>_xlfn.XLOOKUP($B22,'PEW4'!$C$6:$C$101,'PEW4'!$B$6:$B$101,"")</f>
        <v/>
      </c>
      <c r="Y22" s="134">
        <f>_xlfn.XLOOKUP(X22,'PEW4'!$B$6:$B$55,'PEW4'!$A$6:$A$55,0)</f>
        <v>0</v>
      </c>
      <c r="Z22" s="10" t="str">
        <f>_xlfn.XLOOKUP($B22,'PEW5'!$C$6:$C$101,'PEW5'!$B$6:$B$101,"")</f>
        <v/>
      </c>
      <c r="AA22" s="134">
        <f>_xlfn.XLOOKUP(Z22,'PEW5'!$B$6:$B$55,'PEW5'!$A$6:$A$55,0)</f>
        <v>0</v>
      </c>
      <c r="AB22" s="10" t="str">
        <f>_xlfn.XLOOKUP($B22,'PEW6'!$C$6:$C$101,'PEW6'!$B$6:$B$101,"")</f>
        <v/>
      </c>
      <c r="AC22" s="134">
        <f>_xlfn.XLOOKUP(AB22,'PEW6'!$B$6:$B$55,'PEW6'!$A$6:$A$55,0)</f>
        <v>0</v>
      </c>
      <c r="AD22" s="10" t="str">
        <f>_xlfn.XLOOKUP($B22,'PEW7'!$C$6:$C$101,'PEW7'!$B$6:$B$101,"")</f>
        <v/>
      </c>
      <c r="AE22" s="134">
        <f>_xlfn.XLOOKUP(AD22,'PEW7'!$B$6:$B$55,'PEW7'!$A$6:$A$55,0)</f>
        <v>0</v>
      </c>
      <c r="AF22" s="10" t="str" cm="1">
        <f t="array" ref="AF22">_xlfn.XLOOKUP($B22,IMEW!C$6:C$101,IMEW!$B$6:B$101,"")</f>
        <v/>
      </c>
      <c r="AG22" s="136">
        <f>_xlfn.XLOOKUP(AF22,IMEW!$B$6:$B$100,IMEW!$A$6:$A$100,0)</f>
        <v>0</v>
      </c>
      <c r="AI22" s="129">
        <f t="shared" si="0"/>
        <v>0</v>
      </c>
      <c r="AJ22" s="129">
        <f t="shared" si="1"/>
        <v>0</v>
      </c>
      <c r="AK22" s="129">
        <f t="shared" si="2"/>
        <v>0</v>
      </c>
      <c r="AL22" s="129">
        <f t="shared" si="3"/>
        <v>0</v>
      </c>
      <c r="AM22" s="129">
        <f t="shared" si="4"/>
        <v>0</v>
      </c>
      <c r="AN22" s="129">
        <f t="shared" si="5"/>
        <v>0</v>
      </c>
      <c r="AO22" s="129">
        <f t="shared" si="6"/>
        <v>0</v>
      </c>
    </row>
    <row r="23" spans="1:41" ht="14.85" customHeight="1" x14ac:dyDescent="0.2">
      <c r="A23" s="8">
        <f>ROW()-5</f>
        <v>18</v>
      </c>
      <c r="B23" s="12" t="s">
        <v>25</v>
      </c>
      <c r="C23" s="13"/>
      <c r="D23" s="132">
        <f>SUM(F23,H23,J23,L23,N23,P23)-MIN(F23,H23,J23,L23,N23)+SUM(LARGE(AI23:AO23,1),LARGE(AI23:AO23,2),AG23)</f>
        <v>0</v>
      </c>
      <c r="E23" s="14" t="str">
        <f>_xlfn.XLOOKUP($B23,'GP1'!$C$6:$C$101,'GP1'!$B$6:$B$101,"")</f>
        <v/>
      </c>
      <c r="F23" s="131">
        <f>_xlfn.XLOOKUP(E23,'GP1'!$B$6:$B$55,'GP1'!$A$6:$A$55,0)</f>
        <v>0</v>
      </c>
      <c r="G23" s="10" t="str">
        <f>_xlfn.XLOOKUP($B23,'GP2'!$C$6:$C$101,'GP2'!$B$6:$B$101,"")</f>
        <v/>
      </c>
      <c r="H23" s="130">
        <f>_xlfn.XLOOKUP(G23,'GP2'!$B$6:$B$55,'GP2'!$A$6:$A$55,0)</f>
        <v>0</v>
      </c>
      <c r="I23" s="10" t="str">
        <f>_xlfn.XLOOKUP($B23,'GP3'!$C$6:$C$101,'GP3'!$B$6:$B$101,"")</f>
        <v/>
      </c>
      <c r="J23" s="130">
        <f>_xlfn.XLOOKUP(I23,'GP3'!$B$6:$B$55,'GP3'!$A$6:$A$55,0)</f>
        <v>0</v>
      </c>
      <c r="K23" s="10" t="str">
        <f>_xlfn.XLOOKUP($B23,'GP4'!$C$6:$C$101,'GP4'!$B$6:$B$101,"")</f>
        <v/>
      </c>
      <c r="L23" s="130">
        <f>_xlfn.XLOOKUP(K23,'GP4'!$B$6:$B$55,'GP4'!$A$6:$A$55,0)</f>
        <v>0</v>
      </c>
      <c r="M23" s="10" t="str">
        <f>_xlfn.XLOOKUP($B23,'GP5'!$C$6:$C$101,'GP5'!$B$6:$B$101,"")</f>
        <v/>
      </c>
      <c r="N23" s="130">
        <f>_xlfn.XLOOKUP(M23,'GP5'!$B$6:$B$55,'GP5'!$A$6:$A$55,0)</f>
        <v>0</v>
      </c>
      <c r="O23" s="10" t="str">
        <f>_xlfn.XLOOKUP(B23,MPW!C$6:C$101,MPW!B$6:B$101,"")</f>
        <v/>
      </c>
      <c r="P23" s="133">
        <f>_xlfn.XLOOKUP(O23,MPW!$B$6:$B$55,MPW!$A$6:$A$55,0)</f>
        <v>0</v>
      </c>
      <c r="R23" s="14" t="str">
        <f>_xlfn.XLOOKUP($B23,'PEW1'!$C$6:$C$101,'PEW1'!$B$6:$B$101,"")</f>
        <v/>
      </c>
      <c r="S23" s="135">
        <f>_xlfn.XLOOKUP(R23,'PEW1'!$B$6:$B$55,'PEW1'!$A$6:$A$55,0)</f>
        <v>0</v>
      </c>
      <c r="T23" s="10" t="str">
        <f>_xlfn.XLOOKUP($B23,'PEW2'!$C$6:$C$101,'PEW2'!$B$6:$B$101,"")</f>
        <v/>
      </c>
      <c r="U23" s="134">
        <f>_xlfn.XLOOKUP(T23,'PEW2'!$B$6:$B$55,'PEW2'!$A$6:$A$55,0)</f>
        <v>0</v>
      </c>
      <c r="V23" s="10" t="str">
        <f>_xlfn.XLOOKUP($B23,'PEW3'!$C$6:$C$101,'PEW3'!$B$6:$B$101,"")</f>
        <v/>
      </c>
      <c r="W23" s="134">
        <f>_xlfn.XLOOKUP(V23,'PEW3'!$B$6:$B$55,'PEW3'!$A$6:$A$55,0)</f>
        <v>0</v>
      </c>
      <c r="X23" s="10" t="str">
        <f>_xlfn.XLOOKUP($B23,'PEW4'!$C$6:$C$101,'PEW4'!$B$6:$B$101,"")</f>
        <v/>
      </c>
      <c r="Y23" s="134">
        <f>_xlfn.XLOOKUP(X23,'PEW4'!$B$6:$B$55,'PEW4'!$A$6:$A$55,0)</f>
        <v>0</v>
      </c>
      <c r="Z23" s="10" t="str">
        <f>_xlfn.XLOOKUP($B23,'PEW5'!$C$6:$C$101,'PEW5'!$B$6:$B$101,"")</f>
        <v/>
      </c>
      <c r="AA23" s="134">
        <f>_xlfn.XLOOKUP(Z23,'PEW5'!$B$6:$B$55,'PEW5'!$A$6:$A$55,0)</f>
        <v>0</v>
      </c>
      <c r="AB23" s="10" t="str">
        <f>_xlfn.XLOOKUP($B23,'PEW6'!$C$6:$C$101,'PEW6'!$B$6:$B$101,"")</f>
        <v/>
      </c>
      <c r="AC23" s="134">
        <f>_xlfn.XLOOKUP(AB23,'PEW6'!$B$6:$B$55,'PEW6'!$A$6:$A$55,0)</f>
        <v>0</v>
      </c>
      <c r="AD23" s="10" t="str">
        <f>_xlfn.XLOOKUP($B23,'PEW7'!$C$6:$C$101,'PEW7'!$B$6:$B$101,"")</f>
        <v/>
      </c>
      <c r="AE23" s="134">
        <f>_xlfn.XLOOKUP(AD23,'PEW7'!$B$6:$B$55,'PEW7'!$A$6:$A$55,0)</f>
        <v>0</v>
      </c>
      <c r="AF23" s="10" t="str" cm="1">
        <f t="array" ref="AF23">_xlfn.XLOOKUP($B23,IMEW!C$6:C$101,IMEW!$B$6:B$101,"")</f>
        <v/>
      </c>
      <c r="AG23" s="136">
        <f>_xlfn.XLOOKUP(AF23,IMEW!$B$6:$B$100,IMEW!$A$6:$A$100,0)</f>
        <v>0</v>
      </c>
      <c r="AI23" s="129">
        <f t="shared" si="0"/>
        <v>0</v>
      </c>
      <c r="AJ23" s="129">
        <f t="shared" si="1"/>
        <v>0</v>
      </c>
      <c r="AK23" s="129">
        <f t="shared" si="2"/>
        <v>0</v>
      </c>
      <c r="AL23" s="129">
        <f t="shared" si="3"/>
        <v>0</v>
      </c>
      <c r="AM23" s="129">
        <f t="shared" si="4"/>
        <v>0</v>
      </c>
      <c r="AN23" s="129">
        <f t="shared" si="5"/>
        <v>0</v>
      </c>
      <c r="AO23" s="129">
        <f t="shared" si="6"/>
        <v>0</v>
      </c>
    </row>
    <row r="24" spans="1:41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41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41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4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1:41" ht="65.4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41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4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4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41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</sheetData>
  <autoFilter ref="A5:AG5" xr:uid="{3A0A20B3-5AAD-4C6E-AC99-1ABF64677A16}">
    <sortState xmlns:xlrd2="http://schemas.microsoft.com/office/spreadsheetml/2017/richdata2" ref="A7:AG23">
      <sortCondition descending="1" ref="D5"/>
    </sortState>
  </autoFilter>
  <mergeCells count="20">
    <mergeCell ref="A4:A5"/>
    <mergeCell ref="B4:B5"/>
    <mergeCell ref="C4:C5"/>
    <mergeCell ref="D4:D5"/>
    <mergeCell ref="E4:F4"/>
    <mergeCell ref="R4:S4"/>
    <mergeCell ref="T4:U4"/>
    <mergeCell ref="V4:W4"/>
    <mergeCell ref="X4:Y4"/>
    <mergeCell ref="D1:P2"/>
    <mergeCell ref="R1:AG3"/>
    <mergeCell ref="G4:H4"/>
    <mergeCell ref="I4:J4"/>
    <mergeCell ref="K4:L4"/>
    <mergeCell ref="Z4:AA4"/>
    <mergeCell ref="AB4:AC4"/>
    <mergeCell ref="AD4:AE4"/>
    <mergeCell ref="AF4:AG4"/>
    <mergeCell ref="M4:N4"/>
    <mergeCell ref="O4:P4"/>
  </mergeCells>
  <conditionalFormatting sqref="A6:A23">
    <cfRule type="cellIs" dxfId="16" priority="7" operator="equal">
      <formula>3</formula>
    </cfRule>
    <cfRule type="cellIs" dxfId="15" priority="8" operator="equal">
      <formula>2</formula>
    </cfRule>
    <cfRule type="cellIs" dxfId="14" priority="9" operator="equal">
      <formula>1</formula>
    </cfRule>
  </conditionalFormatting>
  <conditionalFormatting sqref="D6:P23">
    <cfRule type="cellIs" dxfId="13" priority="1" operator="equal">
      <formula>0</formula>
    </cfRule>
  </conditionalFormatting>
  <conditionalFormatting sqref="R6:AG23">
    <cfRule type="cellIs" dxfId="12" priority="3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DB826-0CAE-425C-A59C-7F8C380E855D}">
  <sheetPr>
    <tabColor rgb="FF92D050"/>
  </sheetPr>
  <dimension ref="A1:AL374"/>
  <sheetViews>
    <sheetView workbookViewId="0">
      <selection activeCell="E21" sqref="E21"/>
    </sheetView>
  </sheetViews>
  <sheetFormatPr defaultColWidth="8.85546875" defaultRowHeight="15" x14ac:dyDescent="0.25"/>
  <cols>
    <col min="1" max="1" width="8" style="118" customWidth="1"/>
    <col min="2" max="2" width="8.28515625" style="118" customWidth="1"/>
    <col min="3" max="3" width="34.7109375" style="118" customWidth="1"/>
    <col min="4" max="4" width="11.28515625" style="118" customWidth="1"/>
    <col min="5" max="6" width="8.85546875" style="118"/>
    <col min="7" max="7" width="0.85546875" style="118" customWidth="1"/>
    <col min="8" max="8" width="8.85546875" style="120"/>
    <col min="9" max="9" width="11" style="120" customWidth="1"/>
    <col min="10" max="10" width="15.28515625" style="120" customWidth="1"/>
    <col min="11" max="11" width="8.7109375" style="120" customWidth="1"/>
    <col min="12" max="12" width="11" style="120" customWidth="1"/>
    <col min="13" max="13" width="12.28515625" style="121" customWidth="1"/>
    <col min="14" max="15" width="13.85546875" style="84" customWidth="1"/>
    <col min="16" max="18" width="8.85546875" style="84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18"/>
  </cols>
  <sheetData>
    <row r="1" spans="1:36" x14ac:dyDescent="0.25">
      <c r="A1" s="84"/>
      <c r="B1" s="84"/>
      <c r="C1" s="84"/>
      <c r="D1" s="84"/>
      <c r="E1" s="84"/>
      <c r="F1" s="84"/>
      <c r="G1" s="84"/>
      <c r="H1" s="85" t="s">
        <v>26</v>
      </c>
      <c r="I1" s="86" t="s">
        <v>27</v>
      </c>
      <c r="J1" s="86" t="s">
        <v>28</v>
      </c>
      <c r="K1" s="87" t="s">
        <v>29</v>
      </c>
      <c r="L1" s="90"/>
      <c r="M1" s="90"/>
    </row>
    <row r="2" spans="1:36" x14ac:dyDescent="0.25">
      <c r="A2" s="84"/>
      <c r="B2" s="24" t="s">
        <v>32</v>
      </c>
      <c r="C2" s="142" t="s">
        <v>93</v>
      </c>
      <c r="D2" s="82"/>
      <c r="E2" s="25"/>
      <c r="F2" s="25"/>
      <c r="G2" s="25"/>
      <c r="H2" s="92">
        <v>0</v>
      </c>
      <c r="I2" s="93">
        <v>50</v>
      </c>
      <c r="J2" s="93">
        <v>10</v>
      </c>
      <c r="K2" s="123">
        <f>3*H2^(1/3)</f>
        <v>0</v>
      </c>
      <c r="L2" s="90"/>
      <c r="M2" s="90"/>
    </row>
    <row r="3" spans="1:36" x14ac:dyDescent="0.25">
      <c r="A3" s="84"/>
      <c r="B3" s="96" t="s">
        <v>34</v>
      </c>
      <c r="C3" s="83">
        <v>44933</v>
      </c>
      <c r="D3" s="83"/>
      <c r="E3" s="30"/>
      <c r="F3" s="30"/>
      <c r="G3" s="30"/>
      <c r="H3" s="90"/>
      <c r="I3" s="90"/>
      <c r="J3" s="97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7"/>
      <c r="K4" s="90"/>
      <c r="L4" s="90"/>
      <c r="M4" s="90"/>
    </row>
    <row r="5" spans="1:36" ht="36" x14ac:dyDescent="0.25">
      <c r="A5" s="1" t="s">
        <v>36</v>
      </c>
      <c r="B5" s="33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32"/>
      <c r="H5" s="98" t="s">
        <v>42</v>
      </c>
      <c r="I5" s="99" t="s">
        <v>43</v>
      </c>
      <c r="J5" s="100" t="s">
        <v>44</v>
      </c>
      <c r="K5" s="99" t="s">
        <v>45</v>
      </c>
      <c r="L5" s="99" t="s">
        <v>46</v>
      </c>
      <c r="M5" s="98" t="s">
        <v>47</v>
      </c>
    </row>
    <row r="6" spans="1:36" ht="14.45" customHeight="1" x14ac:dyDescent="0.25">
      <c r="A6" s="137">
        <f>M6</f>
        <v>0</v>
      </c>
      <c r="B6" s="38" t="str">
        <f>IF(H6&gt;$H$2,"",(ROW()-5))</f>
        <v/>
      </c>
      <c r="C6" s="39"/>
      <c r="D6" s="39"/>
      <c r="E6" s="39"/>
      <c r="F6" s="39" t="s">
        <v>50</v>
      </c>
      <c r="G6" s="32"/>
      <c r="H6" s="101">
        <v>1</v>
      </c>
      <c r="I6" s="102" t="str">
        <f t="shared" ref="I6:I69" si="0">IF(H6&lt;$H$2+1,($I$2-($I$2-1)*(LOG(H6)/LOG($H$2))),"")</f>
        <v/>
      </c>
      <c r="J6" s="101" t="e">
        <f>INT(LOG($H$2,2))-ROUNDUP(LOG(H6,2),0)+IF(OR($H$2=1,$H$2=2,$H$2=4,$H$2=8,$H$2=16,$H$2=32,$H$2=64,$H$2=128,$H$2=256),0,1)</f>
        <v>#NUM!</v>
      </c>
      <c r="K6" s="101" t="e">
        <f t="shared" ref="K6:K69" si="1">J6*$J$2</f>
        <v>#NUM!</v>
      </c>
      <c r="L6" s="103">
        <f>3*K2</f>
        <v>0</v>
      </c>
      <c r="M6" s="103">
        <f t="shared" ref="M6:M69" si="2">IF(I6&lt;&gt;"",K6+I6+L6,0)</f>
        <v>0</v>
      </c>
    </row>
    <row r="7" spans="1:36" ht="14.45" customHeight="1" x14ac:dyDescent="0.25">
      <c r="A7" s="138">
        <f t="shared" ref="A7:A37" si="3">M7</f>
        <v>0</v>
      </c>
      <c r="B7" s="44" t="str">
        <f t="shared" ref="B7:B65" si="4">IF(H7&gt;$H$2,"",(ROW()-5))</f>
        <v/>
      </c>
      <c r="C7" s="45"/>
      <c r="D7" s="45"/>
      <c r="E7" s="45"/>
      <c r="F7" s="45" t="s">
        <v>50</v>
      </c>
      <c r="G7" s="32"/>
      <c r="H7" s="104">
        <v>2</v>
      </c>
      <c r="I7" s="105" t="str">
        <f t="shared" si="0"/>
        <v/>
      </c>
      <c r="J7" s="104" t="e">
        <f t="shared" ref="J7:J70" si="5">INT(LOG($H$2,2))-ROUNDUP(LOG(H7,2),0)+IF(OR($H$2=1,$H$2=2,$H$2=4,$H$2=8,$H$2=16,$H$2=32,$H$2=64,$H$2=128,$H$2=256),0,1)</f>
        <v>#NUM!</v>
      </c>
      <c r="K7" s="104" t="e">
        <f t="shared" si="1"/>
        <v>#NUM!</v>
      </c>
      <c r="L7" s="106">
        <f>2*K2</f>
        <v>0</v>
      </c>
      <c r="M7" s="106">
        <f t="shared" si="2"/>
        <v>0</v>
      </c>
    </row>
    <row r="8" spans="1:36" ht="14.45" customHeight="1" x14ac:dyDescent="0.25">
      <c r="A8" s="137">
        <f t="shared" si="3"/>
        <v>0</v>
      </c>
      <c r="B8" s="38" t="str">
        <f t="shared" si="4"/>
        <v/>
      </c>
      <c r="C8" s="39"/>
      <c r="D8" s="39"/>
      <c r="E8" s="39"/>
      <c r="F8" s="39" t="s">
        <v>50</v>
      </c>
      <c r="G8" s="32"/>
      <c r="H8" s="101">
        <v>3</v>
      </c>
      <c r="I8" s="102" t="str">
        <f t="shared" si="0"/>
        <v/>
      </c>
      <c r="J8" s="101" t="e">
        <f t="shared" si="5"/>
        <v>#NUM!</v>
      </c>
      <c r="K8" s="101" t="e">
        <f t="shared" si="1"/>
        <v>#NUM!</v>
      </c>
      <c r="L8" s="103">
        <f>K2</f>
        <v>0</v>
      </c>
      <c r="M8" s="103">
        <f t="shared" si="2"/>
        <v>0</v>
      </c>
    </row>
    <row r="9" spans="1:36" s="91" customFormat="1" ht="14.45" customHeight="1" x14ac:dyDescent="0.25">
      <c r="A9" s="138">
        <f t="shared" si="3"/>
        <v>0</v>
      </c>
      <c r="B9" s="44" t="str">
        <f>IF(H9&gt;$H$2,"",3)</f>
        <v/>
      </c>
      <c r="C9" s="45"/>
      <c r="D9" s="45"/>
      <c r="E9" s="45"/>
      <c r="F9" s="45"/>
      <c r="G9" s="32"/>
      <c r="H9" s="104">
        <v>3</v>
      </c>
      <c r="I9" s="105" t="str">
        <f t="shared" si="0"/>
        <v/>
      </c>
      <c r="J9" s="104" t="e">
        <f t="shared" si="5"/>
        <v>#NUM!</v>
      </c>
      <c r="K9" s="104" t="e">
        <f t="shared" si="1"/>
        <v>#NUM!</v>
      </c>
      <c r="L9" s="106">
        <f>K2</f>
        <v>0</v>
      </c>
      <c r="M9" s="106">
        <f t="shared" si="2"/>
        <v>0</v>
      </c>
      <c r="N9" s="84"/>
      <c r="O9" s="84"/>
      <c r="P9" s="84"/>
      <c r="Q9" s="84"/>
      <c r="R9" s="84"/>
      <c r="V9" s="107"/>
      <c r="Z9" s="108"/>
      <c r="AA9" s="108"/>
      <c r="AG9" s="109"/>
      <c r="AH9" s="91" t="s">
        <v>54</v>
      </c>
      <c r="AI9" s="91">
        <v>23</v>
      </c>
    </row>
    <row r="10" spans="1:36" ht="14.45" customHeight="1" x14ac:dyDescent="0.25">
      <c r="A10" s="137">
        <f t="shared" si="3"/>
        <v>0</v>
      </c>
      <c r="B10" s="38" t="str">
        <f t="shared" si="4"/>
        <v/>
      </c>
      <c r="C10" s="39"/>
      <c r="D10" s="39"/>
      <c r="E10" s="39"/>
      <c r="F10" s="39"/>
      <c r="G10" s="32"/>
      <c r="H10" s="101">
        <v>5</v>
      </c>
      <c r="I10" s="102" t="str">
        <f t="shared" si="0"/>
        <v/>
      </c>
      <c r="J10" s="101" t="e">
        <f t="shared" si="5"/>
        <v>#NUM!</v>
      </c>
      <c r="K10" s="101" t="e">
        <f t="shared" si="1"/>
        <v>#NUM!</v>
      </c>
      <c r="L10" s="101"/>
      <c r="M10" s="103">
        <f t="shared" si="2"/>
        <v>0</v>
      </c>
      <c r="V10" s="107"/>
      <c r="Z10" s="108"/>
      <c r="AA10" s="108"/>
      <c r="AG10" s="109"/>
      <c r="AH10" s="91" t="s">
        <v>55</v>
      </c>
      <c r="AI10" s="91">
        <v>45</v>
      </c>
    </row>
    <row r="11" spans="1:36" ht="14.45" customHeight="1" x14ac:dyDescent="0.25">
      <c r="A11" s="138">
        <f t="shared" si="3"/>
        <v>0</v>
      </c>
      <c r="B11" s="44" t="str">
        <f t="shared" si="4"/>
        <v/>
      </c>
      <c r="C11" s="45"/>
      <c r="D11" s="45"/>
      <c r="E11" s="45"/>
      <c r="F11" s="45"/>
      <c r="G11" s="32"/>
      <c r="H11" s="104">
        <v>6</v>
      </c>
      <c r="I11" s="105" t="str">
        <f t="shared" si="0"/>
        <v/>
      </c>
      <c r="J11" s="104" t="e">
        <f t="shared" si="5"/>
        <v>#NUM!</v>
      </c>
      <c r="K11" s="104" t="e">
        <f t="shared" si="1"/>
        <v>#NUM!</v>
      </c>
      <c r="L11" s="104"/>
      <c r="M11" s="106">
        <f t="shared" si="2"/>
        <v>0</v>
      </c>
      <c r="V11" s="110"/>
      <c r="Z11" s="108"/>
      <c r="AA11" s="108"/>
      <c r="AG11" s="109"/>
      <c r="AH11" s="91" t="s">
        <v>56</v>
      </c>
      <c r="AI11" s="91">
        <v>50</v>
      </c>
    </row>
    <row r="12" spans="1:36" ht="14.45" customHeight="1" x14ac:dyDescent="0.25">
      <c r="A12" s="137">
        <f t="shared" si="3"/>
        <v>0</v>
      </c>
      <c r="B12" s="38" t="str">
        <f t="shared" si="4"/>
        <v/>
      </c>
      <c r="C12" s="39"/>
      <c r="D12" s="39"/>
      <c r="E12" s="39"/>
      <c r="F12" s="39"/>
      <c r="G12" s="32"/>
      <c r="H12" s="101">
        <v>7</v>
      </c>
      <c r="I12" s="102" t="str">
        <f t="shared" si="0"/>
        <v/>
      </c>
      <c r="J12" s="101" t="e">
        <f t="shared" si="5"/>
        <v>#NUM!</v>
      </c>
      <c r="K12" s="101" t="e">
        <f t="shared" si="1"/>
        <v>#NUM!</v>
      </c>
      <c r="L12" s="101"/>
      <c r="M12" s="103">
        <f t="shared" si="2"/>
        <v>0</v>
      </c>
      <c r="Z12" s="108"/>
      <c r="AA12" s="108"/>
      <c r="AG12" s="109"/>
      <c r="AH12" s="91" t="s">
        <v>57</v>
      </c>
      <c r="AI12" s="91">
        <f>AI11-1</f>
        <v>49</v>
      </c>
    </row>
    <row r="13" spans="1:36" ht="14.45" customHeight="1" x14ac:dyDescent="0.25">
      <c r="A13" s="138">
        <f t="shared" si="3"/>
        <v>0</v>
      </c>
      <c r="B13" s="44" t="str">
        <f t="shared" si="4"/>
        <v/>
      </c>
      <c r="C13" s="45"/>
      <c r="D13" s="45"/>
      <c r="E13" s="45"/>
      <c r="F13" s="45"/>
      <c r="G13" s="32"/>
      <c r="H13" s="104">
        <v>8</v>
      </c>
      <c r="I13" s="105" t="str">
        <f t="shared" si="0"/>
        <v/>
      </c>
      <c r="J13" s="104" t="e">
        <f t="shared" si="5"/>
        <v>#NUM!</v>
      </c>
      <c r="K13" s="104" t="e">
        <f t="shared" si="1"/>
        <v>#NUM!</v>
      </c>
      <c r="L13" s="104"/>
      <c r="M13" s="106">
        <f t="shared" si="2"/>
        <v>0</v>
      </c>
      <c r="X13" s="107"/>
      <c r="AG13" s="109"/>
      <c r="AH13" s="91" t="s">
        <v>58</v>
      </c>
      <c r="AI13" s="91">
        <f>LOG(AI9)</f>
        <v>1.3617278360175928</v>
      </c>
    </row>
    <row r="14" spans="1:36" x14ac:dyDescent="0.25">
      <c r="A14" s="137">
        <f t="shared" si="3"/>
        <v>0</v>
      </c>
      <c r="B14" s="38" t="str">
        <f t="shared" si="4"/>
        <v/>
      </c>
      <c r="C14" s="39"/>
      <c r="D14" s="39"/>
      <c r="E14" s="39"/>
      <c r="F14" s="39"/>
      <c r="G14" s="32"/>
      <c r="H14" s="101">
        <v>9</v>
      </c>
      <c r="I14" s="102" t="str">
        <f t="shared" si="0"/>
        <v/>
      </c>
      <c r="J14" s="101" t="e">
        <f t="shared" si="5"/>
        <v>#NUM!</v>
      </c>
      <c r="K14" s="101" t="e">
        <f t="shared" si="1"/>
        <v>#NUM!</v>
      </c>
      <c r="L14" s="101"/>
      <c r="M14" s="103">
        <f t="shared" si="2"/>
        <v>0</v>
      </c>
      <c r="X14" s="111"/>
      <c r="Z14" s="108"/>
      <c r="AA14" s="108"/>
      <c r="AG14" s="109"/>
      <c r="AH14" s="91" t="s">
        <v>59</v>
      </c>
      <c r="AI14" s="91">
        <f>LOG(AI10)</f>
        <v>1.6532125137753437</v>
      </c>
    </row>
    <row r="15" spans="1:36" x14ac:dyDescent="0.25">
      <c r="A15" s="138">
        <f t="shared" si="3"/>
        <v>0</v>
      </c>
      <c r="B15" s="44" t="str">
        <f t="shared" si="4"/>
        <v/>
      </c>
      <c r="C15" s="45"/>
      <c r="D15" s="45"/>
      <c r="E15" s="45"/>
      <c r="F15" s="45"/>
      <c r="G15" s="32"/>
      <c r="H15" s="104">
        <v>10</v>
      </c>
      <c r="I15" s="105" t="str">
        <f t="shared" si="0"/>
        <v/>
      </c>
      <c r="J15" s="104" t="e">
        <f t="shared" si="5"/>
        <v>#NUM!</v>
      </c>
      <c r="K15" s="104" t="e">
        <f t="shared" si="1"/>
        <v>#NUM!</v>
      </c>
      <c r="L15" s="104"/>
      <c r="M15" s="106">
        <f t="shared" si="2"/>
        <v>0</v>
      </c>
      <c r="X15" s="107"/>
      <c r="Z15" s="108"/>
      <c r="AA15" s="108"/>
    </row>
    <row r="16" spans="1:36" x14ac:dyDescent="0.25">
      <c r="A16" s="137">
        <f t="shared" si="3"/>
        <v>0</v>
      </c>
      <c r="B16" s="38" t="str">
        <f t="shared" si="4"/>
        <v/>
      </c>
      <c r="C16" s="39"/>
      <c r="D16" s="39"/>
      <c r="E16" s="39"/>
      <c r="F16" s="39"/>
      <c r="G16" s="32"/>
      <c r="H16" s="101">
        <v>11</v>
      </c>
      <c r="I16" s="102" t="str">
        <f t="shared" si="0"/>
        <v/>
      </c>
      <c r="J16" s="101" t="e">
        <f t="shared" si="5"/>
        <v>#NUM!</v>
      </c>
      <c r="K16" s="101" t="e">
        <f t="shared" si="1"/>
        <v>#NUM!</v>
      </c>
      <c r="L16" s="101"/>
      <c r="M16" s="103">
        <f t="shared" si="2"/>
        <v>0</v>
      </c>
      <c r="R16" s="112"/>
      <c r="Z16" s="108"/>
      <c r="AA16" s="108"/>
      <c r="AH16" s="113" t="s">
        <v>60</v>
      </c>
      <c r="AI16" s="91">
        <f>AI11-AI12*AI13/AI14</f>
        <v>9.6393909380186855</v>
      </c>
      <c r="AJ16" s="91" t="s">
        <v>61</v>
      </c>
    </row>
    <row r="17" spans="1:19" x14ac:dyDescent="0.25">
      <c r="A17" s="138">
        <f t="shared" si="3"/>
        <v>0</v>
      </c>
      <c r="B17" s="44" t="str">
        <f t="shared" si="4"/>
        <v/>
      </c>
      <c r="C17" s="45"/>
      <c r="D17" s="45"/>
      <c r="E17" s="45"/>
      <c r="F17" s="45"/>
      <c r="G17" s="32"/>
      <c r="H17" s="104">
        <v>12</v>
      </c>
      <c r="I17" s="105" t="str">
        <f t="shared" si="0"/>
        <v/>
      </c>
      <c r="J17" s="104" t="e">
        <f t="shared" si="5"/>
        <v>#NUM!</v>
      </c>
      <c r="K17" s="104" t="e">
        <f t="shared" si="1"/>
        <v>#NUM!</v>
      </c>
      <c r="L17" s="104"/>
      <c r="M17" s="106">
        <f t="shared" si="2"/>
        <v>0</v>
      </c>
    </row>
    <row r="18" spans="1:19" x14ac:dyDescent="0.25">
      <c r="A18" s="137">
        <f t="shared" si="3"/>
        <v>0</v>
      </c>
      <c r="B18" s="38" t="str">
        <f t="shared" si="4"/>
        <v/>
      </c>
      <c r="C18" s="39"/>
      <c r="D18" s="39"/>
      <c r="E18" s="39"/>
      <c r="F18" s="39"/>
      <c r="G18" s="32"/>
      <c r="H18" s="101">
        <v>13</v>
      </c>
      <c r="I18" s="102" t="str">
        <f t="shared" si="0"/>
        <v/>
      </c>
      <c r="J18" s="101" t="e">
        <f t="shared" si="5"/>
        <v>#NUM!</v>
      </c>
      <c r="K18" s="101" t="e">
        <f t="shared" si="1"/>
        <v>#NUM!</v>
      </c>
      <c r="L18" s="101"/>
      <c r="M18" s="103">
        <f t="shared" si="2"/>
        <v>0</v>
      </c>
    </row>
    <row r="19" spans="1:19" x14ac:dyDescent="0.25">
      <c r="A19" s="138">
        <f t="shared" si="3"/>
        <v>0</v>
      </c>
      <c r="B19" s="44" t="str">
        <f t="shared" si="4"/>
        <v/>
      </c>
      <c r="C19" s="45"/>
      <c r="D19" s="45"/>
      <c r="E19" s="45"/>
      <c r="F19" s="45"/>
      <c r="G19" s="32"/>
      <c r="H19" s="104">
        <v>14</v>
      </c>
      <c r="I19" s="105" t="str">
        <f t="shared" si="0"/>
        <v/>
      </c>
      <c r="J19" s="104" t="e">
        <f t="shared" si="5"/>
        <v>#NUM!</v>
      </c>
      <c r="K19" s="104" t="e">
        <f t="shared" si="1"/>
        <v>#NUM!</v>
      </c>
      <c r="L19" s="104"/>
      <c r="M19" s="106">
        <f t="shared" si="2"/>
        <v>0</v>
      </c>
    </row>
    <row r="20" spans="1:19" x14ac:dyDescent="0.25">
      <c r="A20" s="137">
        <f t="shared" si="3"/>
        <v>0</v>
      </c>
      <c r="B20" s="38" t="str">
        <f t="shared" si="4"/>
        <v/>
      </c>
      <c r="C20" s="39"/>
      <c r="D20" s="39"/>
      <c r="E20" s="39"/>
      <c r="F20" s="39"/>
      <c r="G20" s="32"/>
      <c r="H20" s="101">
        <v>15</v>
      </c>
      <c r="I20" s="102" t="str">
        <f t="shared" si="0"/>
        <v/>
      </c>
      <c r="J20" s="101" t="e">
        <f t="shared" si="5"/>
        <v>#NUM!</v>
      </c>
      <c r="K20" s="101" t="e">
        <f t="shared" si="1"/>
        <v>#NUM!</v>
      </c>
      <c r="L20" s="101"/>
      <c r="M20" s="103">
        <f t="shared" si="2"/>
        <v>0</v>
      </c>
      <c r="R20" s="114"/>
      <c r="S20" s="115"/>
    </row>
    <row r="21" spans="1:19" x14ac:dyDescent="0.25">
      <c r="A21" s="138">
        <f t="shared" si="3"/>
        <v>0</v>
      </c>
      <c r="B21" s="44" t="str">
        <f t="shared" si="4"/>
        <v/>
      </c>
      <c r="C21" s="45"/>
      <c r="D21" s="45"/>
      <c r="E21" s="45"/>
      <c r="F21" s="45"/>
      <c r="G21" s="32"/>
      <c r="H21" s="104">
        <v>16</v>
      </c>
      <c r="I21" s="105" t="str">
        <f t="shared" si="0"/>
        <v/>
      </c>
      <c r="J21" s="104" t="e">
        <f t="shared" si="5"/>
        <v>#NUM!</v>
      </c>
      <c r="K21" s="104" t="e">
        <f t="shared" si="1"/>
        <v>#NUM!</v>
      </c>
      <c r="L21" s="104"/>
      <c r="M21" s="106">
        <f t="shared" si="2"/>
        <v>0</v>
      </c>
    </row>
    <row r="22" spans="1:19" x14ac:dyDescent="0.25">
      <c r="A22" s="137">
        <f t="shared" si="3"/>
        <v>0</v>
      </c>
      <c r="B22" s="38" t="str">
        <f t="shared" si="4"/>
        <v/>
      </c>
      <c r="C22" s="39"/>
      <c r="D22" s="39"/>
      <c r="E22" s="39"/>
      <c r="F22" s="39"/>
      <c r="G22" s="32"/>
      <c r="H22" s="101">
        <v>17</v>
      </c>
      <c r="I22" s="102" t="str">
        <f t="shared" si="0"/>
        <v/>
      </c>
      <c r="J22" s="101" t="e">
        <f t="shared" si="5"/>
        <v>#NUM!</v>
      </c>
      <c r="K22" s="101" t="e">
        <f t="shared" si="1"/>
        <v>#NUM!</v>
      </c>
      <c r="L22" s="101"/>
      <c r="M22" s="103">
        <f t="shared" si="2"/>
        <v>0</v>
      </c>
    </row>
    <row r="23" spans="1:19" x14ac:dyDescent="0.25">
      <c r="A23" s="138">
        <f t="shared" si="3"/>
        <v>0</v>
      </c>
      <c r="B23" s="44" t="str">
        <f t="shared" si="4"/>
        <v/>
      </c>
      <c r="C23" s="45"/>
      <c r="D23" s="45"/>
      <c r="E23" s="45"/>
      <c r="F23" s="45"/>
      <c r="G23" s="32"/>
      <c r="H23" s="104">
        <v>18</v>
      </c>
      <c r="I23" s="105" t="str">
        <f t="shared" si="0"/>
        <v/>
      </c>
      <c r="J23" s="104" t="e">
        <f t="shared" si="5"/>
        <v>#NUM!</v>
      </c>
      <c r="K23" s="104" t="e">
        <f t="shared" si="1"/>
        <v>#NUM!</v>
      </c>
      <c r="L23" s="104"/>
      <c r="M23" s="106">
        <f t="shared" si="2"/>
        <v>0</v>
      </c>
    </row>
    <row r="24" spans="1:19" x14ac:dyDescent="0.25">
      <c r="A24" s="137">
        <f t="shared" si="3"/>
        <v>0</v>
      </c>
      <c r="B24" s="38" t="str">
        <f t="shared" si="4"/>
        <v/>
      </c>
      <c r="C24" s="39"/>
      <c r="D24" s="39"/>
      <c r="E24" s="39"/>
      <c r="F24" s="39"/>
      <c r="G24" s="32"/>
      <c r="H24" s="101">
        <v>19</v>
      </c>
      <c r="I24" s="102" t="str">
        <f t="shared" si="0"/>
        <v/>
      </c>
      <c r="J24" s="101" t="e">
        <f t="shared" si="5"/>
        <v>#NUM!</v>
      </c>
      <c r="K24" s="101" t="e">
        <f t="shared" si="1"/>
        <v>#NUM!</v>
      </c>
      <c r="L24" s="101"/>
      <c r="M24" s="103">
        <f t="shared" si="2"/>
        <v>0</v>
      </c>
      <c r="R24" s="114"/>
      <c r="S24" s="115"/>
    </row>
    <row r="25" spans="1:19" x14ac:dyDescent="0.25">
      <c r="A25" s="138">
        <f t="shared" si="3"/>
        <v>0</v>
      </c>
      <c r="B25" s="44" t="str">
        <f t="shared" si="4"/>
        <v/>
      </c>
      <c r="C25" s="45"/>
      <c r="D25" s="45"/>
      <c r="E25" s="45"/>
      <c r="F25" s="45"/>
      <c r="G25" s="32"/>
      <c r="H25" s="104">
        <v>20</v>
      </c>
      <c r="I25" s="105" t="str">
        <f t="shared" si="0"/>
        <v/>
      </c>
      <c r="J25" s="104" t="e">
        <f t="shared" si="5"/>
        <v>#NUM!</v>
      </c>
      <c r="K25" s="104" t="e">
        <f t="shared" si="1"/>
        <v>#NUM!</v>
      </c>
      <c r="L25" s="104"/>
      <c r="M25" s="106">
        <f t="shared" si="2"/>
        <v>0</v>
      </c>
    </row>
    <row r="26" spans="1:19" x14ac:dyDescent="0.25">
      <c r="A26" s="137">
        <f t="shared" si="3"/>
        <v>0</v>
      </c>
      <c r="B26" s="38" t="str">
        <f t="shared" si="4"/>
        <v/>
      </c>
      <c r="C26" s="39"/>
      <c r="D26" s="39"/>
      <c r="E26" s="39"/>
      <c r="F26" s="39"/>
      <c r="G26" s="32"/>
      <c r="H26" s="101">
        <v>21</v>
      </c>
      <c r="I26" s="102" t="str">
        <f t="shared" si="0"/>
        <v/>
      </c>
      <c r="J26" s="101" t="e">
        <f t="shared" si="5"/>
        <v>#NUM!</v>
      </c>
      <c r="K26" s="101" t="e">
        <f t="shared" si="1"/>
        <v>#NUM!</v>
      </c>
      <c r="L26" s="101"/>
      <c r="M26" s="103">
        <f t="shared" si="2"/>
        <v>0</v>
      </c>
    </row>
    <row r="27" spans="1:19" x14ac:dyDescent="0.25">
      <c r="A27" s="138">
        <f t="shared" si="3"/>
        <v>0</v>
      </c>
      <c r="B27" s="44" t="str">
        <f t="shared" si="4"/>
        <v/>
      </c>
      <c r="C27" s="45"/>
      <c r="D27" s="45"/>
      <c r="E27" s="45"/>
      <c r="F27" s="45"/>
      <c r="G27" s="32"/>
      <c r="H27" s="104">
        <v>22</v>
      </c>
      <c r="I27" s="105" t="str">
        <f t="shared" si="0"/>
        <v/>
      </c>
      <c r="J27" s="104" t="e">
        <f t="shared" si="5"/>
        <v>#NUM!</v>
      </c>
      <c r="K27" s="104" t="e">
        <f t="shared" si="1"/>
        <v>#NUM!</v>
      </c>
      <c r="L27" s="104"/>
      <c r="M27" s="106">
        <f t="shared" si="2"/>
        <v>0</v>
      </c>
    </row>
    <row r="28" spans="1:19" x14ac:dyDescent="0.25">
      <c r="A28" s="137">
        <f t="shared" si="3"/>
        <v>0</v>
      </c>
      <c r="B28" s="38" t="str">
        <f t="shared" si="4"/>
        <v/>
      </c>
      <c r="C28" s="39"/>
      <c r="D28" s="39"/>
      <c r="E28" s="39"/>
      <c r="F28" s="39"/>
      <c r="G28" s="32"/>
      <c r="H28" s="101">
        <v>23</v>
      </c>
      <c r="I28" s="102" t="str">
        <f t="shared" si="0"/>
        <v/>
      </c>
      <c r="J28" s="101" t="e">
        <f t="shared" si="5"/>
        <v>#NUM!</v>
      </c>
      <c r="K28" s="101" t="e">
        <f t="shared" si="1"/>
        <v>#NUM!</v>
      </c>
      <c r="L28" s="101"/>
      <c r="M28" s="103">
        <f t="shared" si="2"/>
        <v>0</v>
      </c>
      <c r="R28" s="114"/>
      <c r="S28" s="115"/>
    </row>
    <row r="29" spans="1:19" x14ac:dyDescent="0.25">
      <c r="A29" s="138">
        <f t="shared" si="3"/>
        <v>0</v>
      </c>
      <c r="B29" s="44" t="str">
        <f t="shared" si="4"/>
        <v/>
      </c>
      <c r="C29" s="45"/>
      <c r="D29" s="45"/>
      <c r="E29" s="45"/>
      <c r="F29" s="45"/>
      <c r="G29" s="84"/>
      <c r="H29" s="104">
        <v>24</v>
      </c>
      <c r="I29" s="105" t="str">
        <f t="shared" si="0"/>
        <v/>
      </c>
      <c r="J29" s="104" t="e">
        <f t="shared" si="5"/>
        <v>#NUM!</v>
      </c>
      <c r="K29" s="104" t="e">
        <f t="shared" si="1"/>
        <v>#NUM!</v>
      </c>
      <c r="L29" s="104"/>
      <c r="M29" s="106">
        <f t="shared" si="2"/>
        <v>0</v>
      </c>
    </row>
    <row r="30" spans="1:19" x14ac:dyDescent="0.25">
      <c r="A30" s="137">
        <f t="shared" si="3"/>
        <v>0</v>
      </c>
      <c r="B30" s="38" t="str">
        <f t="shared" si="4"/>
        <v/>
      </c>
      <c r="C30" s="39"/>
      <c r="D30" s="39"/>
      <c r="E30" s="39"/>
      <c r="F30" s="39"/>
      <c r="G30" s="84"/>
      <c r="H30" s="101">
        <v>25</v>
      </c>
      <c r="I30" s="102" t="str">
        <f t="shared" si="0"/>
        <v/>
      </c>
      <c r="J30" s="101" t="e">
        <f t="shared" si="5"/>
        <v>#NUM!</v>
      </c>
      <c r="K30" s="101" t="e">
        <f t="shared" si="1"/>
        <v>#NUM!</v>
      </c>
      <c r="L30" s="101"/>
      <c r="M30" s="103">
        <f t="shared" si="2"/>
        <v>0</v>
      </c>
    </row>
    <row r="31" spans="1:19" x14ac:dyDescent="0.25">
      <c r="A31" s="138">
        <f t="shared" si="3"/>
        <v>0</v>
      </c>
      <c r="B31" s="44" t="str">
        <f t="shared" si="4"/>
        <v/>
      </c>
      <c r="C31" s="45"/>
      <c r="D31" s="45"/>
      <c r="E31" s="45"/>
      <c r="F31" s="45"/>
      <c r="G31" s="84"/>
      <c r="H31" s="104">
        <v>26</v>
      </c>
      <c r="I31" s="105" t="str">
        <f t="shared" si="0"/>
        <v/>
      </c>
      <c r="J31" s="104" t="e">
        <f t="shared" si="5"/>
        <v>#NUM!</v>
      </c>
      <c r="K31" s="104" t="e">
        <f t="shared" si="1"/>
        <v>#NUM!</v>
      </c>
      <c r="L31" s="104"/>
      <c r="M31" s="106">
        <f t="shared" si="2"/>
        <v>0</v>
      </c>
    </row>
    <row r="32" spans="1:19" x14ac:dyDescent="0.25">
      <c r="A32" s="137">
        <f t="shared" si="3"/>
        <v>0</v>
      </c>
      <c r="B32" s="38" t="str">
        <f t="shared" si="4"/>
        <v/>
      </c>
      <c r="C32" s="39"/>
      <c r="D32" s="39"/>
      <c r="E32" s="39"/>
      <c r="F32" s="39"/>
      <c r="G32" s="84"/>
      <c r="H32" s="101">
        <v>27</v>
      </c>
      <c r="I32" s="102" t="str">
        <f t="shared" si="0"/>
        <v/>
      </c>
      <c r="J32" s="101" t="e">
        <f t="shared" si="5"/>
        <v>#NUM!</v>
      </c>
      <c r="K32" s="101" t="e">
        <f t="shared" si="1"/>
        <v>#NUM!</v>
      </c>
      <c r="L32" s="101"/>
      <c r="M32" s="103">
        <f t="shared" si="2"/>
        <v>0</v>
      </c>
      <c r="R32" s="114"/>
      <c r="S32" s="115"/>
    </row>
    <row r="33" spans="1:21" x14ac:dyDescent="0.25">
      <c r="A33" s="138">
        <f t="shared" si="3"/>
        <v>0</v>
      </c>
      <c r="B33" s="44" t="str">
        <f t="shared" si="4"/>
        <v/>
      </c>
      <c r="C33" s="45"/>
      <c r="D33" s="45"/>
      <c r="E33" s="45"/>
      <c r="F33" s="45"/>
      <c r="G33" s="84"/>
      <c r="H33" s="104">
        <v>28</v>
      </c>
      <c r="I33" s="105" t="str">
        <f t="shared" si="0"/>
        <v/>
      </c>
      <c r="J33" s="104" t="e">
        <f t="shared" si="5"/>
        <v>#NUM!</v>
      </c>
      <c r="K33" s="104" t="e">
        <f t="shared" si="1"/>
        <v>#NUM!</v>
      </c>
      <c r="L33" s="104"/>
      <c r="M33" s="106">
        <f t="shared" si="2"/>
        <v>0</v>
      </c>
    </row>
    <row r="34" spans="1:21" x14ac:dyDescent="0.25">
      <c r="A34" s="137">
        <f t="shared" si="3"/>
        <v>0</v>
      </c>
      <c r="B34" s="38" t="str">
        <f t="shared" si="4"/>
        <v/>
      </c>
      <c r="C34" s="39"/>
      <c r="D34" s="39"/>
      <c r="E34" s="39"/>
      <c r="F34" s="39"/>
      <c r="G34" s="84"/>
      <c r="H34" s="101">
        <v>29</v>
      </c>
      <c r="I34" s="102" t="str">
        <f t="shared" si="0"/>
        <v/>
      </c>
      <c r="J34" s="101" t="e">
        <f t="shared" si="5"/>
        <v>#NUM!</v>
      </c>
      <c r="K34" s="101" t="e">
        <f t="shared" si="1"/>
        <v>#NUM!</v>
      </c>
      <c r="L34" s="101"/>
      <c r="M34" s="103">
        <f t="shared" si="2"/>
        <v>0</v>
      </c>
    </row>
    <row r="35" spans="1:21" x14ac:dyDescent="0.25">
      <c r="A35" s="138">
        <f t="shared" si="3"/>
        <v>0</v>
      </c>
      <c r="B35" s="44" t="str">
        <f t="shared" si="4"/>
        <v/>
      </c>
      <c r="C35" s="45"/>
      <c r="D35" s="45"/>
      <c r="E35" s="45"/>
      <c r="F35" s="45"/>
      <c r="G35" s="84"/>
      <c r="H35" s="104">
        <v>30</v>
      </c>
      <c r="I35" s="105" t="str">
        <f t="shared" si="0"/>
        <v/>
      </c>
      <c r="J35" s="104" t="e">
        <f t="shared" si="5"/>
        <v>#NUM!</v>
      </c>
      <c r="K35" s="104" t="e">
        <f t="shared" si="1"/>
        <v>#NUM!</v>
      </c>
      <c r="L35" s="104"/>
      <c r="M35" s="106">
        <f t="shared" si="2"/>
        <v>0</v>
      </c>
    </row>
    <row r="36" spans="1:21" x14ac:dyDescent="0.25">
      <c r="A36" s="137">
        <f t="shared" si="3"/>
        <v>0</v>
      </c>
      <c r="B36" s="38" t="str">
        <f t="shared" si="4"/>
        <v/>
      </c>
      <c r="C36" s="39"/>
      <c r="D36" s="39"/>
      <c r="E36" s="39"/>
      <c r="F36" s="39"/>
      <c r="G36" s="84"/>
      <c r="H36" s="101">
        <v>31</v>
      </c>
      <c r="I36" s="102" t="str">
        <f t="shared" si="0"/>
        <v/>
      </c>
      <c r="J36" s="101" t="e">
        <f t="shared" si="5"/>
        <v>#NUM!</v>
      </c>
      <c r="K36" s="101" t="e">
        <f t="shared" si="1"/>
        <v>#NUM!</v>
      </c>
      <c r="L36" s="101"/>
      <c r="M36" s="103">
        <f t="shared" si="2"/>
        <v>0</v>
      </c>
      <c r="R36" s="114"/>
      <c r="S36" s="115"/>
    </row>
    <row r="37" spans="1:21" x14ac:dyDescent="0.25">
      <c r="A37" s="138">
        <f t="shared" si="3"/>
        <v>0</v>
      </c>
      <c r="B37" s="44" t="str">
        <f t="shared" si="4"/>
        <v/>
      </c>
      <c r="C37" s="45"/>
      <c r="D37" s="45"/>
      <c r="E37" s="45"/>
      <c r="F37" s="45"/>
      <c r="G37" s="84"/>
      <c r="H37" s="104">
        <v>32</v>
      </c>
      <c r="I37" s="105" t="str">
        <f t="shared" si="0"/>
        <v/>
      </c>
      <c r="J37" s="104" t="e">
        <f t="shared" si="5"/>
        <v>#NUM!</v>
      </c>
      <c r="K37" s="104" t="e">
        <f t="shared" si="1"/>
        <v>#NUM!</v>
      </c>
      <c r="L37" s="104"/>
      <c r="M37" s="106">
        <f t="shared" si="2"/>
        <v>0</v>
      </c>
    </row>
    <row r="38" spans="1:21" x14ac:dyDescent="0.25">
      <c r="A38" s="137"/>
      <c r="B38" s="38" t="str">
        <f t="shared" si="4"/>
        <v/>
      </c>
      <c r="C38" s="39"/>
      <c r="D38" s="39"/>
      <c r="E38" s="39"/>
      <c r="F38" s="39"/>
      <c r="G38" s="84"/>
      <c r="H38" s="101">
        <v>33</v>
      </c>
      <c r="I38" s="102" t="str">
        <f t="shared" si="0"/>
        <v/>
      </c>
      <c r="J38" s="101" t="e">
        <f t="shared" si="5"/>
        <v>#NUM!</v>
      </c>
      <c r="K38" s="101" t="e">
        <f t="shared" si="1"/>
        <v>#NUM!</v>
      </c>
      <c r="L38" s="101"/>
      <c r="M38" s="103">
        <f t="shared" si="2"/>
        <v>0</v>
      </c>
    </row>
    <row r="39" spans="1:21" x14ac:dyDescent="0.25">
      <c r="A39" s="138"/>
      <c r="B39" s="44" t="str">
        <f t="shared" si="4"/>
        <v/>
      </c>
      <c r="C39" s="45"/>
      <c r="D39" s="45"/>
      <c r="E39" s="45"/>
      <c r="F39" s="45"/>
      <c r="G39" s="84"/>
      <c r="H39" s="104">
        <v>34</v>
      </c>
      <c r="I39" s="105" t="str">
        <f t="shared" si="0"/>
        <v/>
      </c>
      <c r="J39" s="104" t="e">
        <f t="shared" si="5"/>
        <v>#NUM!</v>
      </c>
      <c r="K39" s="104" t="e">
        <f t="shared" si="1"/>
        <v>#NUM!</v>
      </c>
      <c r="L39" s="104"/>
      <c r="M39" s="106">
        <f t="shared" si="2"/>
        <v>0</v>
      </c>
    </row>
    <row r="40" spans="1:21" x14ac:dyDescent="0.25">
      <c r="A40" s="137"/>
      <c r="B40" s="38" t="str">
        <f t="shared" si="4"/>
        <v/>
      </c>
      <c r="C40" s="39"/>
      <c r="D40" s="39"/>
      <c r="E40" s="39"/>
      <c r="F40" s="39"/>
      <c r="G40" s="84"/>
      <c r="H40" s="101">
        <v>35</v>
      </c>
      <c r="I40" s="102" t="str">
        <f t="shared" si="0"/>
        <v/>
      </c>
      <c r="J40" s="101" t="e">
        <f t="shared" si="5"/>
        <v>#NUM!</v>
      </c>
      <c r="K40" s="101" t="e">
        <f t="shared" si="1"/>
        <v>#NUM!</v>
      </c>
      <c r="L40" s="101"/>
      <c r="M40" s="103">
        <f t="shared" si="2"/>
        <v>0</v>
      </c>
    </row>
    <row r="41" spans="1:21" x14ac:dyDescent="0.25">
      <c r="A41" s="138"/>
      <c r="B41" s="44" t="str">
        <f t="shared" si="4"/>
        <v/>
      </c>
      <c r="C41" s="45"/>
      <c r="D41" s="45"/>
      <c r="E41" s="45"/>
      <c r="F41" s="45"/>
      <c r="G41" s="84"/>
      <c r="H41" s="104">
        <v>36</v>
      </c>
      <c r="I41" s="105" t="str">
        <f t="shared" si="0"/>
        <v/>
      </c>
      <c r="J41" s="104" t="e">
        <f t="shared" si="5"/>
        <v>#NUM!</v>
      </c>
      <c r="K41" s="104" t="e">
        <f t="shared" si="1"/>
        <v>#NUM!</v>
      </c>
      <c r="L41" s="104"/>
      <c r="M41" s="106">
        <f t="shared" si="2"/>
        <v>0</v>
      </c>
      <c r="S41" s="116"/>
    </row>
    <row r="42" spans="1:21" x14ac:dyDescent="0.25">
      <c r="A42" s="137"/>
      <c r="B42" s="38" t="str">
        <f t="shared" si="4"/>
        <v/>
      </c>
      <c r="C42" s="39"/>
      <c r="D42" s="39"/>
      <c r="E42" s="39"/>
      <c r="F42" s="39"/>
      <c r="G42" s="84"/>
      <c r="H42" s="101">
        <v>37</v>
      </c>
      <c r="I42" s="102" t="str">
        <f t="shared" si="0"/>
        <v/>
      </c>
      <c r="J42" s="101" t="e">
        <f t="shared" si="5"/>
        <v>#NUM!</v>
      </c>
      <c r="K42" s="101" t="e">
        <f t="shared" si="1"/>
        <v>#NUM!</v>
      </c>
      <c r="L42" s="101"/>
      <c r="M42" s="103">
        <f t="shared" si="2"/>
        <v>0</v>
      </c>
    </row>
    <row r="43" spans="1:21" x14ac:dyDescent="0.25">
      <c r="A43" s="138"/>
      <c r="B43" s="44" t="str">
        <f t="shared" si="4"/>
        <v/>
      </c>
      <c r="C43" s="45"/>
      <c r="D43" s="45"/>
      <c r="E43" s="45"/>
      <c r="F43" s="45"/>
      <c r="G43" s="84"/>
      <c r="H43" s="104">
        <v>38</v>
      </c>
      <c r="I43" s="105" t="str">
        <f t="shared" si="0"/>
        <v/>
      </c>
      <c r="J43" s="104" t="e">
        <f t="shared" si="5"/>
        <v>#NUM!</v>
      </c>
      <c r="K43" s="104" t="e">
        <f t="shared" si="1"/>
        <v>#NUM!</v>
      </c>
      <c r="L43" s="104"/>
      <c r="M43" s="106">
        <f t="shared" si="2"/>
        <v>0</v>
      </c>
    </row>
    <row r="44" spans="1:21" x14ac:dyDescent="0.25">
      <c r="A44" s="137"/>
      <c r="B44" s="38" t="str">
        <f t="shared" si="4"/>
        <v/>
      </c>
      <c r="C44" s="39"/>
      <c r="D44" s="39"/>
      <c r="E44" s="39"/>
      <c r="F44" s="39"/>
      <c r="G44" s="84"/>
      <c r="H44" s="101">
        <v>39</v>
      </c>
      <c r="I44" s="102" t="str">
        <f t="shared" si="0"/>
        <v/>
      </c>
      <c r="J44" s="101" t="e">
        <f t="shared" si="5"/>
        <v>#NUM!</v>
      </c>
      <c r="K44" s="101" t="e">
        <f t="shared" si="1"/>
        <v>#NUM!</v>
      </c>
      <c r="L44" s="101"/>
      <c r="M44" s="103">
        <f t="shared" si="2"/>
        <v>0</v>
      </c>
    </row>
    <row r="45" spans="1:21" x14ac:dyDescent="0.25">
      <c r="A45" s="138"/>
      <c r="B45" s="44" t="str">
        <f t="shared" si="4"/>
        <v/>
      </c>
      <c r="C45" s="45"/>
      <c r="D45" s="45"/>
      <c r="E45" s="45"/>
      <c r="F45" s="45"/>
      <c r="G45" s="84"/>
      <c r="H45" s="104">
        <v>40</v>
      </c>
      <c r="I45" s="105" t="str">
        <f t="shared" si="0"/>
        <v/>
      </c>
      <c r="J45" s="104" t="e">
        <f t="shared" si="5"/>
        <v>#NUM!</v>
      </c>
      <c r="K45" s="104" t="e">
        <f t="shared" si="1"/>
        <v>#NUM!</v>
      </c>
      <c r="L45" s="104"/>
      <c r="M45" s="106">
        <f t="shared" si="2"/>
        <v>0</v>
      </c>
    </row>
    <row r="46" spans="1:21" x14ac:dyDescent="0.25">
      <c r="A46" s="137"/>
      <c r="B46" s="38" t="str">
        <f t="shared" si="4"/>
        <v/>
      </c>
      <c r="C46" s="39"/>
      <c r="D46" s="39"/>
      <c r="E46" s="39"/>
      <c r="F46" s="39"/>
      <c r="G46" s="84"/>
      <c r="H46" s="101">
        <v>41</v>
      </c>
      <c r="I46" s="102" t="str">
        <f t="shared" si="0"/>
        <v/>
      </c>
      <c r="J46" s="101" t="e">
        <f t="shared" si="5"/>
        <v>#NUM!</v>
      </c>
      <c r="K46" s="101" t="e">
        <f t="shared" si="1"/>
        <v>#NUM!</v>
      </c>
      <c r="L46" s="101"/>
      <c r="M46" s="103">
        <f t="shared" si="2"/>
        <v>0</v>
      </c>
      <c r="R46" s="84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x14ac:dyDescent="0.25">
      <c r="A47" s="138"/>
      <c r="B47" s="44" t="str">
        <f t="shared" si="4"/>
        <v/>
      </c>
      <c r="C47" s="45"/>
      <c r="D47" s="45"/>
      <c r="E47" s="45"/>
      <c r="F47" s="45"/>
      <c r="G47" s="84"/>
      <c r="H47" s="104">
        <v>42</v>
      </c>
      <c r="I47" s="105" t="str">
        <f t="shared" si="0"/>
        <v/>
      </c>
      <c r="J47" s="104" t="e">
        <f t="shared" si="5"/>
        <v>#NUM!</v>
      </c>
      <c r="K47" s="104" t="e">
        <f t="shared" si="1"/>
        <v>#NUM!</v>
      </c>
      <c r="L47" s="104"/>
      <c r="M47" s="106">
        <f t="shared" si="2"/>
        <v>0</v>
      </c>
    </row>
    <row r="48" spans="1:21" x14ac:dyDescent="0.25">
      <c r="A48" s="137"/>
      <c r="B48" s="38" t="str">
        <f t="shared" si="4"/>
        <v/>
      </c>
      <c r="C48" s="39"/>
      <c r="D48" s="39"/>
      <c r="E48" s="39"/>
      <c r="F48" s="39"/>
      <c r="G48" s="84"/>
      <c r="H48" s="101">
        <v>43</v>
      </c>
      <c r="I48" s="102" t="str">
        <f t="shared" si="0"/>
        <v/>
      </c>
      <c r="J48" s="101" t="e">
        <f t="shared" si="5"/>
        <v>#NUM!</v>
      </c>
      <c r="K48" s="101" t="e">
        <f t="shared" si="1"/>
        <v>#NUM!</v>
      </c>
      <c r="L48" s="101"/>
      <c r="M48" s="103">
        <f t="shared" si="2"/>
        <v>0</v>
      </c>
    </row>
    <row r="49" spans="1:13" x14ac:dyDescent="0.25">
      <c r="A49" s="138"/>
      <c r="B49" s="44" t="str">
        <f t="shared" si="4"/>
        <v/>
      </c>
      <c r="C49" s="45"/>
      <c r="D49" s="45"/>
      <c r="E49" s="45"/>
      <c r="F49" s="45"/>
      <c r="G49" s="84"/>
      <c r="H49" s="104">
        <v>44</v>
      </c>
      <c r="I49" s="105" t="str">
        <f t="shared" si="0"/>
        <v/>
      </c>
      <c r="J49" s="104" t="e">
        <f t="shared" si="5"/>
        <v>#NUM!</v>
      </c>
      <c r="K49" s="104" t="e">
        <f t="shared" si="1"/>
        <v>#NUM!</v>
      </c>
      <c r="L49" s="104"/>
      <c r="M49" s="106">
        <f t="shared" si="2"/>
        <v>0</v>
      </c>
    </row>
    <row r="50" spans="1:13" x14ac:dyDescent="0.25">
      <c r="A50" s="137"/>
      <c r="B50" s="38" t="str">
        <f t="shared" si="4"/>
        <v/>
      </c>
      <c r="C50" s="39"/>
      <c r="D50" s="39"/>
      <c r="E50" s="39"/>
      <c r="F50" s="39"/>
      <c r="G50" s="84"/>
      <c r="H50" s="101">
        <v>45</v>
      </c>
      <c r="I50" s="102" t="str">
        <f t="shared" si="0"/>
        <v/>
      </c>
      <c r="J50" s="101" t="e">
        <f t="shared" si="5"/>
        <v>#NUM!</v>
      </c>
      <c r="K50" s="101" t="e">
        <f t="shared" si="1"/>
        <v>#NUM!</v>
      </c>
      <c r="L50" s="101"/>
      <c r="M50" s="103">
        <f t="shared" si="2"/>
        <v>0</v>
      </c>
    </row>
    <row r="51" spans="1:13" x14ac:dyDescent="0.25">
      <c r="A51" s="138"/>
      <c r="B51" s="44" t="str">
        <f t="shared" si="4"/>
        <v/>
      </c>
      <c r="C51" s="45"/>
      <c r="D51" s="45"/>
      <c r="E51" s="45"/>
      <c r="F51" s="45"/>
      <c r="G51" s="84"/>
      <c r="H51" s="104">
        <v>46</v>
      </c>
      <c r="I51" s="105" t="str">
        <f t="shared" si="0"/>
        <v/>
      </c>
      <c r="J51" s="104" t="e">
        <f t="shared" si="5"/>
        <v>#NUM!</v>
      </c>
      <c r="K51" s="104" t="e">
        <f t="shared" si="1"/>
        <v>#NUM!</v>
      </c>
      <c r="L51" s="104"/>
      <c r="M51" s="106">
        <f t="shared" si="2"/>
        <v>0</v>
      </c>
    </row>
    <row r="52" spans="1:13" x14ac:dyDescent="0.25">
      <c r="A52" s="140"/>
      <c r="B52" s="38" t="str">
        <f t="shared" si="4"/>
        <v/>
      </c>
      <c r="C52" s="39"/>
      <c r="D52" s="39"/>
      <c r="E52" s="39"/>
      <c r="F52" s="39"/>
      <c r="G52" s="84"/>
      <c r="H52" s="101">
        <v>47</v>
      </c>
      <c r="I52" s="102" t="str">
        <f t="shared" si="0"/>
        <v/>
      </c>
      <c r="J52" s="101" t="e">
        <f t="shared" si="5"/>
        <v>#NUM!</v>
      </c>
      <c r="K52" s="101" t="e">
        <f t="shared" si="1"/>
        <v>#NUM!</v>
      </c>
      <c r="L52" s="101"/>
      <c r="M52" s="103">
        <f t="shared" si="2"/>
        <v>0</v>
      </c>
    </row>
    <row r="53" spans="1:13" x14ac:dyDescent="0.25">
      <c r="A53" s="139"/>
      <c r="B53" s="44" t="str">
        <f t="shared" si="4"/>
        <v/>
      </c>
      <c r="C53" s="45"/>
      <c r="D53" s="45"/>
      <c r="E53" s="45"/>
      <c r="F53" s="45"/>
      <c r="G53" s="84"/>
      <c r="H53" s="104">
        <v>48</v>
      </c>
      <c r="I53" s="105" t="str">
        <f t="shared" si="0"/>
        <v/>
      </c>
      <c r="J53" s="104" t="e">
        <f t="shared" si="5"/>
        <v>#NUM!</v>
      </c>
      <c r="K53" s="104" t="e">
        <f t="shared" si="1"/>
        <v>#NUM!</v>
      </c>
      <c r="L53" s="104"/>
      <c r="M53" s="106">
        <f t="shared" si="2"/>
        <v>0</v>
      </c>
    </row>
    <row r="54" spans="1:13" x14ac:dyDescent="0.25">
      <c r="A54" s="140"/>
      <c r="B54" s="38" t="str">
        <f t="shared" si="4"/>
        <v/>
      </c>
      <c r="C54" s="39"/>
      <c r="D54" s="39"/>
      <c r="E54" s="39"/>
      <c r="F54" s="39"/>
      <c r="G54" s="84"/>
      <c r="H54" s="101">
        <v>49</v>
      </c>
      <c r="I54" s="102" t="str">
        <f t="shared" si="0"/>
        <v/>
      </c>
      <c r="J54" s="101" t="e">
        <f t="shared" si="5"/>
        <v>#NUM!</v>
      </c>
      <c r="K54" s="101" t="e">
        <f t="shared" si="1"/>
        <v>#NUM!</v>
      </c>
      <c r="L54" s="101"/>
      <c r="M54" s="103">
        <f t="shared" si="2"/>
        <v>0</v>
      </c>
    </row>
    <row r="55" spans="1:13" x14ac:dyDescent="0.25">
      <c r="A55" s="139"/>
      <c r="B55" s="44" t="str">
        <f t="shared" si="4"/>
        <v/>
      </c>
      <c r="C55" s="45"/>
      <c r="D55" s="45"/>
      <c r="E55" s="45"/>
      <c r="F55" s="45"/>
      <c r="G55" s="84"/>
      <c r="H55" s="104">
        <v>50</v>
      </c>
      <c r="I55" s="105" t="str">
        <f t="shared" si="0"/>
        <v/>
      </c>
      <c r="J55" s="104" t="e">
        <f t="shared" si="5"/>
        <v>#NUM!</v>
      </c>
      <c r="K55" s="104" t="e">
        <f t="shared" si="1"/>
        <v>#NUM!</v>
      </c>
      <c r="L55" s="104"/>
      <c r="M55" s="106">
        <f t="shared" si="2"/>
        <v>0</v>
      </c>
    </row>
    <row r="56" spans="1:13" x14ac:dyDescent="0.25">
      <c r="A56" s="140"/>
      <c r="B56" s="38" t="str">
        <f t="shared" si="4"/>
        <v/>
      </c>
      <c r="C56" s="39"/>
      <c r="D56" s="39"/>
      <c r="E56" s="39"/>
      <c r="F56" s="39"/>
      <c r="G56" s="84"/>
      <c r="H56" s="101">
        <v>51</v>
      </c>
      <c r="I56" s="102" t="str">
        <f t="shared" si="0"/>
        <v/>
      </c>
      <c r="J56" s="101" t="e">
        <f t="shared" si="5"/>
        <v>#NUM!</v>
      </c>
      <c r="K56" s="101" t="e">
        <f t="shared" si="1"/>
        <v>#NUM!</v>
      </c>
      <c r="L56" s="101"/>
      <c r="M56" s="103">
        <f t="shared" si="2"/>
        <v>0</v>
      </c>
    </row>
    <row r="57" spans="1:13" x14ac:dyDescent="0.25">
      <c r="A57" s="139"/>
      <c r="B57" s="44" t="str">
        <f t="shared" si="4"/>
        <v/>
      </c>
      <c r="C57" s="45"/>
      <c r="D57" s="45"/>
      <c r="E57" s="45"/>
      <c r="F57" s="45"/>
      <c r="G57" s="84"/>
      <c r="H57" s="104">
        <v>52</v>
      </c>
      <c r="I57" s="105" t="str">
        <f t="shared" si="0"/>
        <v/>
      </c>
      <c r="J57" s="104" t="e">
        <f t="shared" si="5"/>
        <v>#NUM!</v>
      </c>
      <c r="K57" s="104" t="e">
        <f t="shared" si="1"/>
        <v>#NUM!</v>
      </c>
      <c r="L57" s="104"/>
      <c r="M57" s="106">
        <f t="shared" si="2"/>
        <v>0</v>
      </c>
    </row>
    <row r="58" spans="1:13" x14ac:dyDescent="0.25">
      <c r="A58" s="140"/>
      <c r="B58" s="38" t="str">
        <f t="shared" si="4"/>
        <v/>
      </c>
      <c r="C58" s="39"/>
      <c r="D58" s="39"/>
      <c r="E58" s="39"/>
      <c r="F58" s="39"/>
      <c r="G58" s="84"/>
      <c r="H58" s="101">
        <v>53</v>
      </c>
      <c r="I58" s="102" t="str">
        <f t="shared" si="0"/>
        <v/>
      </c>
      <c r="J58" s="101" t="e">
        <f t="shared" si="5"/>
        <v>#NUM!</v>
      </c>
      <c r="K58" s="101" t="e">
        <f t="shared" si="1"/>
        <v>#NUM!</v>
      </c>
      <c r="L58" s="101"/>
      <c r="M58" s="103">
        <f t="shared" si="2"/>
        <v>0</v>
      </c>
    </row>
    <row r="59" spans="1:13" x14ac:dyDescent="0.25">
      <c r="A59" s="139"/>
      <c r="B59" s="44" t="str">
        <f t="shared" si="4"/>
        <v/>
      </c>
      <c r="C59" s="45"/>
      <c r="D59" s="45"/>
      <c r="E59" s="45"/>
      <c r="F59" s="45"/>
      <c r="G59" s="84"/>
      <c r="H59" s="104">
        <v>54</v>
      </c>
      <c r="I59" s="105" t="str">
        <f t="shared" si="0"/>
        <v/>
      </c>
      <c r="J59" s="104" t="e">
        <f t="shared" si="5"/>
        <v>#NUM!</v>
      </c>
      <c r="K59" s="104" t="e">
        <f t="shared" si="1"/>
        <v>#NUM!</v>
      </c>
      <c r="L59" s="104"/>
      <c r="M59" s="106">
        <f t="shared" si="2"/>
        <v>0</v>
      </c>
    </row>
    <row r="60" spans="1:13" x14ac:dyDescent="0.25">
      <c r="A60" s="140"/>
      <c r="B60" s="38" t="str">
        <f t="shared" si="4"/>
        <v/>
      </c>
      <c r="C60" s="39"/>
      <c r="D60" s="39"/>
      <c r="E60" s="39"/>
      <c r="F60" s="39"/>
      <c r="G60" s="84"/>
      <c r="H60" s="101">
        <v>55</v>
      </c>
      <c r="I60" s="102" t="str">
        <f t="shared" si="0"/>
        <v/>
      </c>
      <c r="J60" s="101" t="e">
        <f t="shared" si="5"/>
        <v>#NUM!</v>
      </c>
      <c r="K60" s="101" t="e">
        <f t="shared" si="1"/>
        <v>#NUM!</v>
      </c>
      <c r="L60" s="101"/>
      <c r="M60" s="103">
        <f t="shared" si="2"/>
        <v>0</v>
      </c>
    </row>
    <row r="61" spans="1:13" x14ac:dyDescent="0.25">
      <c r="A61" s="139"/>
      <c r="B61" s="44" t="str">
        <f t="shared" si="4"/>
        <v/>
      </c>
      <c r="C61" s="45"/>
      <c r="D61" s="45"/>
      <c r="E61" s="45"/>
      <c r="F61" s="45"/>
      <c r="G61" s="84"/>
      <c r="H61" s="104">
        <v>56</v>
      </c>
      <c r="I61" s="105" t="str">
        <f t="shared" si="0"/>
        <v/>
      </c>
      <c r="J61" s="104" t="e">
        <f t="shared" si="5"/>
        <v>#NUM!</v>
      </c>
      <c r="K61" s="104" t="e">
        <f t="shared" si="1"/>
        <v>#NUM!</v>
      </c>
      <c r="L61" s="104"/>
      <c r="M61" s="106">
        <f t="shared" si="2"/>
        <v>0</v>
      </c>
    </row>
    <row r="62" spans="1:13" x14ac:dyDescent="0.25">
      <c r="A62" s="140"/>
      <c r="B62" s="38" t="str">
        <f t="shared" si="4"/>
        <v/>
      </c>
      <c r="C62" s="39"/>
      <c r="D62" s="39"/>
      <c r="E62" s="39"/>
      <c r="F62" s="39"/>
      <c r="G62" s="84"/>
      <c r="H62" s="101">
        <v>57</v>
      </c>
      <c r="I62" s="102" t="str">
        <f t="shared" si="0"/>
        <v/>
      </c>
      <c r="J62" s="101" t="e">
        <f t="shared" si="5"/>
        <v>#NUM!</v>
      </c>
      <c r="K62" s="101" t="e">
        <f t="shared" si="1"/>
        <v>#NUM!</v>
      </c>
      <c r="L62" s="101"/>
      <c r="M62" s="103">
        <f t="shared" si="2"/>
        <v>0</v>
      </c>
    </row>
    <row r="63" spans="1:13" x14ac:dyDescent="0.25">
      <c r="A63" s="139"/>
      <c r="B63" s="44" t="str">
        <f t="shared" si="4"/>
        <v/>
      </c>
      <c r="C63" s="45"/>
      <c r="D63" s="45"/>
      <c r="E63" s="45"/>
      <c r="F63" s="45"/>
      <c r="G63" s="84"/>
      <c r="H63" s="104">
        <v>58</v>
      </c>
      <c r="I63" s="105" t="str">
        <f t="shared" si="0"/>
        <v/>
      </c>
      <c r="J63" s="104" t="e">
        <f t="shared" si="5"/>
        <v>#NUM!</v>
      </c>
      <c r="K63" s="104" t="e">
        <f t="shared" si="1"/>
        <v>#NUM!</v>
      </c>
      <c r="L63" s="104"/>
      <c r="M63" s="106">
        <f t="shared" si="2"/>
        <v>0</v>
      </c>
    </row>
    <row r="64" spans="1:13" x14ac:dyDescent="0.25">
      <c r="A64" s="140"/>
      <c r="B64" s="38" t="str">
        <f t="shared" si="4"/>
        <v/>
      </c>
      <c r="C64" s="39"/>
      <c r="D64" s="39"/>
      <c r="E64" s="39"/>
      <c r="F64" s="39"/>
      <c r="G64" s="84"/>
      <c r="H64" s="101">
        <v>59</v>
      </c>
      <c r="I64" s="102" t="str">
        <f t="shared" si="0"/>
        <v/>
      </c>
      <c r="J64" s="101" t="e">
        <f t="shared" si="5"/>
        <v>#NUM!</v>
      </c>
      <c r="K64" s="101" t="e">
        <f t="shared" si="1"/>
        <v>#NUM!</v>
      </c>
      <c r="L64" s="101"/>
      <c r="M64" s="103">
        <f t="shared" si="2"/>
        <v>0</v>
      </c>
    </row>
    <row r="65" spans="1:13" x14ac:dyDescent="0.25">
      <c r="A65" s="139"/>
      <c r="B65" s="44" t="str">
        <f t="shared" si="4"/>
        <v/>
      </c>
      <c r="C65" s="45"/>
      <c r="D65" s="45"/>
      <c r="E65" s="45"/>
      <c r="F65" s="45"/>
      <c r="G65" s="84"/>
      <c r="H65" s="104">
        <v>60</v>
      </c>
      <c r="I65" s="105" t="str">
        <f t="shared" si="0"/>
        <v/>
      </c>
      <c r="J65" s="104" t="e">
        <f t="shared" si="5"/>
        <v>#NUM!</v>
      </c>
      <c r="K65" s="104" t="e">
        <f t="shared" si="1"/>
        <v>#NUM!</v>
      </c>
      <c r="L65" s="104"/>
      <c r="M65" s="106">
        <f t="shared" si="2"/>
        <v>0</v>
      </c>
    </row>
    <row r="66" spans="1:13" x14ac:dyDescent="0.25">
      <c r="A66" s="141"/>
      <c r="B66" s="38"/>
      <c r="G66" s="84"/>
      <c r="H66" s="101">
        <v>61</v>
      </c>
      <c r="I66" s="102" t="str">
        <f t="shared" si="0"/>
        <v/>
      </c>
      <c r="J66" s="101" t="e">
        <f t="shared" si="5"/>
        <v>#NUM!</v>
      </c>
      <c r="K66" s="101" t="e">
        <f t="shared" si="1"/>
        <v>#NUM!</v>
      </c>
      <c r="L66" s="101"/>
      <c r="M66" s="103">
        <f t="shared" si="2"/>
        <v>0</v>
      </c>
    </row>
    <row r="67" spans="1:13" x14ac:dyDescent="0.25">
      <c r="A67" s="141"/>
      <c r="B67" s="44"/>
      <c r="G67" s="84"/>
      <c r="H67" s="101">
        <v>62</v>
      </c>
      <c r="I67" s="102" t="str">
        <f t="shared" si="0"/>
        <v/>
      </c>
      <c r="J67" s="101" t="e">
        <f t="shared" si="5"/>
        <v>#NUM!</v>
      </c>
      <c r="K67" s="101" t="e">
        <f t="shared" si="1"/>
        <v>#NUM!</v>
      </c>
      <c r="L67" s="101"/>
      <c r="M67" s="103">
        <f t="shared" si="2"/>
        <v>0</v>
      </c>
    </row>
    <row r="68" spans="1:13" x14ac:dyDescent="0.25">
      <c r="A68" s="141"/>
      <c r="B68" s="38"/>
      <c r="G68" s="84"/>
      <c r="H68" s="101">
        <v>63</v>
      </c>
      <c r="I68" s="102" t="str">
        <f t="shared" si="0"/>
        <v/>
      </c>
      <c r="J68" s="101" t="e">
        <f t="shared" si="5"/>
        <v>#NUM!</v>
      </c>
      <c r="K68" s="101" t="e">
        <f t="shared" si="1"/>
        <v>#NUM!</v>
      </c>
      <c r="L68" s="101"/>
      <c r="M68" s="103">
        <f t="shared" si="2"/>
        <v>0</v>
      </c>
    </row>
    <row r="69" spans="1:13" x14ac:dyDescent="0.25">
      <c r="A69" s="141"/>
      <c r="B69" s="44"/>
      <c r="G69" s="84"/>
      <c r="H69" s="101">
        <v>64</v>
      </c>
      <c r="I69" s="102" t="str">
        <f t="shared" si="0"/>
        <v/>
      </c>
      <c r="J69" s="101" t="e">
        <f t="shared" si="5"/>
        <v>#NUM!</v>
      </c>
      <c r="K69" s="101" t="e">
        <f t="shared" si="1"/>
        <v>#NUM!</v>
      </c>
      <c r="L69" s="101"/>
      <c r="M69" s="103">
        <f t="shared" si="2"/>
        <v>0</v>
      </c>
    </row>
    <row r="70" spans="1:13" x14ac:dyDescent="0.25">
      <c r="A70" s="141"/>
      <c r="G70" s="84"/>
      <c r="H70" s="101">
        <v>65</v>
      </c>
      <c r="I70" s="102" t="str">
        <f t="shared" ref="I70:I133" si="6">IF(H70&lt;$H$2+1,($I$2-($I$2-1)*(LOG(H70)/LOG($H$2))),"")</f>
        <v/>
      </c>
      <c r="J70" s="101" t="e">
        <f t="shared" si="5"/>
        <v>#NUM!</v>
      </c>
      <c r="K70" s="101" t="e">
        <f t="shared" ref="K70:K133" si="7">J70*$J$2</f>
        <v>#NUM!</v>
      </c>
      <c r="L70" s="101"/>
      <c r="M70" s="103">
        <f t="shared" ref="M70:M133" si="8">IF(I70&lt;&gt;"",K70+I70+L70,0)</f>
        <v>0</v>
      </c>
    </row>
    <row r="71" spans="1:13" x14ac:dyDescent="0.25">
      <c r="A71" s="141"/>
      <c r="G71" s="84"/>
      <c r="H71" s="101">
        <v>66</v>
      </c>
      <c r="I71" s="102" t="str">
        <f t="shared" si="6"/>
        <v/>
      </c>
      <c r="J71" s="101" t="e">
        <f t="shared" ref="J71:J134" si="9">INT(LOG($H$2,2))-ROUNDUP(LOG(H71,2),0)+IF(OR($H$2=1,$H$2=2,$H$2=4,$H$2=8,$H$2=16,$H$2=32,$H$2=64,$H$2=128,$H$2=256),0,1)</f>
        <v>#NUM!</v>
      </c>
      <c r="K71" s="101" t="e">
        <f t="shared" si="7"/>
        <v>#NUM!</v>
      </c>
      <c r="L71" s="101"/>
      <c r="M71" s="103">
        <f t="shared" si="8"/>
        <v>0</v>
      </c>
    </row>
    <row r="72" spans="1:13" x14ac:dyDescent="0.25">
      <c r="A72" s="141"/>
      <c r="G72" s="84"/>
      <c r="H72" s="101">
        <v>67</v>
      </c>
      <c r="I72" s="102" t="str">
        <f t="shared" si="6"/>
        <v/>
      </c>
      <c r="J72" s="101" t="e">
        <f t="shared" si="9"/>
        <v>#NUM!</v>
      </c>
      <c r="K72" s="101" t="e">
        <f t="shared" si="7"/>
        <v>#NUM!</v>
      </c>
      <c r="L72" s="101"/>
      <c r="M72" s="103">
        <f t="shared" si="8"/>
        <v>0</v>
      </c>
    </row>
    <row r="73" spans="1:13" x14ac:dyDescent="0.25">
      <c r="A73" s="141"/>
      <c r="G73" s="84"/>
      <c r="H73" s="101">
        <v>68</v>
      </c>
      <c r="I73" s="102" t="str">
        <f t="shared" si="6"/>
        <v/>
      </c>
      <c r="J73" s="101" t="e">
        <f t="shared" si="9"/>
        <v>#NUM!</v>
      </c>
      <c r="K73" s="101" t="e">
        <f t="shared" si="7"/>
        <v>#NUM!</v>
      </c>
      <c r="L73" s="101"/>
      <c r="M73" s="103">
        <f t="shared" si="8"/>
        <v>0</v>
      </c>
    </row>
    <row r="74" spans="1:13" x14ac:dyDescent="0.25">
      <c r="A74" s="141"/>
      <c r="G74" s="84"/>
      <c r="H74" s="101">
        <v>69</v>
      </c>
      <c r="I74" s="102" t="str">
        <f t="shared" si="6"/>
        <v/>
      </c>
      <c r="J74" s="101" t="e">
        <f t="shared" si="9"/>
        <v>#NUM!</v>
      </c>
      <c r="K74" s="101" t="e">
        <f t="shared" si="7"/>
        <v>#NUM!</v>
      </c>
      <c r="L74" s="101"/>
      <c r="M74" s="103">
        <f t="shared" si="8"/>
        <v>0</v>
      </c>
    </row>
    <row r="75" spans="1:13" x14ac:dyDescent="0.25">
      <c r="A75" s="141"/>
      <c r="G75" s="84"/>
      <c r="H75" s="101">
        <v>70</v>
      </c>
      <c r="I75" s="102" t="str">
        <f t="shared" si="6"/>
        <v/>
      </c>
      <c r="J75" s="101" t="e">
        <f t="shared" si="9"/>
        <v>#NUM!</v>
      </c>
      <c r="K75" s="101" t="e">
        <f t="shared" si="7"/>
        <v>#NUM!</v>
      </c>
      <c r="L75" s="101"/>
      <c r="M75" s="103">
        <f t="shared" si="8"/>
        <v>0</v>
      </c>
    </row>
    <row r="76" spans="1:13" x14ac:dyDescent="0.25">
      <c r="A76" s="141"/>
      <c r="G76" s="84"/>
      <c r="H76" s="101">
        <v>71</v>
      </c>
      <c r="I76" s="102" t="str">
        <f t="shared" si="6"/>
        <v/>
      </c>
      <c r="J76" s="101" t="e">
        <f t="shared" si="9"/>
        <v>#NUM!</v>
      </c>
      <c r="K76" s="101" t="e">
        <f t="shared" si="7"/>
        <v>#NUM!</v>
      </c>
      <c r="L76" s="101"/>
      <c r="M76" s="103">
        <f t="shared" si="8"/>
        <v>0</v>
      </c>
    </row>
    <row r="77" spans="1:13" x14ac:dyDescent="0.25">
      <c r="A77" s="141"/>
      <c r="G77" s="84"/>
      <c r="H77" s="101">
        <v>72</v>
      </c>
      <c r="I77" s="102" t="str">
        <f t="shared" si="6"/>
        <v/>
      </c>
      <c r="J77" s="101" t="e">
        <f t="shared" si="9"/>
        <v>#NUM!</v>
      </c>
      <c r="K77" s="101" t="e">
        <f t="shared" si="7"/>
        <v>#NUM!</v>
      </c>
      <c r="L77" s="101"/>
      <c r="M77" s="103">
        <f t="shared" si="8"/>
        <v>0</v>
      </c>
    </row>
    <row r="78" spans="1:13" x14ac:dyDescent="0.25">
      <c r="A78" s="141"/>
      <c r="G78" s="84"/>
      <c r="H78" s="101">
        <v>73</v>
      </c>
      <c r="I78" s="102" t="str">
        <f t="shared" si="6"/>
        <v/>
      </c>
      <c r="J78" s="101" t="e">
        <f t="shared" si="9"/>
        <v>#NUM!</v>
      </c>
      <c r="K78" s="101" t="e">
        <f t="shared" si="7"/>
        <v>#NUM!</v>
      </c>
      <c r="L78" s="101"/>
      <c r="M78" s="103">
        <f t="shared" si="8"/>
        <v>0</v>
      </c>
    </row>
    <row r="79" spans="1:13" x14ac:dyDescent="0.25">
      <c r="A79" s="141"/>
      <c r="G79" s="84"/>
      <c r="H79" s="101">
        <v>74</v>
      </c>
      <c r="I79" s="102" t="str">
        <f t="shared" si="6"/>
        <v/>
      </c>
      <c r="J79" s="101" t="e">
        <f t="shared" si="9"/>
        <v>#NUM!</v>
      </c>
      <c r="K79" s="101" t="e">
        <f t="shared" si="7"/>
        <v>#NUM!</v>
      </c>
      <c r="L79" s="101"/>
      <c r="M79" s="103">
        <f t="shared" si="8"/>
        <v>0</v>
      </c>
    </row>
    <row r="80" spans="1:13" x14ac:dyDescent="0.25">
      <c r="A80" s="141"/>
      <c r="G80" s="84"/>
      <c r="H80" s="101">
        <v>75</v>
      </c>
      <c r="I80" s="102" t="str">
        <f t="shared" si="6"/>
        <v/>
      </c>
      <c r="J80" s="101" t="e">
        <f t="shared" si="9"/>
        <v>#NUM!</v>
      </c>
      <c r="K80" s="101" t="e">
        <f t="shared" si="7"/>
        <v>#NUM!</v>
      </c>
      <c r="L80" s="101"/>
      <c r="M80" s="103">
        <f t="shared" si="8"/>
        <v>0</v>
      </c>
    </row>
    <row r="81" spans="1:13" x14ac:dyDescent="0.25">
      <c r="A81" s="141"/>
      <c r="G81" s="84"/>
      <c r="H81" s="101">
        <v>76</v>
      </c>
      <c r="I81" s="102" t="str">
        <f t="shared" si="6"/>
        <v/>
      </c>
      <c r="J81" s="101" t="e">
        <f t="shared" si="9"/>
        <v>#NUM!</v>
      </c>
      <c r="K81" s="101" t="e">
        <f t="shared" si="7"/>
        <v>#NUM!</v>
      </c>
      <c r="L81" s="101"/>
      <c r="M81" s="103">
        <f t="shared" si="8"/>
        <v>0</v>
      </c>
    </row>
    <row r="82" spans="1:13" x14ac:dyDescent="0.25">
      <c r="A82" s="141"/>
      <c r="G82" s="84"/>
      <c r="H82" s="101">
        <v>77</v>
      </c>
      <c r="I82" s="102" t="str">
        <f t="shared" si="6"/>
        <v/>
      </c>
      <c r="J82" s="101" t="e">
        <f t="shared" si="9"/>
        <v>#NUM!</v>
      </c>
      <c r="K82" s="101" t="e">
        <f t="shared" si="7"/>
        <v>#NUM!</v>
      </c>
      <c r="L82" s="101"/>
      <c r="M82" s="103">
        <f t="shared" si="8"/>
        <v>0</v>
      </c>
    </row>
    <row r="83" spans="1:13" x14ac:dyDescent="0.25">
      <c r="A83" s="141"/>
      <c r="G83" s="84"/>
      <c r="H83" s="101">
        <v>78</v>
      </c>
      <c r="I83" s="102" t="str">
        <f t="shared" si="6"/>
        <v/>
      </c>
      <c r="J83" s="101" t="e">
        <f t="shared" si="9"/>
        <v>#NUM!</v>
      </c>
      <c r="K83" s="101" t="e">
        <f t="shared" si="7"/>
        <v>#NUM!</v>
      </c>
      <c r="L83" s="101"/>
      <c r="M83" s="103">
        <f t="shared" si="8"/>
        <v>0</v>
      </c>
    </row>
    <row r="84" spans="1:13" x14ac:dyDescent="0.25">
      <c r="A84" s="141"/>
      <c r="G84" s="84"/>
      <c r="H84" s="101">
        <v>79</v>
      </c>
      <c r="I84" s="102" t="str">
        <f t="shared" si="6"/>
        <v/>
      </c>
      <c r="J84" s="101" t="e">
        <f t="shared" si="9"/>
        <v>#NUM!</v>
      </c>
      <c r="K84" s="101" t="e">
        <f t="shared" si="7"/>
        <v>#NUM!</v>
      </c>
      <c r="L84" s="101"/>
      <c r="M84" s="103">
        <f t="shared" si="8"/>
        <v>0</v>
      </c>
    </row>
    <row r="85" spans="1:13" x14ac:dyDescent="0.25">
      <c r="A85" s="141"/>
      <c r="G85" s="84"/>
      <c r="H85" s="101">
        <v>80</v>
      </c>
      <c r="I85" s="102" t="str">
        <f t="shared" si="6"/>
        <v/>
      </c>
      <c r="J85" s="101" t="e">
        <f t="shared" si="9"/>
        <v>#NUM!</v>
      </c>
      <c r="K85" s="101" t="e">
        <f t="shared" si="7"/>
        <v>#NUM!</v>
      </c>
      <c r="L85" s="101"/>
      <c r="M85" s="103">
        <f t="shared" si="8"/>
        <v>0</v>
      </c>
    </row>
    <row r="86" spans="1:13" x14ac:dyDescent="0.25">
      <c r="A86" s="141"/>
      <c r="G86" s="84"/>
      <c r="H86" s="101">
        <v>81</v>
      </c>
      <c r="I86" s="102" t="str">
        <f t="shared" si="6"/>
        <v/>
      </c>
      <c r="J86" s="101" t="e">
        <f t="shared" si="9"/>
        <v>#NUM!</v>
      </c>
      <c r="K86" s="101" t="e">
        <f t="shared" si="7"/>
        <v>#NUM!</v>
      </c>
      <c r="L86" s="101"/>
      <c r="M86" s="103">
        <f t="shared" si="8"/>
        <v>0</v>
      </c>
    </row>
    <row r="87" spans="1:13" x14ac:dyDescent="0.25">
      <c r="A87" s="141"/>
      <c r="G87" s="84"/>
      <c r="H87" s="101">
        <v>82</v>
      </c>
      <c r="I87" s="102" t="str">
        <f t="shared" si="6"/>
        <v/>
      </c>
      <c r="J87" s="101" t="e">
        <f t="shared" si="9"/>
        <v>#NUM!</v>
      </c>
      <c r="K87" s="101" t="e">
        <f t="shared" si="7"/>
        <v>#NUM!</v>
      </c>
      <c r="L87" s="101"/>
      <c r="M87" s="103">
        <f t="shared" si="8"/>
        <v>0</v>
      </c>
    </row>
    <row r="88" spans="1:13" x14ac:dyDescent="0.25">
      <c r="A88" s="141"/>
      <c r="G88" s="84"/>
      <c r="H88" s="101">
        <v>83</v>
      </c>
      <c r="I88" s="102" t="str">
        <f t="shared" si="6"/>
        <v/>
      </c>
      <c r="J88" s="101" t="e">
        <f t="shared" si="9"/>
        <v>#NUM!</v>
      </c>
      <c r="K88" s="101" t="e">
        <f t="shared" si="7"/>
        <v>#NUM!</v>
      </c>
      <c r="L88" s="101"/>
      <c r="M88" s="103">
        <f t="shared" si="8"/>
        <v>0</v>
      </c>
    </row>
    <row r="89" spans="1:13" x14ac:dyDescent="0.25">
      <c r="A89" s="141"/>
      <c r="G89" s="84"/>
      <c r="H89" s="101">
        <v>84</v>
      </c>
      <c r="I89" s="102" t="str">
        <f t="shared" si="6"/>
        <v/>
      </c>
      <c r="J89" s="101" t="e">
        <f t="shared" si="9"/>
        <v>#NUM!</v>
      </c>
      <c r="K89" s="101" t="e">
        <f t="shared" si="7"/>
        <v>#NUM!</v>
      </c>
      <c r="L89" s="101"/>
      <c r="M89" s="103">
        <f t="shared" si="8"/>
        <v>0</v>
      </c>
    </row>
    <row r="90" spans="1:13" x14ac:dyDescent="0.25">
      <c r="A90" s="141"/>
      <c r="G90" s="84"/>
      <c r="H90" s="101">
        <v>85</v>
      </c>
      <c r="I90" s="102" t="str">
        <f t="shared" si="6"/>
        <v/>
      </c>
      <c r="J90" s="101" t="e">
        <f t="shared" si="9"/>
        <v>#NUM!</v>
      </c>
      <c r="K90" s="101" t="e">
        <f t="shared" si="7"/>
        <v>#NUM!</v>
      </c>
      <c r="L90" s="101"/>
      <c r="M90" s="103">
        <f t="shared" si="8"/>
        <v>0</v>
      </c>
    </row>
    <row r="91" spans="1:13" x14ac:dyDescent="0.25">
      <c r="A91" s="141"/>
      <c r="G91" s="84"/>
      <c r="H91" s="101">
        <v>86</v>
      </c>
      <c r="I91" s="102" t="str">
        <f t="shared" si="6"/>
        <v/>
      </c>
      <c r="J91" s="101" t="e">
        <f t="shared" si="9"/>
        <v>#NUM!</v>
      </c>
      <c r="K91" s="101" t="e">
        <f t="shared" si="7"/>
        <v>#NUM!</v>
      </c>
      <c r="L91" s="101"/>
      <c r="M91" s="103">
        <f t="shared" si="8"/>
        <v>0</v>
      </c>
    </row>
    <row r="92" spans="1:13" x14ac:dyDescent="0.25">
      <c r="A92" s="141"/>
      <c r="G92" s="84"/>
      <c r="H92" s="101">
        <v>87</v>
      </c>
      <c r="I92" s="102" t="str">
        <f t="shared" si="6"/>
        <v/>
      </c>
      <c r="J92" s="101" t="e">
        <f t="shared" si="9"/>
        <v>#NUM!</v>
      </c>
      <c r="K92" s="101" t="e">
        <f t="shared" si="7"/>
        <v>#NUM!</v>
      </c>
      <c r="L92" s="101"/>
      <c r="M92" s="103">
        <f t="shared" si="8"/>
        <v>0</v>
      </c>
    </row>
    <row r="93" spans="1:13" x14ac:dyDescent="0.25">
      <c r="A93" s="141"/>
      <c r="G93" s="84"/>
      <c r="H93" s="101">
        <v>88</v>
      </c>
      <c r="I93" s="102" t="str">
        <f t="shared" si="6"/>
        <v/>
      </c>
      <c r="J93" s="101" t="e">
        <f t="shared" si="9"/>
        <v>#NUM!</v>
      </c>
      <c r="K93" s="101" t="e">
        <f t="shared" si="7"/>
        <v>#NUM!</v>
      </c>
      <c r="L93" s="101"/>
      <c r="M93" s="103">
        <f t="shared" si="8"/>
        <v>0</v>
      </c>
    </row>
    <row r="94" spans="1:13" x14ac:dyDescent="0.25">
      <c r="A94" s="141"/>
      <c r="G94" s="84"/>
      <c r="H94" s="101">
        <v>89</v>
      </c>
      <c r="I94" s="102" t="str">
        <f t="shared" si="6"/>
        <v/>
      </c>
      <c r="J94" s="101" t="e">
        <f t="shared" si="9"/>
        <v>#NUM!</v>
      </c>
      <c r="K94" s="101" t="e">
        <f t="shared" si="7"/>
        <v>#NUM!</v>
      </c>
      <c r="L94" s="101"/>
      <c r="M94" s="103">
        <f t="shared" si="8"/>
        <v>0</v>
      </c>
    </row>
    <row r="95" spans="1:13" x14ac:dyDescent="0.25">
      <c r="A95" s="141"/>
      <c r="G95" s="84"/>
      <c r="H95" s="101">
        <v>90</v>
      </c>
      <c r="I95" s="102" t="str">
        <f t="shared" si="6"/>
        <v/>
      </c>
      <c r="J95" s="101" t="e">
        <f t="shared" si="9"/>
        <v>#NUM!</v>
      </c>
      <c r="K95" s="101" t="e">
        <f t="shared" si="7"/>
        <v>#NUM!</v>
      </c>
      <c r="L95" s="101"/>
      <c r="M95" s="103">
        <f t="shared" si="8"/>
        <v>0</v>
      </c>
    </row>
    <row r="96" spans="1:13" x14ac:dyDescent="0.25">
      <c r="A96" s="141"/>
      <c r="G96" s="84"/>
      <c r="H96" s="101">
        <v>91</v>
      </c>
      <c r="I96" s="102" t="str">
        <f t="shared" si="6"/>
        <v/>
      </c>
      <c r="J96" s="101" t="e">
        <f t="shared" si="9"/>
        <v>#NUM!</v>
      </c>
      <c r="K96" s="101" t="e">
        <f t="shared" si="7"/>
        <v>#NUM!</v>
      </c>
      <c r="L96" s="101"/>
      <c r="M96" s="103">
        <f t="shared" si="8"/>
        <v>0</v>
      </c>
    </row>
    <row r="97" spans="1:13" x14ac:dyDescent="0.25">
      <c r="A97" s="141"/>
      <c r="G97" s="84"/>
      <c r="H97" s="101">
        <v>92</v>
      </c>
      <c r="I97" s="102" t="str">
        <f t="shared" si="6"/>
        <v/>
      </c>
      <c r="J97" s="101" t="e">
        <f t="shared" si="9"/>
        <v>#NUM!</v>
      </c>
      <c r="K97" s="101" t="e">
        <f t="shared" si="7"/>
        <v>#NUM!</v>
      </c>
      <c r="L97" s="101"/>
      <c r="M97" s="103">
        <f t="shared" si="8"/>
        <v>0</v>
      </c>
    </row>
    <row r="98" spans="1:13" x14ac:dyDescent="0.25">
      <c r="A98" s="141"/>
      <c r="G98" s="84"/>
      <c r="H98" s="101">
        <v>93</v>
      </c>
      <c r="I98" s="102" t="str">
        <f t="shared" si="6"/>
        <v/>
      </c>
      <c r="J98" s="101" t="e">
        <f t="shared" si="9"/>
        <v>#NUM!</v>
      </c>
      <c r="K98" s="101" t="e">
        <f t="shared" si="7"/>
        <v>#NUM!</v>
      </c>
      <c r="L98" s="101"/>
      <c r="M98" s="103">
        <f t="shared" si="8"/>
        <v>0</v>
      </c>
    </row>
    <row r="99" spans="1:13" x14ac:dyDescent="0.25">
      <c r="A99" s="141"/>
      <c r="G99" s="84"/>
      <c r="H99" s="101">
        <v>94</v>
      </c>
      <c r="I99" s="102" t="str">
        <f t="shared" si="6"/>
        <v/>
      </c>
      <c r="J99" s="101" t="e">
        <f t="shared" si="9"/>
        <v>#NUM!</v>
      </c>
      <c r="K99" s="101" t="e">
        <f t="shared" si="7"/>
        <v>#NUM!</v>
      </c>
      <c r="L99" s="101"/>
      <c r="M99" s="103">
        <f t="shared" si="8"/>
        <v>0</v>
      </c>
    </row>
    <row r="100" spans="1:13" x14ac:dyDescent="0.25">
      <c r="A100" s="141"/>
      <c r="G100" s="84"/>
      <c r="H100" s="101">
        <v>95</v>
      </c>
      <c r="I100" s="102" t="str">
        <f t="shared" si="6"/>
        <v/>
      </c>
      <c r="J100" s="101" t="e">
        <f t="shared" si="9"/>
        <v>#NUM!</v>
      </c>
      <c r="K100" s="101" t="e">
        <f t="shared" si="7"/>
        <v>#NUM!</v>
      </c>
      <c r="L100" s="101"/>
      <c r="M100" s="103">
        <f t="shared" si="8"/>
        <v>0</v>
      </c>
    </row>
    <row r="101" spans="1:13" x14ac:dyDescent="0.25">
      <c r="A101" s="141"/>
      <c r="G101" s="84"/>
      <c r="H101" s="101">
        <v>96</v>
      </c>
      <c r="I101" s="102" t="str">
        <f t="shared" si="6"/>
        <v/>
      </c>
      <c r="J101" s="101" t="e">
        <f t="shared" si="9"/>
        <v>#NUM!</v>
      </c>
      <c r="K101" s="101" t="e">
        <f t="shared" si="7"/>
        <v>#NUM!</v>
      </c>
      <c r="L101" s="101"/>
      <c r="M101" s="103">
        <f t="shared" si="8"/>
        <v>0</v>
      </c>
    </row>
    <row r="102" spans="1:13" x14ac:dyDescent="0.25">
      <c r="A102" s="141"/>
      <c r="G102" s="84"/>
      <c r="H102" s="101">
        <v>97</v>
      </c>
      <c r="I102" s="102" t="str">
        <f t="shared" si="6"/>
        <v/>
      </c>
      <c r="J102" s="101" t="e">
        <f t="shared" si="9"/>
        <v>#NUM!</v>
      </c>
      <c r="K102" s="101" t="e">
        <f t="shared" si="7"/>
        <v>#NUM!</v>
      </c>
      <c r="L102" s="101"/>
      <c r="M102" s="103">
        <f t="shared" si="8"/>
        <v>0</v>
      </c>
    </row>
    <row r="103" spans="1:13" x14ac:dyDescent="0.25">
      <c r="A103" s="141"/>
      <c r="G103" s="84"/>
      <c r="H103" s="101">
        <v>98</v>
      </c>
      <c r="I103" s="102" t="str">
        <f t="shared" si="6"/>
        <v/>
      </c>
      <c r="J103" s="101" t="e">
        <f t="shared" si="9"/>
        <v>#NUM!</v>
      </c>
      <c r="K103" s="101" t="e">
        <f t="shared" si="7"/>
        <v>#NUM!</v>
      </c>
      <c r="L103" s="101"/>
      <c r="M103" s="103">
        <f t="shared" si="8"/>
        <v>0</v>
      </c>
    </row>
    <row r="104" spans="1:13" x14ac:dyDescent="0.25">
      <c r="A104" s="141"/>
      <c r="G104" s="84"/>
      <c r="H104" s="101">
        <v>99</v>
      </c>
      <c r="I104" s="102" t="str">
        <f t="shared" si="6"/>
        <v/>
      </c>
      <c r="J104" s="101" t="e">
        <f t="shared" si="9"/>
        <v>#NUM!</v>
      </c>
      <c r="K104" s="101" t="e">
        <f t="shared" si="7"/>
        <v>#NUM!</v>
      </c>
      <c r="L104" s="101"/>
      <c r="M104" s="103">
        <f t="shared" si="8"/>
        <v>0</v>
      </c>
    </row>
    <row r="105" spans="1:13" x14ac:dyDescent="0.25">
      <c r="A105" s="141"/>
      <c r="G105" s="84"/>
      <c r="H105" s="101">
        <v>100</v>
      </c>
      <c r="I105" s="102" t="str">
        <f t="shared" si="6"/>
        <v/>
      </c>
      <c r="J105" s="101" t="e">
        <f t="shared" si="9"/>
        <v>#NUM!</v>
      </c>
      <c r="K105" s="101" t="e">
        <f t="shared" si="7"/>
        <v>#NUM!</v>
      </c>
      <c r="L105" s="101"/>
      <c r="M105" s="103">
        <f t="shared" si="8"/>
        <v>0</v>
      </c>
    </row>
    <row r="106" spans="1:13" x14ac:dyDescent="0.25">
      <c r="A106" s="141"/>
      <c r="G106" s="84"/>
      <c r="H106" s="101">
        <v>101</v>
      </c>
      <c r="I106" s="102" t="str">
        <f t="shared" si="6"/>
        <v/>
      </c>
      <c r="J106" s="101" t="e">
        <f t="shared" si="9"/>
        <v>#NUM!</v>
      </c>
      <c r="K106" s="101" t="e">
        <f t="shared" si="7"/>
        <v>#NUM!</v>
      </c>
      <c r="L106" s="101"/>
      <c r="M106" s="103">
        <f t="shared" si="8"/>
        <v>0</v>
      </c>
    </row>
    <row r="107" spans="1:13" x14ac:dyDescent="0.25">
      <c r="A107" s="141"/>
      <c r="G107" s="84"/>
      <c r="H107" s="101">
        <v>102</v>
      </c>
      <c r="I107" s="102" t="str">
        <f t="shared" si="6"/>
        <v/>
      </c>
      <c r="J107" s="101" t="e">
        <f t="shared" si="9"/>
        <v>#NUM!</v>
      </c>
      <c r="K107" s="101" t="e">
        <f t="shared" si="7"/>
        <v>#NUM!</v>
      </c>
      <c r="L107" s="101"/>
      <c r="M107" s="103">
        <f t="shared" si="8"/>
        <v>0</v>
      </c>
    </row>
    <row r="108" spans="1:13" x14ac:dyDescent="0.25">
      <c r="A108" s="141"/>
      <c r="G108" s="84"/>
      <c r="H108" s="101">
        <v>103</v>
      </c>
      <c r="I108" s="102" t="str">
        <f t="shared" si="6"/>
        <v/>
      </c>
      <c r="J108" s="101" t="e">
        <f t="shared" si="9"/>
        <v>#NUM!</v>
      </c>
      <c r="K108" s="101" t="e">
        <f t="shared" si="7"/>
        <v>#NUM!</v>
      </c>
      <c r="L108" s="101"/>
      <c r="M108" s="103">
        <f t="shared" si="8"/>
        <v>0</v>
      </c>
    </row>
    <row r="109" spans="1:13" x14ac:dyDescent="0.25">
      <c r="A109" s="141"/>
      <c r="G109" s="84"/>
      <c r="H109" s="101">
        <v>104</v>
      </c>
      <c r="I109" s="102" t="str">
        <f t="shared" si="6"/>
        <v/>
      </c>
      <c r="J109" s="101" t="e">
        <f t="shared" si="9"/>
        <v>#NUM!</v>
      </c>
      <c r="K109" s="101" t="e">
        <f t="shared" si="7"/>
        <v>#NUM!</v>
      </c>
      <c r="L109" s="101"/>
      <c r="M109" s="103">
        <f t="shared" si="8"/>
        <v>0</v>
      </c>
    </row>
    <row r="110" spans="1:13" x14ac:dyDescent="0.25">
      <c r="A110" s="141"/>
      <c r="G110" s="84"/>
      <c r="H110" s="101">
        <v>105</v>
      </c>
      <c r="I110" s="102" t="str">
        <f t="shared" si="6"/>
        <v/>
      </c>
      <c r="J110" s="101" t="e">
        <f t="shared" si="9"/>
        <v>#NUM!</v>
      </c>
      <c r="K110" s="101" t="e">
        <f t="shared" si="7"/>
        <v>#NUM!</v>
      </c>
      <c r="L110" s="101"/>
      <c r="M110" s="103">
        <f t="shared" si="8"/>
        <v>0</v>
      </c>
    </row>
    <row r="111" spans="1:13" x14ac:dyDescent="0.25">
      <c r="A111" s="141"/>
      <c r="G111" s="84"/>
      <c r="H111" s="101">
        <v>106</v>
      </c>
      <c r="I111" s="102" t="str">
        <f t="shared" si="6"/>
        <v/>
      </c>
      <c r="J111" s="101" t="e">
        <f t="shared" si="9"/>
        <v>#NUM!</v>
      </c>
      <c r="K111" s="101" t="e">
        <f t="shared" si="7"/>
        <v>#NUM!</v>
      </c>
      <c r="L111" s="101"/>
      <c r="M111" s="103">
        <f t="shared" si="8"/>
        <v>0</v>
      </c>
    </row>
    <row r="112" spans="1:13" x14ac:dyDescent="0.25">
      <c r="A112" s="141"/>
      <c r="G112" s="84"/>
      <c r="H112" s="101">
        <v>107</v>
      </c>
      <c r="I112" s="102" t="str">
        <f t="shared" si="6"/>
        <v/>
      </c>
      <c r="J112" s="101" t="e">
        <f t="shared" si="9"/>
        <v>#NUM!</v>
      </c>
      <c r="K112" s="101" t="e">
        <f t="shared" si="7"/>
        <v>#NUM!</v>
      </c>
      <c r="L112" s="101"/>
      <c r="M112" s="103">
        <f t="shared" si="8"/>
        <v>0</v>
      </c>
    </row>
    <row r="113" spans="1:13" x14ac:dyDescent="0.25">
      <c r="A113" s="141"/>
      <c r="G113" s="84"/>
      <c r="H113" s="101">
        <v>108</v>
      </c>
      <c r="I113" s="102" t="str">
        <f t="shared" si="6"/>
        <v/>
      </c>
      <c r="J113" s="101" t="e">
        <f t="shared" si="9"/>
        <v>#NUM!</v>
      </c>
      <c r="K113" s="101" t="e">
        <f t="shared" si="7"/>
        <v>#NUM!</v>
      </c>
      <c r="L113" s="101"/>
      <c r="M113" s="103">
        <f t="shared" si="8"/>
        <v>0</v>
      </c>
    </row>
    <row r="114" spans="1:13" x14ac:dyDescent="0.25">
      <c r="A114" s="141"/>
      <c r="G114" s="84"/>
      <c r="H114" s="101">
        <v>109</v>
      </c>
      <c r="I114" s="102" t="str">
        <f t="shared" si="6"/>
        <v/>
      </c>
      <c r="J114" s="101" t="e">
        <f t="shared" si="9"/>
        <v>#NUM!</v>
      </c>
      <c r="K114" s="101" t="e">
        <f t="shared" si="7"/>
        <v>#NUM!</v>
      </c>
      <c r="L114" s="101"/>
      <c r="M114" s="103">
        <f t="shared" si="8"/>
        <v>0</v>
      </c>
    </row>
    <row r="115" spans="1:13" x14ac:dyDescent="0.25">
      <c r="A115" s="141"/>
      <c r="G115" s="84"/>
      <c r="H115" s="101">
        <v>110</v>
      </c>
      <c r="I115" s="102" t="str">
        <f t="shared" si="6"/>
        <v/>
      </c>
      <c r="J115" s="101" t="e">
        <f t="shared" si="9"/>
        <v>#NUM!</v>
      </c>
      <c r="K115" s="101" t="e">
        <f t="shared" si="7"/>
        <v>#NUM!</v>
      </c>
      <c r="L115" s="101"/>
      <c r="M115" s="103">
        <f t="shared" si="8"/>
        <v>0</v>
      </c>
    </row>
    <row r="116" spans="1:13" x14ac:dyDescent="0.25">
      <c r="A116" s="141"/>
      <c r="G116" s="84"/>
      <c r="H116" s="101">
        <v>111</v>
      </c>
      <c r="I116" s="102" t="str">
        <f t="shared" si="6"/>
        <v/>
      </c>
      <c r="J116" s="101" t="e">
        <f t="shared" si="9"/>
        <v>#NUM!</v>
      </c>
      <c r="K116" s="101" t="e">
        <f t="shared" si="7"/>
        <v>#NUM!</v>
      </c>
      <c r="L116" s="101"/>
      <c r="M116" s="103">
        <f t="shared" si="8"/>
        <v>0</v>
      </c>
    </row>
    <row r="117" spans="1:13" x14ac:dyDescent="0.25">
      <c r="A117" s="141"/>
      <c r="G117" s="84"/>
      <c r="H117" s="101">
        <v>112</v>
      </c>
      <c r="I117" s="102" t="str">
        <f t="shared" si="6"/>
        <v/>
      </c>
      <c r="J117" s="101" t="e">
        <f t="shared" si="9"/>
        <v>#NUM!</v>
      </c>
      <c r="K117" s="101" t="e">
        <f t="shared" si="7"/>
        <v>#NUM!</v>
      </c>
      <c r="L117" s="101"/>
      <c r="M117" s="103">
        <f t="shared" si="8"/>
        <v>0</v>
      </c>
    </row>
    <row r="118" spans="1:13" x14ac:dyDescent="0.25">
      <c r="A118" s="141"/>
      <c r="G118" s="84"/>
      <c r="H118" s="101">
        <v>113</v>
      </c>
      <c r="I118" s="102" t="str">
        <f t="shared" si="6"/>
        <v/>
      </c>
      <c r="J118" s="101" t="e">
        <f t="shared" si="9"/>
        <v>#NUM!</v>
      </c>
      <c r="K118" s="101" t="e">
        <f t="shared" si="7"/>
        <v>#NUM!</v>
      </c>
      <c r="L118" s="101"/>
      <c r="M118" s="103">
        <f t="shared" si="8"/>
        <v>0</v>
      </c>
    </row>
    <row r="119" spans="1:13" x14ac:dyDescent="0.25">
      <c r="A119" s="141"/>
      <c r="G119" s="84"/>
      <c r="H119" s="101">
        <v>114</v>
      </c>
      <c r="I119" s="102" t="str">
        <f t="shared" si="6"/>
        <v/>
      </c>
      <c r="J119" s="101" t="e">
        <f t="shared" si="9"/>
        <v>#NUM!</v>
      </c>
      <c r="K119" s="101" t="e">
        <f t="shared" si="7"/>
        <v>#NUM!</v>
      </c>
      <c r="L119" s="101"/>
      <c r="M119" s="103">
        <f t="shared" si="8"/>
        <v>0</v>
      </c>
    </row>
    <row r="120" spans="1:13" x14ac:dyDescent="0.25">
      <c r="A120" s="141"/>
      <c r="G120" s="84"/>
      <c r="H120" s="101">
        <v>115</v>
      </c>
      <c r="I120" s="102" t="str">
        <f t="shared" si="6"/>
        <v/>
      </c>
      <c r="J120" s="101" t="e">
        <f t="shared" si="9"/>
        <v>#NUM!</v>
      </c>
      <c r="K120" s="101" t="e">
        <f t="shared" si="7"/>
        <v>#NUM!</v>
      </c>
      <c r="L120" s="101"/>
      <c r="M120" s="103">
        <f t="shared" si="8"/>
        <v>0</v>
      </c>
    </row>
    <row r="121" spans="1:13" x14ac:dyDescent="0.25">
      <c r="A121" s="141"/>
      <c r="G121" s="84"/>
      <c r="H121" s="101">
        <v>116</v>
      </c>
      <c r="I121" s="102" t="str">
        <f t="shared" si="6"/>
        <v/>
      </c>
      <c r="J121" s="101" t="e">
        <f t="shared" si="9"/>
        <v>#NUM!</v>
      </c>
      <c r="K121" s="101" t="e">
        <f t="shared" si="7"/>
        <v>#NUM!</v>
      </c>
      <c r="L121" s="101"/>
      <c r="M121" s="103">
        <f t="shared" si="8"/>
        <v>0</v>
      </c>
    </row>
    <row r="122" spans="1:13" x14ac:dyDescent="0.25">
      <c r="A122" s="141"/>
      <c r="G122" s="84"/>
      <c r="H122" s="101">
        <v>117</v>
      </c>
      <c r="I122" s="102" t="str">
        <f t="shared" si="6"/>
        <v/>
      </c>
      <c r="J122" s="101" t="e">
        <f t="shared" si="9"/>
        <v>#NUM!</v>
      </c>
      <c r="K122" s="101" t="e">
        <f t="shared" si="7"/>
        <v>#NUM!</v>
      </c>
      <c r="L122" s="101"/>
      <c r="M122" s="103">
        <f t="shared" si="8"/>
        <v>0</v>
      </c>
    </row>
    <row r="123" spans="1:13" x14ac:dyDescent="0.25">
      <c r="A123" s="141"/>
      <c r="G123" s="84"/>
      <c r="H123" s="101">
        <v>118</v>
      </c>
      <c r="I123" s="102" t="str">
        <f t="shared" si="6"/>
        <v/>
      </c>
      <c r="J123" s="101" t="e">
        <f t="shared" si="9"/>
        <v>#NUM!</v>
      </c>
      <c r="K123" s="101" t="e">
        <f t="shared" si="7"/>
        <v>#NUM!</v>
      </c>
      <c r="L123" s="101"/>
      <c r="M123" s="103">
        <f t="shared" si="8"/>
        <v>0</v>
      </c>
    </row>
    <row r="124" spans="1:13" x14ac:dyDescent="0.25">
      <c r="A124" s="141"/>
      <c r="G124" s="84"/>
      <c r="H124" s="101">
        <v>119</v>
      </c>
      <c r="I124" s="102" t="str">
        <f t="shared" si="6"/>
        <v/>
      </c>
      <c r="J124" s="101" t="e">
        <f t="shared" si="9"/>
        <v>#NUM!</v>
      </c>
      <c r="K124" s="101" t="e">
        <f t="shared" si="7"/>
        <v>#NUM!</v>
      </c>
      <c r="L124" s="101"/>
      <c r="M124" s="103">
        <f t="shared" si="8"/>
        <v>0</v>
      </c>
    </row>
    <row r="125" spans="1:13" x14ac:dyDescent="0.25">
      <c r="A125" s="141"/>
      <c r="G125" s="84"/>
      <c r="H125" s="101">
        <v>120</v>
      </c>
      <c r="I125" s="102" t="str">
        <f t="shared" si="6"/>
        <v/>
      </c>
      <c r="J125" s="101" t="e">
        <f t="shared" si="9"/>
        <v>#NUM!</v>
      </c>
      <c r="K125" s="101" t="e">
        <f t="shared" si="7"/>
        <v>#NUM!</v>
      </c>
      <c r="L125" s="101"/>
      <c r="M125" s="103">
        <f t="shared" si="8"/>
        <v>0</v>
      </c>
    </row>
    <row r="126" spans="1:13" x14ac:dyDescent="0.25">
      <c r="A126" s="141"/>
      <c r="G126" s="84"/>
      <c r="H126" s="101">
        <v>121</v>
      </c>
      <c r="I126" s="102" t="str">
        <f t="shared" si="6"/>
        <v/>
      </c>
      <c r="J126" s="101" t="e">
        <f t="shared" si="9"/>
        <v>#NUM!</v>
      </c>
      <c r="K126" s="101" t="e">
        <f t="shared" si="7"/>
        <v>#NUM!</v>
      </c>
      <c r="L126" s="101"/>
      <c r="M126" s="103">
        <f t="shared" si="8"/>
        <v>0</v>
      </c>
    </row>
    <row r="127" spans="1:13" x14ac:dyDescent="0.25">
      <c r="A127" s="141"/>
      <c r="G127" s="84"/>
      <c r="H127" s="101">
        <v>122</v>
      </c>
      <c r="I127" s="102" t="str">
        <f t="shared" si="6"/>
        <v/>
      </c>
      <c r="J127" s="101" t="e">
        <f t="shared" si="9"/>
        <v>#NUM!</v>
      </c>
      <c r="K127" s="101" t="e">
        <f t="shared" si="7"/>
        <v>#NUM!</v>
      </c>
      <c r="L127" s="101"/>
      <c r="M127" s="103">
        <f t="shared" si="8"/>
        <v>0</v>
      </c>
    </row>
    <row r="128" spans="1:13" x14ac:dyDescent="0.25">
      <c r="A128" s="141"/>
      <c r="G128" s="84"/>
      <c r="H128" s="101">
        <v>123</v>
      </c>
      <c r="I128" s="102" t="str">
        <f t="shared" si="6"/>
        <v/>
      </c>
      <c r="J128" s="101" t="e">
        <f t="shared" si="9"/>
        <v>#NUM!</v>
      </c>
      <c r="K128" s="101" t="e">
        <f t="shared" si="7"/>
        <v>#NUM!</v>
      </c>
      <c r="L128" s="101"/>
      <c r="M128" s="103">
        <f t="shared" si="8"/>
        <v>0</v>
      </c>
    </row>
    <row r="129" spans="1:13" x14ac:dyDescent="0.25">
      <c r="A129" s="141"/>
      <c r="G129" s="84"/>
      <c r="H129" s="101">
        <v>124</v>
      </c>
      <c r="I129" s="102" t="str">
        <f t="shared" si="6"/>
        <v/>
      </c>
      <c r="J129" s="101" t="e">
        <f t="shared" si="9"/>
        <v>#NUM!</v>
      </c>
      <c r="K129" s="101" t="e">
        <f t="shared" si="7"/>
        <v>#NUM!</v>
      </c>
      <c r="L129" s="101"/>
      <c r="M129" s="103">
        <f t="shared" si="8"/>
        <v>0</v>
      </c>
    </row>
    <row r="130" spans="1:13" x14ac:dyDescent="0.25">
      <c r="A130" s="141"/>
      <c r="G130" s="84"/>
      <c r="H130" s="101">
        <v>125</v>
      </c>
      <c r="I130" s="102" t="str">
        <f t="shared" si="6"/>
        <v/>
      </c>
      <c r="J130" s="101" t="e">
        <f t="shared" si="9"/>
        <v>#NUM!</v>
      </c>
      <c r="K130" s="101" t="e">
        <f t="shared" si="7"/>
        <v>#NUM!</v>
      </c>
      <c r="L130" s="101"/>
      <c r="M130" s="103">
        <f t="shared" si="8"/>
        <v>0</v>
      </c>
    </row>
    <row r="131" spans="1:13" x14ac:dyDescent="0.25">
      <c r="A131" s="141"/>
      <c r="G131" s="84"/>
      <c r="H131" s="101">
        <v>126</v>
      </c>
      <c r="I131" s="102" t="str">
        <f t="shared" si="6"/>
        <v/>
      </c>
      <c r="J131" s="101" t="e">
        <f t="shared" si="9"/>
        <v>#NUM!</v>
      </c>
      <c r="K131" s="101" t="e">
        <f t="shared" si="7"/>
        <v>#NUM!</v>
      </c>
      <c r="L131" s="101"/>
      <c r="M131" s="103">
        <f t="shared" si="8"/>
        <v>0</v>
      </c>
    </row>
    <row r="132" spans="1:13" x14ac:dyDescent="0.25">
      <c r="A132" s="141"/>
      <c r="G132" s="84"/>
      <c r="H132" s="101">
        <v>127</v>
      </c>
      <c r="I132" s="102" t="str">
        <f t="shared" si="6"/>
        <v/>
      </c>
      <c r="J132" s="101" t="e">
        <f t="shared" si="9"/>
        <v>#NUM!</v>
      </c>
      <c r="K132" s="101" t="e">
        <f t="shared" si="7"/>
        <v>#NUM!</v>
      </c>
      <c r="L132" s="101"/>
      <c r="M132" s="103">
        <f t="shared" si="8"/>
        <v>0</v>
      </c>
    </row>
    <row r="133" spans="1:13" x14ac:dyDescent="0.25">
      <c r="A133" s="141"/>
      <c r="G133" s="84"/>
      <c r="H133" s="101">
        <v>128</v>
      </c>
      <c r="I133" s="102" t="str">
        <f t="shared" si="6"/>
        <v/>
      </c>
      <c r="J133" s="101" t="e">
        <f t="shared" si="9"/>
        <v>#NUM!</v>
      </c>
      <c r="K133" s="101" t="e">
        <f t="shared" si="7"/>
        <v>#NUM!</v>
      </c>
      <c r="L133" s="101"/>
      <c r="M133" s="103">
        <f t="shared" si="8"/>
        <v>0</v>
      </c>
    </row>
    <row r="134" spans="1:13" x14ac:dyDescent="0.25">
      <c r="A134" s="141"/>
      <c r="G134" s="84"/>
      <c r="H134" s="101">
        <v>129</v>
      </c>
      <c r="I134" s="102" t="str">
        <f t="shared" ref="I134:I197" si="10">IF(H134&lt;$H$2+1,($I$2-($I$2-1)*(LOG(H134)/LOG($H$2))),"")</f>
        <v/>
      </c>
      <c r="J134" s="101" t="e">
        <f t="shared" si="9"/>
        <v>#NUM!</v>
      </c>
      <c r="K134" s="101" t="e">
        <f t="shared" ref="K134:K197" si="11">J134*$J$2</f>
        <v>#NUM!</v>
      </c>
      <c r="L134" s="101"/>
      <c r="M134" s="103">
        <f t="shared" ref="M134:M197" si="12">IF(I134&lt;&gt;"",K134+I134+L134,0)</f>
        <v>0</v>
      </c>
    </row>
    <row r="135" spans="1:13" x14ac:dyDescent="0.25">
      <c r="A135" s="141"/>
      <c r="G135" s="84"/>
      <c r="H135" s="101">
        <v>130</v>
      </c>
      <c r="I135" s="102" t="str">
        <f t="shared" si="10"/>
        <v/>
      </c>
      <c r="J135" s="101" t="e">
        <f t="shared" ref="J135:J198" si="13">INT(LOG($H$2,2))-ROUNDUP(LOG(H135,2),0)+IF(OR($H$2=1,$H$2=2,$H$2=4,$H$2=8,$H$2=16,$H$2=32,$H$2=64,$H$2=128,$H$2=256),0,1)</f>
        <v>#NUM!</v>
      </c>
      <c r="K135" s="101" t="e">
        <f t="shared" si="11"/>
        <v>#NUM!</v>
      </c>
      <c r="L135" s="101"/>
      <c r="M135" s="103">
        <f t="shared" si="12"/>
        <v>0</v>
      </c>
    </row>
    <row r="136" spans="1:13" x14ac:dyDescent="0.25">
      <c r="A136" s="141"/>
      <c r="G136" s="84"/>
      <c r="H136" s="101">
        <v>131</v>
      </c>
      <c r="I136" s="102" t="str">
        <f t="shared" si="10"/>
        <v/>
      </c>
      <c r="J136" s="101" t="e">
        <f t="shared" si="13"/>
        <v>#NUM!</v>
      </c>
      <c r="K136" s="101" t="e">
        <f t="shared" si="11"/>
        <v>#NUM!</v>
      </c>
      <c r="L136" s="101"/>
      <c r="M136" s="103">
        <f t="shared" si="12"/>
        <v>0</v>
      </c>
    </row>
    <row r="137" spans="1:13" x14ac:dyDescent="0.25">
      <c r="A137" s="141"/>
      <c r="G137" s="84"/>
      <c r="H137" s="101">
        <v>132</v>
      </c>
      <c r="I137" s="102" t="str">
        <f t="shared" si="10"/>
        <v/>
      </c>
      <c r="J137" s="101" t="e">
        <f t="shared" si="13"/>
        <v>#NUM!</v>
      </c>
      <c r="K137" s="101" t="e">
        <f t="shared" si="11"/>
        <v>#NUM!</v>
      </c>
      <c r="L137" s="101"/>
      <c r="M137" s="103">
        <f t="shared" si="12"/>
        <v>0</v>
      </c>
    </row>
    <row r="138" spans="1:13" x14ac:dyDescent="0.25">
      <c r="A138" s="141"/>
      <c r="G138" s="84"/>
      <c r="H138" s="101">
        <v>133</v>
      </c>
      <c r="I138" s="102" t="str">
        <f t="shared" si="10"/>
        <v/>
      </c>
      <c r="J138" s="101" t="e">
        <f t="shared" si="13"/>
        <v>#NUM!</v>
      </c>
      <c r="K138" s="101" t="e">
        <f t="shared" si="11"/>
        <v>#NUM!</v>
      </c>
      <c r="L138" s="101"/>
      <c r="M138" s="103">
        <f t="shared" si="12"/>
        <v>0</v>
      </c>
    </row>
    <row r="139" spans="1:13" x14ac:dyDescent="0.25">
      <c r="A139" s="141"/>
      <c r="G139" s="84"/>
      <c r="H139" s="101">
        <v>134</v>
      </c>
      <c r="I139" s="102" t="str">
        <f t="shared" si="10"/>
        <v/>
      </c>
      <c r="J139" s="101" t="e">
        <f t="shared" si="13"/>
        <v>#NUM!</v>
      </c>
      <c r="K139" s="101" t="e">
        <f t="shared" si="11"/>
        <v>#NUM!</v>
      </c>
      <c r="L139" s="101"/>
      <c r="M139" s="103">
        <f t="shared" si="12"/>
        <v>0</v>
      </c>
    </row>
    <row r="140" spans="1:13" x14ac:dyDescent="0.25">
      <c r="A140" s="141"/>
      <c r="G140" s="84"/>
      <c r="H140" s="101">
        <v>135</v>
      </c>
      <c r="I140" s="102" t="str">
        <f t="shared" si="10"/>
        <v/>
      </c>
      <c r="J140" s="101" t="e">
        <f t="shared" si="13"/>
        <v>#NUM!</v>
      </c>
      <c r="K140" s="101" t="e">
        <f t="shared" si="11"/>
        <v>#NUM!</v>
      </c>
      <c r="L140" s="101"/>
      <c r="M140" s="103">
        <f t="shared" si="12"/>
        <v>0</v>
      </c>
    </row>
    <row r="141" spans="1:13" x14ac:dyDescent="0.25">
      <c r="A141" s="141"/>
      <c r="G141" s="84"/>
      <c r="H141" s="101">
        <v>136</v>
      </c>
      <c r="I141" s="102" t="str">
        <f t="shared" si="10"/>
        <v/>
      </c>
      <c r="J141" s="101" t="e">
        <f t="shared" si="13"/>
        <v>#NUM!</v>
      </c>
      <c r="K141" s="101" t="e">
        <f t="shared" si="11"/>
        <v>#NUM!</v>
      </c>
      <c r="L141" s="101"/>
      <c r="M141" s="103">
        <f t="shared" si="12"/>
        <v>0</v>
      </c>
    </row>
    <row r="142" spans="1:13" x14ac:dyDescent="0.25">
      <c r="A142" s="141"/>
      <c r="G142" s="84"/>
      <c r="H142" s="101">
        <v>137</v>
      </c>
      <c r="I142" s="102" t="str">
        <f t="shared" si="10"/>
        <v/>
      </c>
      <c r="J142" s="101" t="e">
        <f t="shared" si="13"/>
        <v>#NUM!</v>
      </c>
      <c r="K142" s="101" t="e">
        <f t="shared" si="11"/>
        <v>#NUM!</v>
      </c>
      <c r="L142" s="101"/>
      <c r="M142" s="103">
        <f t="shared" si="12"/>
        <v>0</v>
      </c>
    </row>
    <row r="143" spans="1:13" x14ac:dyDescent="0.25">
      <c r="A143" s="141"/>
      <c r="G143" s="84"/>
      <c r="H143" s="101">
        <v>138</v>
      </c>
      <c r="I143" s="102" t="str">
        <f t="shared" si="10"/>
        <v/>
      </c>
      <c r="J143" s="101" t="e">
        <f t="shared" si="13"/>
        <v>#NUM!</v>
      </c>
      <c r="K143" s="101" t="e">
        <f t="shared" si="11"/>
        <v>#NUM!</v>
      </c>
      <c r="L143" s="101"/>
      <c r="M143" s="103">
        <f t="shared" si="12"/>
        <v>0</v>
      </c>
    </row>
    <row r="144" spans="1:13" x14ac:dyDescent="0.25">
      <c r="A144" s="141"/>
      <c r="G144" s="84"/>
      <c r="H144" s="101">
        <v>139</v>
      </c>
      <c r="I144" s="102" t="str">
        <f t="shared" si="10"/>
        <v/>
      </c>
      <c r="J144" s="101" t="e">
        <f t="shared" si="13"/>
        <v>#NUM!</v>
      </c>
      <c r="K144" s="101" t="e">
        <f t="shared" si="11"/>
        <v>#NUM!</v>
      </c>
      <c r="L144" s="101"/>
      <c r="M144" s="103">
        <f t="shared" si="12"/>
        <v>0</v>
      </c>
    </row>
    <row r="145" spans="1:13" x14ac:dyDescent="0.25">
      <c r="A145" s="141"/>
      <c r="G145" s="84"/>
      <c r="H145" s="101">
        <v>140</v>
      </c>
      <c r="I145" s="102" t="str">
        <f t="shared" si="10"/>
        <v/>
      </c>
      <c r="J145" s="101" t="e">
        <f t="shared" si="13"/>
        <v>#NUM!</v>
      </c>
      <c r="K145" s="101" t="e">
        <f t="shared" si="11"/>
        <v>#NUM!</v>
      </c>
      <c r="L145" s="101"/>
      <c r="M145" s="103">
        <f t="shared" si="12"/>
        <v>0</v>
      </c>
    </row>
    <row r="146" spans="1:13" x14ac:dyDescent="0.25">
      <c r="A146" s="141"/>
      <c r="G146" s="84"/>
      <c r="H146" s="101">
        <v>141</v>
      </c>
      <c r="I146" s="102" t="str">
        <f t="shared" si="10"/>
        <v/>
      </c>
      <c r="J146" s="101" t="e">
        <f t="shared" si="13"/>
        <v>#NUM!</v>
      </c>
      <c r="K146" s="101" t="e">
        <f t="shared" si="11"/>
        <v>#NUM!</v>
      </c>
      <c r="L146" s="101"/>
      <c r="M146" s="103">
        <f t="shared" si="12"/>
        <v>0</v>
      </c>
    </row>
    <row r="147" spans="1:13" x14ac:dyDescent="0.25">
      <c r="A147" s="141"/>
      <c r="G147" s="84"/>
      <c r="H147" s="101">
        <v>142</v>
      </c>
      <c r="I147" s="102" t="str">
        <f t="shared" si="10"/>
        <v/>
      </c>
      <c r="J147" s="101" t="e">
        <f t="shared" si="13"/>
        <v>#NUM!</v>
      </c>
      <c r="K147" s="101" t="e">
        <f t="shared" si="11"/>
        <v>#NUM!</v>
      </c>
      <c r="L147" s="101"/>
      <c r="M147" s="103">
        <f t="shared" si="12"/>
        <v>0</v>
      </c>
    </row>
    <row r="148" spans="1:13" x14ac:dyDescent="0.25">
      <c r="A148" s="141"/>
      <c r="G148" s="84"/>
      <c r="H148" s="101">
        <v>143</v>
      </c>
      <c r="I148" s="102" t="str">
        <f t="shared" si="10"/>
        <v/>
      </c>
      <c r="J148" s="101" t="e">
        <f t="shared" si="13"/>
        <v>#NUM!</v>
      </c>
      <c r="K148" s="101" t="e">
        <f t="shared" si="11"/>
        <v>#NUM!</v>
      </c>
      <c r="L148" s="101"/>
      <c r="M148" s="103">
        <f t="shared" si="12"/>
        <v>0</v>
      </c>
    </row>
    <row r="149" spans="1:13" x14ac:dyDescent="0.25">
      <c r="A149" s="141"/>
      <c r="G149" s="84"/>
      <c r="H149" s="101">
        <v>144</v>
      </c>
      <c r="I149" s="102" t="str">
        <f t="shared" si="10"/>
        <v/>
      </c>
      <c r="J149" s="101" t="e">
        <f t="shared" si="13"/>
        <v>#NUM!</v>
      </c>
      <c r="K149" s="101" t="e">
        <f t="shared" si="11"/>
        <v>#NUM!</v>
      </c>
      <c r="L149" s="101"/>
      <c r="M149" s="103">
        <f t="shared" si="12"/>
        <v>0</v>
      </c>
    </row>
    <row r="150" spans="1:13" x14ac:dyDescent="0.25">
      <c r="A150" s="141"/>
      <c r="G150" s="84"/>
      <c r="H150" s="101">
        <v>145</v>
      </c>
      <c r="I150" s="102" t="str">
        <f t="shared" si="10"/>
        <v/>
      </c>
      <c r="J150" s="101" t="e">
        <f t="shared" si="13"/>
        <v>#NUM!</v>
      </c>
      <c r="K150" s="101" t="e">
        <f t="shared" si="11"/>
        <v>#NUM!</v>
      </c>
      <c r="L150" s="101"/>
      <c r="M150" s="103">
        <f t="shared" si="12"/>
        <v>0</v>
      </c>
    </row>
    <row r="151" spans="1:13" x14ac:dyDescent="0.25">
      <c r="A151" s="141"/>
      <c r="G151" s="84"/>
      <c r="H151" s="101">
        <v>146</v>
      </c>
      <c r="I151" s="102" t="str">
        <f t="shared" si="10"/>
        <v/>
      </c>
      <c r="J151" s="101" t="e">
        <f t="shared" si="13"/>
        <v>#NUM!</v>
      </c>
      <c r="K151" s="101" t="e">
        <f t="shared" si="11"/>
        <v>#NUM!</v>
      </c>
      <c r="L151" s="101"/>
      <c r="M151" s="103">
        <f t="shared" si="12"/>
        <v>0</v>
      </c>
    </row>
    <row r="152" spans="1:13" x14ac:dyDescent="0.25">
      <c r="A152" s="141"/>
      <c r="G152" s="84"/>
      <c r="H152" s="101">
        <v>147</v>
      </c>
      <c r="I152" s="102" t="str">
        <f t="shared" si="10"/>
        <v/>
      </c>
      <c r="J152" s="101" t="e">
        <f t="shared" si="13"/>
        <v>#NUM!</v>
      </c>
      <c r="K152" s="101" t="e">
        <f t="shared" si="11"/>
        <v>#NUM!</v>
      </c>
      <c r="L152" s="101"/>
      <c r="M152" s="103">
        <f t="shared" si="12"/>
        <v>0</v>
      </c>
    </row>
    <row r="153" spans="1:13" x14ac:dyDescent="0.25">
      <c r="A153" s="141"/>
      <c r="G153" s="84"/>
      <c r="H153" s="101">
        <v>148</v>
      </c>
      <c r="I153" s="102" t="str">
        <f t="shared" si="10"/>
        <v/>
      </c>
      <c r="J153" s="101" t="e">
        <f t="shared" si="13"/>
        <v>#NUM!</v>
      </c>
      <c r="K153" s="101" t="e">
        <f t="shared" si="11"/>
        <v>#NUM!</v>
      </c>
      <c r="L153" s="101"/>
      <c r="M153" s="103">
        <f t="shared" si="12"/>
        <v>0</v>
      </c>
    </row>
    <row r="154" spans="1:13" x14ac:dyDescent="0.25">
      <c r="A154" s="141"/>
      <c r="G154" s="84"/>
      <c r="H154" s="101">
        <v>149</v>
      </c>
      <c r="I154" s="102" t="str">
        <f t="shared" si="10"/>
        <v/>
      </c>
      <c r="J154" s="101" t="e">
        <f t="shared" si="13"/>
        <v>#NUM!</v>
      </c>
      <c r="K154" s="101" t="e">
        <f t="shared" si="11"/>
        <v>#NUM!</v>
      </c>
      <c r="L154" s="101"/>
      <c r="M154" s="103">
        <f t="shared" si="12"/>
        <v>0</v>
      </c>
    </row>
    <row r="155" spans="1:13" x14ac:dyDescent="0.25">
      <c r="A155" s="117"/>
      <c r="G155" s="84"/>
      <c r="H155" s="101">
        <v>150</v>
      </c>
      <c r="I155" s="102" t="str">
        <f t="shared" si="10"/>
        <v/>
      </c>
      <c r="J155" s="101" t="e">
        <f t="shared" si="13"/>
        <v>#NUM!</v>
      </c>
      <c r="K155" s="101" t="e">
        <f t="shared" si="11"/>
        <v>#NUM!</v>
      </c>
      <c r="L155" s="101"/>
      <c r="M155" s="103">
        <f t="shared" si="12"/>
        <v>0</v>
      </c>
    </row>
    <row r="156" spans="1:13" x14ac:dyDescent="0.25">
      <c r="A156" s="117"/>
      <c r="G156" s="84"/>
      <c r="H156" s="101">
        <v>151</v>
      </c>
      <c r="I156" s="102" t="str">
        <f t="shared" si="10"/>
        <v/>
      </c>
      <c r="J156" s="101" t="e">
        <f t="shared" si="13"/>
        <v>#NUM!</v>
      </c>
      <c r="K156" s="101" t="e">
        <f t="shared" si="11"/>
        <v>#NUM!</v>
      </c>
      <c r="L156" s="101"/>
      <c r="M156" s="103">
        <f t="shared" si="12"/>
        <v>0</v>
      </c>
    </row>
    <row r="157" spans="1:13" x14ac:dyDescent="0.25">
      <c r="A157" s="117"/>
      <c r="G157" s="84"/>
      <c r="H157" s="101">
        <v>152</v>
      </c>
      <c r="I157" s="102" t="str">
        <f t="shared" si="10"/>
        <v/>
      </c>
      <c r="J157" s="101" t="e">
        <f t="shared" si="13"/>
        <v>#NUM!</v>
      </c>
      <c r="K157" s="101" t="e">
        <f t="shared" si="11"/>
        <v>#NUM!</v>
      </c>
      <c r="L157" s="101"/>
      <c r="M157" s="103">
        <f t="shared" si="12"/>
        <v>0</v>
      </c>
    </row>
    <row r="158" spans="1:13" x14ac:dyDescent="0.25">
      <c r="A158" s="117"/>
      <c r="G158" s="84"/>
      <c r="H158" s="101">
        <v>153</v>
      </c>
      <c r="I158" s="102" t="str">
        <f t="shared" si="10"/>
        <v/>
      </c>
      <c r="J158" s="101" t="e">
        <f t="shared" si="13"/>
        <v>#NUM!</v>
      </c>
      <c r="K158" s="101" t="e">
        <f t="shared" si="11"/>
        <v>#NUM!</v>
      </c>
      <c r="L158" s="101"/>
      <c r="M158" s="103">
        <f t="shared" si="12"/>
        <v>0</v>
      </c>
    </row>
    <row r="159" spans="1:13" x14ac:dyDescent="0.25">
      <c r="A159" s="117"/>
      <c r="G159" s="84"/>
      <c r="H159" s="101">
        <v>154</v>
      </c>
      <c r="I159" s="102" t="str">
        <f t="shared" si="10"/>
        <v/>
      </c>
      <c r="J159" s="101" t="e">
        <f t="shared" si="13"/>
        <v>#NUM!</v>
      </c>
      <c r="K159" s="101" t="e">
        <f t="shared" si="11"/>
        <v>#NUM!</v>
      </c>
      <c r="L159" s="101"/>
      <c r="M159" s="103">
        <f t="shared" si="12"/>
        <v>0</v>
      </c>
    </row>
    <row r="160" spans="1:13" x14ac:dyDescent="0.25">
      <c r="A160" s="117"/>
      <c r="G160" s="84"/>
      <c r="H160" s="101">
        <v>155</v>
      </c>
      <c r="I160" s="102" t="str">
        <f t="shared" si="10"/>
        <v/>
      </c>
      <c r="J160" s="101" t="e">
        <f t="shared" si="13"/>
        <v>#NUM!</v>
      </c>
      <c r="K160" s="101" t="e">
        <f t="shared" si="11"/>
        <v>#NUM!</v>
      </c>
      <c r="L160" s="101"/>
      <c r="M160" s="103">
        <f t="shared" si="12"/>
        <v>0</v>
      </c>
    </row>
    <row r="161" spans="1:13" x14ac:dyDescent="0.25">
      <c r="A161" s="117"/>
      <c r="G161" s="84"/>
      <c r="H161" s="101">
        <v>156</v>
      </c>
      <c r="I161" s="102" t="str">
        <f t="shared" si="10"/>
        <v/>
      </c>
      <c r="J161" s="101" t="e">
        <f t="shared" si="13"/>
        <v>#NUM!</v>
      </c>
      <c r="K161" s="101" t="e">
        <f t="shared" si="11"/>
        <v>#NUM!</v>
      </c>
      <c r="L161" s="101"/>
      <c r="M161" s="103">
        <f t="shared" si="12"/>
        <v>0</v>
      </c>
    </row>
    <row r="162" spans="1:13" x14ac:dyDescent="0.25">
      <c r="A162" s="117"/>
      <c r="G162" s="84"/>
      <c r="H162" s="101">
        <v>157</v>
      </c>
      <c r="I162" s="102" t="str">
        <f t="shared" si="10"/>
        <v/>
      </c>
      <c r="J162" s="101" t="e">
        <f t="shared" si="13"/>
        <v>#NUM!</v>
      </c>
      <c r="K162" s="101" t="e">
        <f t="shared" si="11"/>
        <v>#NUM!</v>
      </c>
      <c r="L162" s="101"/>
      <c r="M162" s="103">
        <f t="shared" si="12"/>
        <v>0</v>
      </c>
    </row>
    <row r="163" spans="1:13" x14ac:dyDescent="0.25">
      <c r="A163" s="117"/>
      <c r="G163" s="84"/>
      <c r="H163" s="101">
        <v>158</v>
      </c>
      <c r="I163" s="102" t="str">
        <f t="shared" si="10"/>
        <v/>
      </c>
      <c r="J163" s="101" t="e">
        <f t="shared" si="13"/>
        <v>#NUM!</v>
      </c>
      <c r="K163" s="101" t="e">
        <f t="shared" si="11"/>
        <v>#NUM!</v>
      </c>
      <c r="L163" s="101"/>
      <c r="M163" s="103">
        <f t="shared" si="12"/>
        <v>0</v>
      </c>
    </row>
    <row r="164" spans="1:13" x14ac:dyDescent="0.25">
      <c r="A164" s="117"/>
      <c r="G164" s="84"/>
      <c r="H164" s="101">
        <v>159</v>
      </c>
      <c r="I164" s="102" t="str">
        <f t="shared" si="10"/>
        <v/>
      </c>
      <c r="J164" s="101" t="e">
        <f t="shared" si="13"/>
        <v>#NUM!</v>
      </c>
      <c r="K164" s="101" t="e">
        <f t="shared" si="11"/>
        <v>#NUM!</v>
      </c>
      <c r="L164" s="101"/>
      <c r="M164" s="103">
        <f t="shared" si="12"/>
        <v>0</v>
      </c>
    </row>
    <row r="165" spans="1:13" x14ac:dyDescent="0.25">
      <c r="A165" s="117"/>
      <c r="G165" s="84"/>
      <c r="H165" s="101">
        <v>160</v>
      </c>
      <c r="I165" s="102" t="str">
        <f t="shared" si="10"/>
        <v/>
      </c>
      <c r="J165" s="101" t="e">
        <f t="shared" si="13"/>
        <v>#NUM!</v>
      </c>
      <c r="K165" s="101" t="e">
        <f t="shared" si="11"/>
        <v>#NUM!</v>
      </c>
      <c r="L165" s="101"/>
      <c r="M165" s="103">
        <f t="shared" si="12"/>
        <v>0</v>
      </c>
    </row>
    <row r="166" spans="1:13" x14ac:dyDescent="0.25">
      <c r="A166" s="117"/>
      <c r="G166" s="84"/>
      <c r="H166" s="101">
        <v>161</v>
      </c>
      <c r="I166" s="102" t="str">
        <f t="shared" si="10"/>
        <v/>
      </c>
      <c r="J166" s="101" t="e">
        <f t="shared" si="13"/>
        <v>#NUM!</v>
      </c>
      <c r="K166" s="101" t="e">
        <f t="shared" si="11"/>
        <v>#NUM!</v>
      </c>
      <c r="L166" s="101"/>
      <c r="M166" s="103">
        <f t="shared" si="12"/>
        <v>0</v>
      </c>
    </row>
    <row r="167" spans="1:13" x14ac:dyDescent="0.25">
      <c r="A167" s="117"/>
      <c r="G167" s="84"/>
      <c r="H167" s="101">
        <v>162</v>
      </c>
      <c r="I167" s="102" t="str">
        <f t="shared" si="10"/>
        <v/>
      </c>
      <c r="J167" s="101" t="e">
        <f t="shared" si="13"/>
        <v>#NUM!</v>
      </c>
      <c r="K167" s="101" t="e">
        <f t="shared" si="11"/>
        <v>#NUM!</v>
      </c>
      <c r="L167" s="101"/>
      <c r="M167" s="103">
        <f t="shared" si="12"/>
        <v>0</v>
      </c>
    </row>
    <row r="168" spans="1:13" x14ac:dyDescent="0.25">
      <c r="A168" s="117"/>
      <c r="G168" s="84"/>
      <c r="H168" s="101">
        <v>163</v>
      </c>
      <c r="I168" s="102" t="str">
        <f t="shared" si="10"/>
        <v/>
      </c>
      <c r="J168" s="101" t="e">
        <f t="shared" si="13"/>
        <v>#NUM!</v>
      </c>
      <c r="K168" s="101" t="e">
        <f t="shared" si="11"/>
        <v>#NUM!</v>
      </c>
      <c r="L168" s="101"/>
      <c r="M168" s="103">
        <f t="shared" si="12"/>
        <v>0</v>
      </c>
    </row>
    <row r="169" spans="1:13" x14ac:dyDescent="0.25">
      <c r="A169" s="117"/>
      <c r="G169" s="84"/>
      <c r="H169" s="101">
        <v>164</v>
      </c>
      <c r="I169" s="102" t="str">
        <f t="shared" si="10"/>
        <v/>
      </c>
      <c r="J169" s="101" t="e">
        <f t="shared" si="13"/>
        <v>#NUM!</v>
      </c>
      <c r="K169" s="101" t="e">
        <f t="shared" si="11"/>
        <v>#NUM!</v>
      </c>
      <c r="L169" s="101"/>
      <c r="M169" s="103">
        <f t="shared" si="12"/>
        <v>0</v>
      </c>
    </row>
    <row r="170" spans="1:13" x14ac:dyDescent="0.25">
      <c r="A170" s="117"/>
      <c r="G170" s="84"/>
      <c r="H170" s="101">
        <v>165</v>
      </c>
      <c r="I170" s="102" t="str">
        <f t="shared" si="10"/>
        <v/>
      </c>
      <c r="J170" s="101" t="e">
        <f t="shared" si="13"/>
        <v>#NUM!</v>
      </c>
      <c r="K170" s="101" t="e">
        <f t="shared" si="11"/>
        <v>#NUM!</v>
      </c>
      <c r="L170" s="101"/>
      <c r="M170" s="103">
        <f t="shared" si="12"/>
        <v>0</v>
      </c>
    </row>
    <row r="171" spans="1:13" x14ac:dyDescent="0.25">
      <c r="A171" s="117"/>
      <c r="G171" s="84"/>
      <c r="H171" s="101">
        <v>166</v>
      </c>
      <c r="I171" s="102" t="str">
        <f t="shared" si="10"/>
        <v/>
      </c>
      <c r="J171" s="101" t="e">
        <f t="shared" si="13"/>
        <v>#NUM!</v>
      </c>
      <c r="K171" s="101" t="e">
        <f t="shared" si="11"/>
        <v>#NUM!</v>
      </c>
      <c r="L171" s="101"/>
      <c r="M171" s="103">
        <f t="shared" si="12"/>
        <v>0</v>
      </c>
    </row>
    <row r="172" spans="1:13" x14ac:dyDescent="0.25">
      <c r="A172" s="117"/>
      <c r="G172" s="84"/>
      <c r="H172" s="101">
        <v>167</v>
      </c>
      <c r="I172" s="102" t="str">
        <f t="shared" si="10"/>
        <v/>
      </c>
      <c r="J172" s="101" t="e">
        <f t="shared" si="13"/>
        <v>#NUM!</v>
      </c>
      <c r="K172" s="101" t="e">
        <f t="shared" si="11"/>
        <v>#NUM!</v>
      </c>
      <c r="L172" s="101"/>
      <c r="M172" s="103">
        <f t="shared" si="12"/>
        <v>0</v>
      </c>
    </row>
    <row r="173" spans="1:13" x14ac:dyDescent="0.25">
      <c r="A173" s="117"/>
      <c r="G173" s="84"/>
      <c r="H173" s="101">
        <v>168</v>
      </c>
      <c r="I173" s="102" t="str">
        <f t="shared" si="10"/>
        <v/>
      </c>
      <c r="J173" s="101" t="e">
        <f t="shared" si="13"/>
        <v>#NUM!</v>
      </c>
      <c r="K173" s="101" t="e">
        <f t="shared" si="11"/>
        <v>#NUM!</v>
      </c>
      <c r="L173" s="101"/>
      <c r="M173" s="103">
        <f t="shared" si="12"/>
        <v>0</v>
      </c>
    </row>
    <row r="174" spans="1:13" x14ac:dyDescent="0.25">
      <c r="A174" s="117"/>
      <c r="G174" s="84"/>
      <c r="H174" s="101">
        <v>169</v>
      </c>
      <c r="I174" s="102" t="str">
        <f t="shared" si="10"/>
        <v/>
      </c>
      <c r="J174" s="101" t="e">
        <f t="shared" si="13"/>
        <v>#NUM!</v>
      </c>
      <c r="K174" s="101" t="e">
        <f t="shared" si="11"/>
        <v>#NUM!</v>
      </c>
      <c r="L174" s="101"/>
      <c r="M174" s="103">
        <f t="shared" si="12"/>
        <v>0</v>
      </c>
    </row>
    <row r="175" spans="1:13" x14ac:dyDescent="0.25">
      <c r="A175" s="117"/>
      <c r="G175" s="84"/>
      <c r="H175" s="101">
        <v>170</v>
      </c>
      <c r="I175" s="102" t="str">
        <f t="shared" si="10"/>
        <v/>
      </c>
      <c r="J175" s="101" t="e">
        <f t="shared" si="13"/>
        <v>#NUM!</v>
      </c>
      <c r="K175" s="101" t="e">
        <f t="shared" si="11"/>
        <v>#NUM!</v>
      </c>
      <c r="L175" s="101"/>
      <c r="M175" s="103">
        <f t="shared" si="12"/>
        <v>0</v>
      </c>
    </row>
    <row r="176" spans="1:13" x14ac:dyDescent="0.25">
      <c r="A176" s="117"/>
      <c r="G176" s="84"/>
      <c r="H176" s="101">
        <v>171</v>
      </c>
      <c r="I176" s="102" t="str">
        <f t="shared" si="10"/>
        <v/>
      </c>
      <c r="J176" s="101" t="e">
        <f t="shared" si="13"/>
        <v>#NUM!</v>
      </c>
      <c r="K176" s="101" t="e">
        <f t="shared" si="11"/>
        <v>#NUM!</v>
      </c>
      <c r="L176" s="101"/>
      <c r="M176" s="103">
        <f t="shared" si="12"/>
        <v>0</v>
      </c>
    </row>
    <row r="177" spans="1:13" x14ac:dyDescent="0.25">
      <c r="A177" s="117"/>
      <c r="G177" s="84"/>
      <c r="H177" s="101">
        <v>172</v>
      </c>
      <c r="I177" s="102" t="str">
        <f t="shared" si="10"/>
        <v/>
      </c>
      <c r="J177" s="101" t="e">
        <f t="shared" si="13"/>
        <v>#NUM!</v>
      </c>
      <c r="K177" s="101" t="e">
        <f t="shared" si="11"/>
        <v>#NUM!</v>
      </c>
      <c r="L177" s="101"/>
      <c r="M177" s="103">
        <f t="shared" si="12"/>
        <v>0</v>
      </c>
    </row>
    <row r="178" spans="1:13" x14ac:dyDescent="0.25">
      <c r="A178" s="117"/>
      <c r="G178" s="84"/>
      <c r="H178" s="101">
        <v>173</v>
      </c>
      <c r="I178" s="102" t="str">
        <f t="shared" si="10"/>
        <v/>
      </c>
      <c r="J178" s="101" t="e">
        <f t="shared" si="13"/>
        <v>#NUM!</v>
      </c>
      <c r="K178" s="101" t="e">
        <f t="shared" si="11"/>
        <v>#NUM!</v>
      </c>
      <c r="L178" s="101"/>
      <c r="M178" s="103">
        <f t="shared" si="12"/>
        <v>0</v>
      </c>
    </row>
    <row r="179" spans="1:13" x14ac:dyDescent="0.25">
      <c r="A179" s="117"/>
      <c r="G179" s="84"/>
      <c r="H179" s="101">
        <v>174</v>
      </c>
      <c r="I179" s="102" t="str">
        <f t="shared" si="10"/>
        <v/>
      </c>
      <c r="J179" s="101" t="e">
        <f t="shared" si="13"/>
        <v>#NUM!</v>
      </c>
      <c r="K179" s="101" t="e">
        <f t="shared" si="11"/>
        <v>#NUM!</v>
      </c>
      <c r="L179" s="101"/>
      <c r="M179" s="103">
        <f t="shared" si="12"/>
        <v>0</v>
      </c>
    </row>
    <row r="180" spans="1:13" x14ac:dyDescent="0.25">
      <c r="A180" s="117"/>
      <c r="G180" s="84"/>
      <c r="H180" s="101">
        <v>175</v>
      </c>
      <c r="I180" s="102" t="str">
        <f t="shared" si="10"/>
        <v/>
      </c>
      <c r="J180" s="101" t="e">
        <f t="shared" si="13"/>
        <v>#NUM!</v>
      </c>
      <c r="K180" s="101" t="e">
        <f t="shared" si="11"/>
        <v>#NUM!</v>
      </c>
      <c r="L180" s="101"/>
      <c r="M180" s="103">
        <f t="shared" si="12"/>
        <v>0</v>
      </c>
    </row>
    <row r="181" spans="1:13" x14ac:dyDescent="0.25">
      <c r="A181" s="117"/>
      <c r="G181" s="84"/>
      <c r="H181" s="101">
        <v>176</v>
      </c>
      <c r="I181" s="102" t="str">
        <f t="shared" si="10"/>
        <v/>
      </c>
      <c r="J181" s="101" t="e">
        <f t="shared" si="13"/>
        <v>#NUM!</v>
      </c>
      <c r="K181" s="101" t="e">
        <f t="shared" si="11"/>
        <v>#NUM!</v>
      </c>
      <c r="L181" s="101"/>
      <c r="M181" s="103">
        <f t="shared" si="12"/>
        <v>0</v>
      </c>
    </row>
    <row r="182" spans="1:13" x14ac:dyDescent="0.25">
      <c r="A182" s="117"/>
      <c r="G182" s="84"/>
      <c r="H182" s="101">
        <v>177</v>
      </c>
      <c r="I182" s="102" t="str">
        <f t="shared" si="10"/>
        <v/>
      </c>
      <c r="J182" s="101" t="e">
        <f t="shared" si="13"/>
        <v>#NUM!</v>
      </c>
      <c r="K182" s="101" t="e">
        <f t="shared" si="11"/>
        <v>#NUM!</v>
      </c>
      <c r="L182" s="101"/>
      <c r="M182" s="103">
        <f t="shared" si="12"/>
        <v>0</v>
      </c>
    </row>
    <row r="183" spans="1:13" x14ac:dyDescent="0.25">
      <c r="A183" s="117"/>
      <c r="G183" s="84"/>
      <c r="H183" s="101">
        <v>178</v>
      </c>
      <c r="I183" s="102" t="str">
        <f t="shared" si="10"/>
        <v/>
      </c>
      <c r="J183" s="101" t="e">
        <f t="shared" si="13"/>
        <v>#NUM!</v>
      </c>
      <c r="K183" s="101" t="e">
        <f t="shared" si="11"/>
        <v>#NUM!</v>
      </c>
      <c r="L183" s="101"/>
      <c r="M183" s="103">
        <f t="shared" si="12"/>
        <v>0</v>
      </c>
    </row>
    <row r="184" spans="1:13" x14ac:dyDescent="0.25">
      <c r="A184" s="117"/>
      <c r="G184" s="84"/>
      <c r="H184" s="101">
        <v>179</v>
      </c>
      <c r="I184" s="102" t="str">
        <f t="shared" si="10"/>
        <v/>
      </c>
      <c r="J184" s="101" t="e">
        <f t="shared" si="13"/>
        <v>#NUM!</v>
      </c>
      <c r="K184" s="101" t="e">
        <f t="shared" si="11"/>
        <v>#NUM!</v>
      </c>
      <c r="L184" s="101"/>
      <c r="M184" s="103">
        <f t="shared" si="12"/>
        <v>0</v>
      </c>
    </row>
    <row r="185" spans="1:13" x14ac:dyDescent="0.25">
      <c r="A185" s="117"/>
      <c r="G185" s="84"/>
      <c r="H185" s="101">
        <v>180</v>
      </c>
      <c r="I185" s="102" t="str">
        <f t="shared" si="10"/>
        <v/>
      </c>
      <c r="J185" s="101" t="e">
        <f t="shared" si="13"/>
        <v>#NUM!</v>
      </c>
      <c r="K185" s="101" t="e">
        <f t="shared" si="11"/>
        <v>#NUM!</v>
      </c>
      <c r="L185" s="101"/>
      <c r="M185" s="103">
        <f t="shared" si="12"/>
        <v>0</v>
      </c>
    </row>
    <row r="186" spans="1:13" x14ac:dyDescent="0.25">
      <c r="A186" s="117"/>
      <c r="G186" s="84"/>
      <c r="H186" s="101">
        <v>181</v>
      </c>
      <c r="I186" s="102" t="str">
        <f t="shared" si="10"/>
        <v/>
      </c>
      <c r="J186" s="101" t="e">
        <f t="shared" si="13"/>
        <v>#NUM!</v>
      </c>
      <c r="K186" s="101" t="e">
        <f t="shared" si="11"/>
        <v>#NUM!</v>
      </c>
      <c r="L186" s="101"/>
      <c r="M186" s="103">
        <f t="shared" si="12"/>
        <v>0</v>
      </c>
    </row>
    <row r="187" spans="1:13" x14ac:dyDescent="0.25">
      <c r="A187" s="117"/>
      <c r="G187" s="84"/>
      <c r="H187" s="101">
        <v>182</v>
      </c>
      <c r="I187" s="102" t="str">
        <f t="shared" si="10"/>
        <v/>
      </c>
      <c r="J187" s="101" t="e">
        <f t="shared" si="13"/>
        <v>#NUM!</v>
      </c>
      <c r="K187" s="101" t="e">
        <f t="shared" si="11"/>
        <v>#NUM!</v>
      </c>
      <c r="L187" s="101"/>
      <c r="M187" s="103">
        <f t="shared" si="12"/>
        <v>0</v>
      </c>
    </row>
    <row r="188" spans="1:13" x14ac:dyDescent="0.25">
      <c r="A188" s="117"/>
      <c r="G188" s="84"/>
      <c r="H188" s="101">
        <v>183</v>
      </c>
      <c r="I188" s="102" t="str">
        <f t="shared" si="10"/>
        <v/>
      </c>
      <c r="J188" s="101" t="e">
        <f t="shared" si="13"/>
        <v>#NUM!</v>
      </c>
      <c r="K188" s="101" t="e">
        <f t="shared" si="11"/>
        <v>#NUM!</v>
      </c>
      <c r="L188" s="101"/>
      <c r="M188" s="103">
        <f t="shared" si="12"/>
        <v>0</v>
      </c>
    </row>
    <row r="189" spans="1:13" x14ac:dyDescent="0.25">
      <c r="A189" s="117"/>
      <c r="G189" s="84"/>
      <c r="H189" s="101">
        <v>184</v>
      </c>
      <c r="I189" s="102" t="str">
        <f t="shared" si="10"/>
        <v/>
      </c>
      <c r="J189" s="101" t="e">
        <f t="shared" si="13"/>
        <v>#NUM!</v>
      </c>
      <c r="K189" s="101" t="e">
        <f t="shared" si="11"/>
        <v>#NUM!</v>
      </c>
      <c r="L189" s="101"/>
      <c r="M189" s="103">
        <f t="shared" si="12"/>
        <v>0</v>
      </c>
    </row>
    <row r="190" spans="1:13" x14ac:dyDescent="0.25">
      <c r="A190" s="117"/>
      <c r="G190" s="84"/>
      <c r="H190" s="101">
        <v>185</v>
      </c>
      <c r="I190" s="102" t="str">
        <f t="shared" si="10"/>
        <v/>
      </c>
      <c r="J190" s="101" t="e">
        <f t="shared" si="13"/>
        <v>#NUM!</v>
      </c>
      <c r="K190" s="101" t="e">
        <f t="shared" si="11"/>
        <v>#NUM!</v>
      </c>
      <c r="L190" s="101"/>
      <c r="M190" s="103">
        <f t="shared" si="12"/>
        <v>0</v>
      </c>
    </row>
    <row r="191" spans="1:13" x14ac:dyDescent="0.25">
      <c r="A191" s="117"/>
      <c r="G191" s="84"/>
      <c r="H191" s="101">
        <v>186</v>
      </c>
      <c r="I191" s="102" t="str">
        <f t="shared" si="10"/>
        <v/>
      </c>
      <c r="J191" s="101" t="e">
        <f t="shared" si="13"/>
        <v>#NUM!</v>
      </c>
      <c r="K191" s="101" t="e">
        <f t="shared" si="11"/>
        <v>#NUM!</v>
      </c>
      <c r="L191" s="101"/>
      <c r="M191" s="103">
        <f t="shared" si="12"/>
        <v>0</v>
      </c>
    </row>
    <row r="192" spans="1:13" x14ac:dyDescent="0.25">
      <c r="A192" s="117"/>
      <c r="G192" s="84"/>
      <c r="H192" s="101">
        <v>187</v>
      </c>
      <c r="I192" s="102" t="str">
        <f t="shared" si="10"/>
        <v/>
      </c>
      <c r="J192" s="101" t="e">
        <f t="shared" si="13"/>
        <v>#NUM!</v>
      </c>
      <c r="K192" s="101" t="e">
        <f t="shared" si="11"/>
        <v>#NUM!</v>
      </c>
      <c r="L192" s="101"/>
      <c r="M192" s="103">
        <f t="shared" si="12"/>
        <v>0</v>
      </c>
    </row>
    <row r="193" spans="1:13" x14ac:dyDescent="0.25">
      <c r="A193" s="117"/>
      <c r="G193" s="84"/>
      <c r="H193" s="101">
        <v>188</v>
      </c>
      <c r="I193" s="102" t="str">
        <f t="shared" si="10"/>
        <v/>
      </c>
      <c r="J193" s="101" t="e">
        <f t="shared" si="13"/>
        <v>#NUM!</v>
      </c>
      <c r="K193" s="101" t="e">
        <f t="shared" si="11"/>
        <v>#NUM!</v>
      </c>
      <c r="L193" s="101"/>
      <c r="M193" s="103">
        <f t="shared" si="12"/>
        <v>0</v>
      </c>
    </row>
    <row r="194" spans="1:13" x14ac:dyDescent="0.25">
      <c r="A194" s="117"/>
      <c r="G194" s="84"/>
      <c r="H194" s="101">
        <v>189</v>
      </c>
      <c r="I194" s="102" t="str">
        <f t="shared" si="10"/>
        <v/>
      </c>
      <c r="J194" s="101" t="e">
        <f t="shared" si="13"/>
        <v>#NUM!</v>
      </c>
      <c r="K194" s="101" t="e">
        <f t="shared" si="11"/>
        <v>#NUM!</v>
      </c>
      <c r="L194" s="101"/>
      <c r="M194" s="103">
        <f t="shared" si="12"/>
        <v>0</v>
      </c>
    </row>
    <row r="195" spans="1:13" x14ac:dyDescent="0.25">
      <c r="A195" s="117"/>
      <c r="G195" s="84"/>
      <c r="H195" s="101">
        <v>190</v>
      </c>
      <c r="I195" s="102" t="str">
        <f t="shared" si="10"/>
        <v/>
      </c>
      <c r="J195" s="101" t="e">
        <f t="shared" si="13"/>
        <v>#NUM!</v>
      </c>
      <c r="K195" s="101" t="e">
        <f t="shared" si="11"/>
        <v>#NUM!</v>
      </c>
      <c r="L195" s="101"/>
      <c r="M195" s="103">
        <f t="shared" si="12"/>
        <v>0</v>
      </c>
    </row>
    <row r="196" spans="1:13" x14ac:dyDescent="0.25">
      <c r="A196" s="117"/>
      <c r="G196" s="84"/>
      <c r="H196" s="101">
        <v>191</v>
      </c>
      <c r="I196" s="102" t="str">
        <f t="shared" si="10"/>
        <v/>
      </c>
      <c r="J196" s="101" t="e">
        <f t="shared" si="13"/>
        <v>#NUM!</v>
      </c>
      <c r="K196" s="101" t="e">
        <f t="shared" si="11"/>
        <v>#NUM!</v>
      </c>
      <c r="L196" s="101"/>
      <c r="M196" s="103">
        <f t="shared" si="12"/>
        <v>0</v>
      </c>
    </row>
    <row r="197" spans="1:13" x14ac:dyDescent="0.25">
      <c r="A197" s="117"/>
      <c r="G197" s="84"/>
      <c r="H197" s="101">
        <v>192</v>
      </c>
      <c r="I197" s="102" t="str">
        <f t="shared" si="10"/>
        <v/>
      </c>
      <c r="J197" s="101" t="e">
        <f t="shared" si="13"/>
        <v>#NUM!</v>
      </c>
      <c r="K197" s="101" t="e">
        <f t="shared" si="11"/>
        <v>#NUM!</v>
      </c>
      <c r="L197" s="101"/>
      <c r="M197" s="103">
        <f t="shared" si="12"/>
        <v>0</v>
      </c>
    </row>
    <row r="198" spans="1:13" x14ac:dyDescent="0.25">
      <c r="A198" s="117"/>
      <c r="G198" s="84"/>
      <c r="H198" s="101">
        <v>193</v>
      </c>
      <c r="I198" s="102" t="str">
        <f t="shared" ref="I198:I261" si="14">IF(H198&lt;$H$2+1,($I$2-($I$2-1)*(LOG(H198)/LOG($H$2))),"")</f>
        <v/>
      </c>
      <c r="J198" s="101" t="e">
        <f t="shared" si="13"/>
        <v>#NUM!</v>
      </c>
      <c r="K198" s="101" t="e">
        <f t="shared" ref="K198:K261" si="15">J198*$J$2</f>
        <v>#NUM!</v>
      </c>
      <c r="L198" s="101"/>
      <c r="M198" s="103">
        <f t="shared" ref="M198:M261" si="16">IF(I198&lt;&gt;"",K198+I198+L198,0)</f>
        <v>0</v>
      </c>
    </row>
    <row r="199" spans="1:13" x14ac:dyDescent="0.25">
      <c r="A199" s="117"/>
      <c r="G199" s="84"/>
      <c r="H199" s="101">
        <v>194</v>
      </c>
      <c r="I199" s="102" t="str">
        <f t="shared" si="14"/>
        <v/>
      </c>
      <c r="J199" s="101" t="e">
        <f t="shared" ref="J199:J262" si="17">INT(LOG($H$2,2))-ROUNDUP(LOG(H199,2),0)+IF(OR($H$2=1,$H$2=2,$H$2=4,$H$2=8,$H$2=16,$H$2=32,$H$2=64,$H$2=128,$H$2=256),0,1)</f>
        <v>#NUM!</v>
      </c>
      <c r="K199" s="101" t="e">
        <f t="shared" si="15"/>
        <v>#NUM!</v>
      </c>
      <c r="L199" s="101"/>
      <c r="M199" s="103">
        <f t="shared" si="16"/>
        <v>0</v>
      </c>
    </row>
    <row r="200" spans="1:13" x14ac:dyDescent="0.25">
      <c r="A200" s="117"/>
      <c r="G200" s="84"/>
      <c r="H200" s="101">
        <v>195</v>
      </c>
      <c r="I200" s="102" t="str">
        <f t="shared" si="14"/>
        <v/>
      </c>
      <c r="J200" s="101" t="e">
        <f t="shared" si="17"/>
        <v>#NUM!</v>
      </c>
      <c r="K200" s="101" t="e">
        <f t="shared" si="15"/>
        <v>#NUM!</v>
      </c>
      <c r="L200" s="101"/>
      <c r="M200" s="103">
        <f t="shared" si="16"/>
        <v>0</v>
      </c>
    </row>
    <row r="201" spans="1:13" x14ac:dyDescent="0.25">
      <c r="A201" s="117"/>
      <c r="G201" s="84"/>
      <c r="H201" s="101">
        <v>196</v>
      </c>
      <c r="I201" s="102" t="str">
        <f t="shared" si="14"/>
        <v/>
      </c>
      <c r="J201" s="101" t="e">
        <f t="shared" si="17"/>
        <v>#NUM!</v>
      </c>
      <c r="K201" s="101" t="e">
        <f t="shared" si="15"/>
        <v>#NUM!</v>
      </c>
      <c r="L201" s="101"/>
      <c r="M201" s="103">
        <f t="shared" si="16"/>
        <v>0</v>
      </c>
    </row>
    <row r="202" spans="1:13" x14ac:dyDescent="0.25">
      <c r="A202" s="117"/>
      <c r="G202" s="84"/>
      <c r="H202" s="101">
        <v>197</v>
      </c>
      <c r="I202" s="102" t="str">
        <f t="shared" si="14"/>
        <v/>
      </c>
      <c r="J202" s="101" t="e">
        <f t="shared" si="17"/>
        <v>#NUM!</v>
      </c>
      <c r="K202" s="101" t="e">
        <f t="shared" si="15"/>
        <v>#NUM!</v>
      </c>
      <c r="L202" s="101"/>
      <c r="M202" s="103">
        <f t="shared" si="16"/>
        <v>0</v>
      </c>
    </row>
    <row r="203" spans="1:13" x14ac:dyDescent="0.25">
      <c r="A203" s="117"/>
      <c r="G203" s="84"/>
      <c r="H203" s="101">
        <v>198</v>
      </c>
      <c r="I203" s="102" t="str">
        <f t="shared" si="14"/>
        <v/>
      </c>
      <c r="J203" s="101" t="e">
        <f t="shared" si="17"/>
        <v>#NUM!</v>
      </c>
      <c r="K203" s="101" t="e">
        <f t="shared" si="15"/>
        <v>#NUM!</v>
      </c>
      <c r="L203" s="101"/>
      <c r="M203" s="103">
        <f t="shared" si="16"/>
        <v>0</v>
      </c>
    </row>
    <row r="204" spans="1:13" x14ac:dyDescent="0.25">
      <c r="A204" s="117"/>
      <c r="G204" s="84"/>
      <c r="H204" s="101">
        <v>199</v>
      </c>
      <c r="I204" s="102" t="str">
        <f t="shared" si="14"/>
        <v/>
      </c>
      <c r="J204" s="101" t="e">
        <f t="shared" si="17"/>
        <v>#NUM!</v>
      </c>
      <c r="K204" s="101" t="e">
        <f t="shared" si="15"/>
        <v>#NUM!</v>
      </c>
      <c r="L204" s="101"/>
      <c r="M204" s="103">
        <f t="shared" si="16"/>
        <v>0</v>
      </c>
    </row>
    <row r="205" spans="1:13" x14ac:dyDescent="0.25">
      <c r="A205" s="117"/>
      <c r="G205" s="84"/>
      <c r="H205" s="101">
        <v>200</v>
      </c>
      <c r="I205" s="102" t="str">
        <f t="shared" si="14"/>
        <v/>
      </c>
      <c r="J205" s="101" t="e">
        <f t="shared" si="17"/>
        <v>#NUM!</v>
      </c>
      <c r="K205" s="101" t="e">
        <f t="shared" si="15"/>
        <v>#NUM!</v>
      </c>
      <c r="L205" s="101"/>
      <c r="M205" s="103">
        <f t="shared" si="16"/>
        <v>0</v>
      </c>
    </row>
    <row r="206" spans="1:13" x14ac:dyDescent="0.25">
      <c r="A206" s="117"/>
      <c r="G206" s="84"/>
      <c r="H206" s="101">
        <v>201</v>
      </c>
      <c r="I206" s="102" t="str">
        <f t="shared" si="14"/>
        <v/>
      </c>
      <c r="J206" s="101" t="e">
        <f t="shared" si="17"/>
        <v>#NUM!</v>
      </c>
      <c r="K206" s="101" t="e">
        <f t="shared" si="15"/>
        <v>#NUM!</v>
      </c>
      <c r="L206" s="101"/>
      <c r="M206" s="103">
        <f t="shared" si="16"/>
        <v>0</v>
      </c>
    </row>
    <row r="207" spans="1:13" x14ac:dyDescent="0.25">
      <c r="A207" s="117"/>
      <c r="G207" s="84"/>
      <c r="H207" s="101">
        <v>202</v>
      </c>
      <c r="I207" s="102" t="str">
        <f t="shared" si="14"/>
        <v/>
      </c>
      <c r="J207" s="101" t="e">
        <f t="shared" si="17"/>
        <v>#NUM!</v>
      </c>
      <c r="K207" s="101" t="e">
        <f t="shared" si="15"/>
        <v>#NUM!</v>
      </c>
      <c r="L207" s="101"/>
      <c r="M207" s="103">
        <f t="shared" si="16"/>
        <v>0</v>
      </c>
    </row>
    <row r="208" spans="1:13" x14ac:dyDescent="0.25">
      <c r="A208" s="117"/>
      <c r="G208" s="84"/>
      <c r="H208" s="101">
        <v>203</v>
      </c>
      <c r="I208" s="102" t="str">
        <f t="shared" si="14"/>
        <v/>
      </c>
      <c r="J208" s="101" t="e">
        <f t="shared" si="17"/>
        <v>#NUM!</v>
      </c>
      <c r="K208" s="101" t="e">
        <f t="shared" si="15"/>
        <v>#NUM!</v>
      </c>
      <c r="L208" s="101"/>
      <c r="M208" s="103">
        <f t="shared" si="16"/>
        <v>0</v>
      </c>
    </row>
    <row r="209" spans="1:13" x14ac:dyDescent="0.25">
      <c r="A209" s="117"/>
      <c r="G209" s="84"/>
      <c r="H209" s="101">
        <v>204</v>
      </c>
      <c r="I209" s="102" t="str">
        <f t="shared" si="14"/>
        <v/>
      </c>
      <c r="J209" s="101" t="e">
        <f t="shared" si="17"/>
        <v>#NUM!</v>
      </c>
      <c r="K209" s="101" t="e">
        <f t="shared" si="15"/>
        <v>#NUM!</v>
      </c>
      <c r="L209" s="101"/>
      <c r="M209" s="103">
        <f t="shared" si="16"/>
        <v>0</v>
      </c>
    </row>
    <row r="210" spans="1:13" x14ac:dyDescent="0.25">
      <c r="A210" s="117"/>
      <c r="G210" s="84"/>
      <c r="H210" s="101">
        <v>205</v>
      </c>
      <c r="I210" s="102" t="str">
        <f t="shared" si="14"/>
        <v/>
      </c>
      <c r="J210" s="101" t="e">
        <f t="shared" si="17"/>
        <v>#NUM!</v>
      </c>
      <c r="K210" s="101" t="e">
        <f t="shared" si="15"/>
        <v>#NUM!</v>
      </c>
      <c r="L210" s="101"/>
      <c r="M210" s="103">
        <f t="shared" si="16"/>
        <v>0</v>
      </c>
    </row>
    <row r="211" spans="1:13" x14ac:dyDescent="0.25">
      <c r="A211" s="117"/>
      <c r="G211" s="84"/>
      <c r="H211" s="101">
        <v>206</v>
      </c>
      <c r="I211" s="102" t="str">
        <f t="shared" si="14"/>
        <v/>
      </c>
      <c r="J211" s="101" t="e">
        <f t="shared" si="17"/>
        <v>#NUM!</v>
      </c>
      <c r="K211" s="101" t="e">
        <f t="shared" si="15"/>
        <v>#NUM!</v>
      </c>
      <c r="L211" s="101"/>
      <c r="M211" s="103">
        <f t="shared" si="16"/>
        <v>0</v>
      </c>
    </row>
    <row r="212" spans="1:13" x14ac:dyDescent="0.25">
      <c r="A212" s="117"/>
      <c r="G212" s="84"/>
      <c r="H212" s="101">
        <v>207</v>
      </c>
      <c r="I212" s="102" t="str">
        <f t="shared" si="14"/>
        <v/>
      </c>
      <c r="J212" s="101" t="e">
        <f t="shared" si="17"/>
        <v>#NUM!</v>
      </c>
      <c r="K212" s="101" t="e">
        <f t="shared" si="15"/>
        <v>#NUM!</v>
      </c>
      <c r="L212" s="101"/>
      <c r="M212" s="103">
        <f t="shared" si="16"/>
        <v>0</v>
      </c>
    </row>
    <row r="213" spans="1:13" x14ac:dyDescent="0.25">
      <c r="A213" s="117"/>
      <c r="G213" s="84"/>
      <c r="H213" s="101">
        <v>208</v>
      </c>
      <c r="I213" s="102" t="str">
        <f t="shared" si="14"/>
        <v/>
      </c>
      <c r="J213" s="101" t="e">
        <f t="shared" si="17"/>
        <v>#NUM!</v>
      </c>
      <c r="K213" s="101" t="e">
        <f t="shared" si="15"/>
        <v>#NUM!</v>
      </c>
      <c r="L213" s="101"/>
      <c r="M213" s="103">
        <f t="shared" si="16"/>
        <v>0</v>
      </c>
    </row>
    <row r="214" spans="1:13" x14ac:dyDescent="0.25">
      <c r="A214" s="117"/>
      <c r="G214" s="84"/>
      <c r="H214" s="101">
        <v>209</v>
      </c>
      <c r="I214" s="102" t="str">
        <f t="shared" si="14"/>
        <v/>
      </c>
      <c r="J214" s="101" t="e">
        <f t="shared" si="17"/>
        <v>#NUM!</v>
      </c>
      <c r="K214" s="101" t="e">
        <f t="shared" si="15"/>
        <v>#NUM!</v>
      </c>
      <c r="L214" s="101"/>
      <c r="M214" s="103">
        <f t="shared" si="16"/>
        <v>0</v>
      </c>
    </row>
    <row r="215" spans="1:13" x14ac:dyDescent="0.25">
      <c r="A215" s="117"/>
      <c r="G215" s="84"/>
      <c r="H215" s="101">
        <v>210</v>
      </c>
      <c r="I215" s="102" t="str">
        <f t="shared" si="14"/>
        <v/>
      </c>
      <c r="J215" s="101" t="e">
        <f t="shared" si="17"/>
        <v>#NUM!</v>
      </c>
      <c r="K215" s="101" t="e">
        <f t="shared" si="15"/>
        <v>#NUM!</v>
      </c>
      <c r="L215" s="101"/>
      <c r="M215" s="103">
        <f t="shared" si="16"/>
        <v>0</v>
      </c>
    </row>
    <row r="216" spans="1:13" x14ac:dyDescent="0.25">
      <c r="A216" s="117"/>
      <c r="G216" s="84"/>
      <c r="H216" s="101">
        <v>211</v>
      </c>
      <c r="I216" s="102" t="str">
        <f t="shared" si="14"/>
        <v/>
      </c>
      <c r="J216" s="101" t="e">
        <f t="shared" si="17"/>
        <v>#NUM!</v>
      </c>
      <c r="K216" s="101" t="e">
        <f t="shared" si="15"/>
        <v>#NUM!</v>
      </c>
      <c r="L216" s="101"/>
      <c r="M216" s="103">
        <f t="shared" si="16"/>
        <v>0</v>
      </c>
    </row>
    <row r="217" spans="1:13" x14ac:dyDescent="0.25">
      <c r="A217" s="117"/>
      <c r="G217" s="84"/>
      <c r="H217" s="101">
        <v>212</v>
      </c>
      <c r="I217" s="102" t="str">
        <f t="shared" si="14"/>
        <v/>
      </c>
      <c r="J217" s="101" t="e">
        <f t="shared" si="17"/>
        <v>#NUM!</v>
      </c>
      <c r="K217" s="101" t="e">
        <f t="shared" si="15"/>
        <v>#NUM!</v>
      </c>
      <c r="L217" s="101"/>
      <c r="M217" s="103">
        <f t="shared" si="16"/>
        <v>0</v>
      </c>
    </row>
    <row r="218" spans="1:13" x14ac:dyDescent="0.25">
      <c r="A218" s="117"/>
      <c r="G218" s="84"/>
      <c r="H218" s="101">
        <v>213</v>
      </c>
      <c r="I218" s="102" t="str">
        <f t="shared" si="14"/>
        <v/>
      </c>
      <c r="J218" s="101" t="e">
        <f t="shared" si="17"/>
        <v>#NUM!</v>
      </c>
      <c r="K218" s="101" t="e">
        <f t="shared" si="15"/>
        <v>#NUM!</v>
      </c>
      <c r="L218" s="101"/>
      <c r="M218" s="103">
        <f t="shared" si="16"/>
        <v>0</v>
      </c>
    </row>
    <row r="219" spans="1:13" x14ac:dyDescent="0.25">
      <c r="A219" s="117"/>
      <c r="G219" s="84"/>
      <c r="H219" s="101">
        <v>214</v>
      </c>
      <c r="I219" s="102" t="str">
        <f t="shared" si="14"/>
        <v/>
      </c>
      <c r="J219" s="101" t="e">
        <f t="shared" si="17"/>
        <v>#NUM!</v>
      </c>
      <c r="K219" s="101" t="e">
        <f t="shared" si="15"/>
        <v>#NUM!</v>
      </c>
      <c r="L219" s="101"/>
      <c r="M219" s="103">
        <f t="shared" si="16"/>
        <v>0</v>
      </c>
    </row>
    <row r="220" spans="1:13" x14ac:dyDescent="0.25">
      <c r="A220" s="117"/>
      <c r="G220" s="84"/>
      <c r="H220" s="101">
        <v>215</v>
      </c>
      <c r="I220" s="102" t="str">
        <f t="shared" si="14"/>
        <v/>
      </c>
      <c r="J220" s="101" t="e">
        <f t="shared" si="17"/>
        <v>#NUM!</v>
      </c>
      <c r="K220" s="101" t="e">
        <f t="shared" si="15"/>
        <v>#NUM!</v>
      </c>
      <c r="L220" s="101"/>
      <c r="M220" s="103">
        <f t="shared" si="16"/>
        <v>0</v>
      </c>
    </row>
    <row r="221" spans="1:13" x14ac:dyDescent="0.25">
      <c r="A221" s="117"/>
      <c r="G221" s="84"/>
      <c r="H221" s="101">
        <v>216</v>
      </c>
      <c r="I221" s="102" t="str">
        <f t="shared" si="14"/>
        <v/>
      </c>
      <c r="J221" s="101" t="e">
        <f t="shared" si="17"/>
        <v>#NUM!</v>
      </c>
      <c r="K221" s="101" t="e">
        <f t="shared" si="15"/>
        <v>#NUM!</v>
      </c>
      <c r="L221" s="101"/>
      <c r="M221" s="103">
        <f t="shared" si="16"/>
        <v>0</v>
      </c>
    </row>
    <row r="222" spans="1:13" x14ac:dyDescent="0.25">
      <c r="A222" s="117"/>
      <c r="G222" s="84"/>
      <c r="H222" s="101">
        <v>217</v>
      </c>
      <c r="I222" s="102" t="str">
        <f t="shared" si="14"/>
        <v/>
      </c>
      <c r="J222" s="101" t="e">
        <f t="shared" si="17"/>
        <v>#NUM!</v>
      </c>
      <c r="K222" s="101" t="e">
        <f t="shared" si="15"/>
        <v>#NUM!</v>
      </c>
      <c r="L222" s="101"/>
      <c r="M222" s="103">
        <f t="shared" si="16"/>
        <v>0</v>
      </c>
    </row>
    <row r="223" spans="1:13" x14ac:dyDescent="0.25">
      <c r="A223" s="117"/>
      <c r="G223" s="84"/>
      <c r="H223" s="101">
        <v>218</v>
      </c>
      <c r="I223" s="102" t="str">
        <f t="shared" si="14"/>
        <v/>
      </c>
      <c r="J223" s="101" t="e">
        <f t="shared" si="17"/>
        <v>#NUM!</v>
      </c>
      <c r="K223" s="101" t="e">
        <f t="shared" si="15"/>
        <v>#NUM!</v>
      </c>
      <c r="L223" s="101"/>
      <c r="M223" s="103">
        <f t="shared" si="16"/>
        <v>0</v>
      </c>
    </row>
    <row r="224" spans="1:13" x14ac:dyDescent="0.25">
      <c r="A224" s="117"/>
      <c r="G224" s="84"/>
      <c r="H224" s="101">
        <v>219</v>
      </c>
      <c r="I224" s="102" t="str">
        <f t="shared" si="14"/>
        <v/>
      </c>
      <c r="J224" s="101" t="e">
        <f t="shared" si="17"/>
        <v>#NUM!</v>
      </c>
      <c r="K224" s="101" t="e">
        <f t="shared" si="15"/>
        <v>#NUM!</v>
      </c>
      <c r="L224" s="101"/>
      <c r="M224" s="103">
        <f t="shared" si="16"/>
        <v>0</v>
      </c>
    </row>
    <row r="225" spans="1:13" x14ac:dyDescent="0.25">
      <c r="A225" s="117"/>
      <c r="G225" s="84"/>
      <c r="H225" s="101">
        <v>220</v>
      </c>
      <c r="I225" s="102" t="str">
        <f t="shared" si="14"/>
        <v/>
      </c>
      <c r="J225" s="101" t="e">
        <f t="shared" si="17"/>
        <v>#NUM!</v>
      </c>
      <c r="K225" s="101" t="e">
        <f t="shared" si="15"/>
        <v>#NUM!</v>
      </c>
      <c r="L225" s="101"/>
      <c r="M225" s="103">
        <f t="shared" si="16"/>
        <v>0</v>
      </c>
    </row>
    <row r="226" spans="1:13" x14ac:dyDescent="0.25">
      <c r="A226" s="117"/>
      <c r="G226" s="84"/>
      <c r="H226" s="101">
        <v>221</v>
      </c>
      <c r="I226" s="102" t="str">
        <f t="shared" si="14"/>
        <v/>
      </c>
      <c r="J226" s="101" t="e">
        <f t="shared" si="17"/>
        <v>#NUM!</v>
      </c>
      <c r="K226" s="101" t="e">
        <f t="shared" si="15"/>
        <v>#NUM!</v>
      </c>
      <c r="L226" s="101"/>
      <c r="M226" s="103">
        <f t="shared" si="16"/>
        <v>0</v>
      </c>
    </row>
    <row r="227" spans="1:13" x14ac:dyDescent="0.25">
      <c r="A227" s="117"/>
      <c r="G227" s="84"/>
      <c r="H227" s="101">
        <v>222</v>
      </c>
      <c r="I227" s="102" t="str">
        <f t="shared" si="14"/>
        <v/>
      </c>
      <c r="J227" s="101" t="e">
        <f t="shared" si="17"/>
        <v>#NUM!</v>
      </c>
      <c r="K227" s="101" t="e">
        <f t="shared" si="15"/>
        <v>#NUM!</v>
      </c>
      <c r="L227" s="101"/>
      <c r="M227" s="103">
        <f t="shared" si="16"/>
        <v>0</v>
      </c>
    </row>
    <row r="228" spans="1:13" x14ac:dyDescent="0.25">
      <c r="A228" s="117"/>
      <c r="G228" s="84"/>
      <c r="H228" s="101">
        <v>223</v>
      </c>
      <c r="I228" s="102" t="str">
        <f t="shared" si="14"/>
        <v/>
      </c>
      <c r="J228" s="101" t="e">
        <f t="shared" si="17"/>
        <v>#NUM!</v>
      </c>
      <c r="K228" s="101" t="e">
        <f t="shared" si="15"/>
        <v>#NUM!</v>
      </c>
      <c r="L228" s="101"/>
      <c r="M228" s="103">
        <f t="shared" si="16"/>
        <v>0</v>
      </c>
    </row>
    <row r="229" spans="1:13" x14ac:dyDescent="0.25">
      <c r="A229" s="117"/>
      <c r="G229" s="84"/>
      <c r="H229" s="101">
        <v>224</v>
      </c>
      <c r="I229" s="102" t="str">
        <f t="shared" si="14"/>
        <v/>
      </c>
      <c r="J229" s="101" t="e">
        <f t="shared" si="17"/>
        <v>#NUM!</v>
      </c>
      <c r="K229" s="101" t="e">
        <f t="shared" si="15"/>
        <v>#NUM!</v>
      </c>
      <c r="L229" s="101"/>
      <c r="M229" s="103">
        <f t="shared" si="16"/>
        <v>0</v>
      </c>
    </row>
    <row r="230" spans="1:13" x14ac:dyDescent="0.25">
      <c r="A230" s="117"/>
      <c r="G230" s="84"/>
      <c r="H230" s="101">
        <v>225</v>
      </c>
      <c r="I230" s="102" t="str">
        <f t="shared" si="14"/>
        <v/>
      </c>
      <c r="J230" s="101" t="e">
        <f t="shared" si="17"/>
        <v>#NUM!</v>
      </c>
      <c r="K230" s="101" t="e">
        <f t="shared" si="15"/>
        <v>#NUM!</v>
      </c>
      <c r="L230" s="101"/>
      <c r="M230" s="103">
        <f t="shared" si="16"/>
        <v>0</v>
      </c>
    </row>
    <row r="231" spans="1:13" x14ac:dyDescent="0.25">
      <c r="A231" s="117"/>
      <c r="G231" s="84"/>
      <c r="H231" s="101">
        <v>226</v>
      </c>
      <c r="I231" s="102" t="str">
        <f t="shared" si="14"/>
        <v/>
      </c>
      <c r="J231" s="101" t="e">
        <f t="shared" si="17"/>
        <v>#NUM!</v>
      </c>
      <c r="K231" s="101" t="e">
        <f t="shared" si="15"/>
        <v>#NUM!</v>
      </c>
      <c r="L231" s="101"/>
      <c r="M231" s="103">
        <f t="shared" si="16"/>
        <v>0</v>
      </c>
    </row>
    <row r="232" spans="1:13" x14ac:dyDescent="0.25">
      <c r="A232" s="117"/>
      <c r="G232" s="84"/>
      <c r="H232" s="101">
        <v>227</v>
      </c>
      <c r="I232" s="102" t="str">
        <f t="shared" si="14"/>
        <v/>
      </c>
      <c r="J232" s="101" t="e">
        <f t="shared" si="17"/>
        <v>#NUM!</v>
      </c>
      <c r="K232" s="101" t="e">
        <f t="shared" si="15"/>
        <v>#NUM!</v>
      </c>
      <c r="L232" s="101"/>
      <c r="M232" s="103">
        <f t="shared" si="16"/>
        <v>0</v>
      </c>
    </row>
    <row r="233" spans="1:13" x14ac:dyDescent="0.25">
      <c r="A233" s="117"/>
      <c r="G233" s="84"/>
      <c r="H233" s="101">
        <v>228</v>
      </c>
      <c r="I233" s="102" t="str">
        <f t="shared" si="14"/>
        <v/>
      </c>
      <c r="J233" s="101" t="e">
        <f t="shared" si="17"/>
        <v>#NUM!</v>
      </c>
      <c r="K233" s="101" t="e">
        <f t="shared" si="15"/>
        <v>#NUM!</v>
      </c>
      <c r="L233" s="101"/>
      <c r="M233" s="103">
        <f t="shared" si="16"/>
        <v>0</v>
      </c>
    </row>
    <row r="234" spans="1:13" x14ac:dyDescent="0.25">
      <c r="A234" s="117"/>
      <c r="G234" s="84"/>
      <c r="H234" s="101">
        <v>229</v>
      </c>
      <c r="I234" s="102" t="str">
        <f t="shared" si="14"/>
        <v/>
      </c>
      <c r="J234" s="101" t="e">
        <f t="shared" si="17"/>
        <v>#NUM!</v>
      </c>
      <c r="K234" s="101" t="e">
        <f t="shared" si="15"/>
        <v>#NUM!</v>
      </c>
      <c r="L234" s="101"/>
      <c r="M234" s="103">
        <f t="shared" si="16"/>
        <v>0</v>
      </c>
    </row>
    <row r="235" spans="1:13" x14ac:dyDescent="0.25">
      <c r="A235" s="117"/>
      <c r="G235" s="84"/>
      <c r="H235" s="101">
        <v>230</v>
      </c>
      <c r="I235" s="102" t="str">
        <f t="shared" si="14"/>
        <v/>
      </c>
      <c r="J235" s="101" t="e">
        <f t="shared" si="17"/>
        <v>#NUM!</v>
      </c>
      <c r="K235" s="101" t="e">
        <f t="shared" si="15"/>
        <v>#NUM!</v>
      </c>
      <c r="L235" s="101"/>
      <c r="M235" s="103">
        <f t="shared" si="16"/>
        <v>0</v>
      </c>
    </row>
    <row r="236" spans="1:13" x14ac:dyDescent="0.25">
      <c r="A236" s="117"/>
      <c r="G236" s="84"/>
      <c r="H236" s="101">
        <v>231</v>
      </c>
      <c r="I236" s="102" t="str">
        <f t="shared" si="14"/>
        <v/>
      </c>
      <c r="J236" s="101" t="e">
        <f t="shared" si="17"/>
        <v>#NUM!</v>
      </c>
      <c r="K236" s="101" t="e">
        <f t="shared" si="15"/>
        <v>#NUM!</v>
      </c>
      <c r="L236" s="101"/>
      <c r="M236" s="103">
        <f t="shared" si="16"/>
        <v>0</v>
      </c>
    </row>
    <row r="237" spans="1:13" x14ac:dyDescent="0.25">
      <c r="A237" s="117"/>
      <c r="G237" s="84"/>
      <c r="H237" s="101">
        <v>232</v>
      </c>
      <c r="I237" s="102" t="str">
        <f t="shared" si="14"/>
        <v/>
      </c>
      <c r="J237" s="101" t="e">
        <f t="shared" si="17"/>
        <v>#NUM!</v>
      </c>
      <c r="K237" s="101" t="e">
        <f t="shared" si="15"/>
        <v>#NUM!</v>
      </c>
      <c r="L237" s="101"/>
      <c r="M237" s="103">
        <f t="shared" si="16"/>
        <v>0</v>
      </c>
    </row>
    <row r="238" spans="1:13" x14ac:dyDescent="0.25">
      <c r="A238" s="117"/>
      <c r="G238" s="84"/>
      <c r="H238" s="101">
        <v>233</v>
      </c>
      <c r="I238" s="102" t="str">
        <f t="shared" si="14"/>
        <v/>
      </c>
      <c r="J238" s="101" t="e">
        <f t="shared" si="17"/>
        <v>#NUM!</v>
      </c>
      <c r="K238" s="101" t="e">
        <f t="shared" si="15"/>
        <v>#NUM!</v>
      </c>
      <c r="L238" s="101"/>
      <c r="M238" s="103">
        <f t="shared" si="16"/>
        <v>0</v>
      </c>
    </row>
    <row r="239" spans="1:13" x14ac:dyDescent="0.25">
      <c r="A239" s="117"/>
      <c r="G239" s="84"/>
      <c r="H239" s="101">
        <v>234</v>
      </c>
      <c r="I239" s="102" t="str">
        <f t="shared" si="14"/>
        <v/>
      </c>
      <c r="J239" s="101" t="e">
        <f t="shared" si="17"/>
        <v>#NUM!</v>
      </c>
      <c r="K239" s="101" t="e">
        <f t="shared" si="15"/>
        <v>#NUM!</v>
      </c>
      <c r="L239" s="101"/>
      <c r="M239" s="103">
        <f t="shared" si="16"/>
        <v>0</v>
      </c>
    </row>
    <row r="240" spans="1:13" x14ac:dyDescent="0.25">
      <c r="A240" s="117"/>
      <c r="G240" s="84"/>
      <c r="H240" s="101">
        <v>235</v>
      </c>
      <c r="I240" s="102" t="str">
        <f t="shared" si="14"/>
        <v/>
      </c>
      <c r="J240" s="101" t="e">
        <f t="shared" si="17"/>
        <v>#NUM!</v>
      </c>
      <c r="K240" s="101" t="e">
        <f t="shared" si="15"/>
        <v>#NUM!</v>
      </c>
      <c r="L240" s="101"/>
      <c r="M240" s="103">
        <f t="shared" si="16"/>
        <v>0</v>
      </c>
    </row>
    <row r="241" spans="1:13" x14ac:dyDescent="0.25">
      <c r="A241" s="117"/>
      <c r="G241" s="84"/>
      <c r="H241" s="101">
        <v>236</v>
      </c>
      <c r="I241" s="102" t="str">
        <f t="shared" si="14"/>
        <v/>
      </c>
      <c r="J241" s="101" t="e">
        <f t="shared" si="17"/>
        <v>#NUM!</v>
      </c>
      <c r="K241" s="101" t="e">
        <f t="shared" si="15"/>
        <v>#NUM!</v>
      </c>
      <c r="L241" s="101"/>
      <c r="M241" s="103">
        <f t="shared" si="16"/>
        <v>0</v>
      </c>
    </row>
    <row r="242" spans="1:13" x14ac:dyDescent="0.25">
      <c r="A242" s="117"/>
      <c r="G242" s="84"/>
      <c r="H242" s="101">
        <v>237</v>
      </c>
      <c r="I242" s="102" t="str">
        <f t="shared" si="14"/>
        <v/>
      </c>
      <c r="J242" s="101" t="e">
        <f t="shared" si="17"/>
        <v>#NUM!</v>
      </c>
      <c r="K242" s="101" t="e">
        <f t="shared" si="15"/>
        <v>#NUM!</v>
      </c>
      <c r="L242" s="101"/>
      <c r="M242" s="103">
        <f t="shared" si="16"/>
        <v>0</v>
      </c>
    </row>
    <row r="243" spans="1:13" x14ac:dyDescent="0.25">
      <c r="A243" s="117"/>
      <c r="G243" s="84"/>
      <c r="H243" s="101">
        <v>238</v>
      </c>
      <c r="I243" s="102" t="str">
        <f t="shared" si="14"/>
        <v/>
      </c>
      <c r="J243" s="101" t="e">
        <f t="shared" si="17"/>
        <v>#NUM!</v>
      </c>
      <c r="K243" s="101" t="e">
        <f t="shared" si="15"/>
        <v>#NUM!</v>
      </c>
      <c r="L243" s="101"/>
      <c r="M243" s="103">
        <f t="shared" si="16"/>
        <v>0</v>
      </c>
    </row>
    <row r="244" spans="1:13" x14ac:dyDescent="0.25">
      <c r="A244" s="117"/>
      <c r="G244" s="84"/>
      <c r="H244" s="101">
        <v>239</v>
      </c>
      <c r="I244" s="102" t="str">
        <f t="shared" si="14"/>
        <v/>
      </c>
      <c r="J244" s="101" t="e">
        <f t="shared" si="17"/>
        <v>#NUM!</v>
      </c>
      <c r="K244" s="101" t="e">
        <f t="shared" si="15"/>
        <v>#NUM!</v>
      </c>
      <c r="L244" s="101"/>
      <c r="M244" s="103">
        <f t="shared" si="16"/>
        <v>0</v>
      </c>
    </row>
    <row r="245" spans="1:13" x14ac:dyDescent="0.25">
      <c r="A245" s="117"/>
      <c r="G245" s="84"/>
      <c r="H245" s="101">
        <v>240</v>
      </c>
      <c r="I245" s="102" t="str">
        <f t="shared" si="14"/>
        <v/>
      </c>
      <c r="J245" s="101" t="e">
        <f t="shared" si="17"/>
        <v>#NUM!</v>
      </c>
      <c r="K245" s="101" t="e">
        <f t="shared" si="15"/>
        <v>#NUM!</v>
      </c>
      <c r="L245" s="101"/>
      <c r="M245" s="103">
        <f t="shared" si="16"/>
        <v>0</v>
      </c>
    </row>
    <row r="246" spans="1:13" x14ac:dyDescent="0.25">
      <c r="A246" s="117"/>
      <c r="G246" s="84"/>
      <c r="H246" s="101">
        <v>241</v>
      </c>
      <c r="I246" s="102" t="str">
        <f t="shared" si="14"/>
        <v/>
      </c>
      <c r="J246" s="101" t="e">
        <f t="shared" si="17"/>
        <v>#NUM!</v>
      </c>
      <c r="K246" s="101" t="e">
        <f t="shared" si="15"/>
        <v>#NUM!</v>
      </c>
      <c r="L246" s="101"/>
      <c r="M246" s="103">
        <f t="shared" si="16"/>
        <v>0</v>
      </c>
    </row>
    <row r="247" spans="1:13" x14ac:dyDescent="0.25">
      <c r="A247" s="117"/>
      <c r="G247" s="84"/>
      <c r="H247" s="101">
        <v>242</v>
      </c>
      <c r="I247" s="102" t="str">
        <f t="shared" si="14"/>
        <v/>
      </c>
      <c r="J247" s="101" t="e">
        <f t="shared" si="17"/>
        <v>#NUM!</v>
      </c>
      <c r="K247" s="101" t="e">
        <f t="shared" si="15"/>
        <v>#NUM!</v>
      </c>
      <c r="L247" s="101"/>
      <c r="M247" s="103">
        <f t="shared" si="16"/>
        <v>0</v>
      </c>
    </row>
    <row r="248" spans="1:13" x14ac:dyDescent="0.25">
      <c r="A248" s="117"/>
      <c r="G248" s="84"/>
      <c r="H248" s="101">
        <v>243</v>
      </c>
      <c r="I248" s="102" t="str">
        <f t="shared" si="14"/>
        <v/>
      </c>
      <c r="J248" s="101" t="e">
        <f t="shared" si="17"/>
        <v>#NUM!</v>
      </c>
      <c r="K248" s="101" t="e">
        <f t="shared" si="15"/>
        <v>#NUM!</v>
      </c>
      <c r="L248" s="101"/>
      <c r="M248" s="103">
        <f t="shared" si="16"/>
        <v>0</v>
      </c>
    </row>
    <row r="249" spans="1:13" x14ac:dyDescent="0.25">
      <c r="A249" s="117"/>
      <c r="G249" s="84"/>
      <c r="H249" s="101">
        <v>244</v>
      </c>
      <c r="I249" s="102" t="str">
        <f t="shared" si="14"/>
        <v/>
      </c>
      <c r="J249" s="101" t="e">
        <f t="shared" si="17"/>
        <v>#NUM!</v>
      </c>
      <c r="K249" s="101" t="e">
        <f t="shared" si="15"/>
        <v>#NUM!</v>
      </c>
      <c r="L249" s="101"/>
      <c r="M249" s="103">
        <f t="shared" si="16"/>
        <v>0</v>
      </c>
    </row>
    <row r="250" spans="1:13" x14ac:dyDescent="0.25">
      <c r="A250" s="117"/>
      <c r="G250" s="84"/>
      <c r="H250" s="101">
        <v>245</v>
      </c>
      <c r="I250" s="102" t="str">
        <f t="shared" si="14"/>
        <v/>
      </c>
      <c r="J250" s="101" t="e">
        <f t="shared" si="17"/>
        <v>#NUM!</v>
      </c>
      <c r="K250" s="101" t="e">
        <f t="shared" si="15"/>
        <v>#NUM!</v>
      </c>
      <c r="L250" s="101"/>
      <c r="M250" s="103">
        <f t="shared" si="16"/>
        <v>0</v>
      </c>
    </row>
    <row r="251" spans="1:13" x14ac:dyDescent="0.25">
      <c r="A251" s="117"/>
      <c r="G251" s="84"/>
      <c r="H251" s="101">
        <v>246</v>
      </c>
      <c r="I251" s="102" t="str">
        <f t="shared" si="14"/>
        <v/>
      </c>
      <c r="J251" s="101" t="e">
        <f t="shared" si="17"/>
        <v>#NUM!</v>
      </c>
      <c r="K251" s="101" t="e">
        <f t="shared" si="15"/>
        <v>#NUM!</v>
      </c>
      <c r="L251" s="101"/>
      <c r="M251" s="103">
        <f t="shared" si="16"/>
        <v>0</v>
      </c>
    </row>
    <row r="252" spans="1:13" x14ac:dyDescent="0.25">
      <c r="A252" s="117"/>
      <c r="G252" s="84"/>
      <c r="H252" s="101">
        <v>247</v>
      </c>
      <c r="I252" s="102" t="str">
        <f t="shared" si="14"/>
        <v/>
      </c>
      <c r="J252" s="101" t="e">
        <f t="shared" si="17"/>
        <v>#NUM!</v>
      </c>
      <c r="K252" s="101" t="e">
        <f t="shared" si="15"/>
        <v>#NUM!</v>
      </c>
      <c r="L252" s="101"/>
      <c r="M252" s="103">
        <f t="shared" si="16"/>
        <v>0</v>
      </c>
    </row>
    <row r="253" spans="1:13" x14ac:dyDescent="0.25">
      <c r="A253" s="117"/>
      <c r="G253" s="84"/>
      <c r="H253" s="101">
        <v>248</v>
      </c>
      <c r="I253" s="102" t="str">
        <f t="shared" si="14"/>
        <v/>
      </c>
      <c r="J253" s="101" t="e">
        <f t="shared" si="17"/>
        <v>#NUM!</v>
      </c>
      <c r="K253" s="101" t="e">
        <f t="shared" si="15"/>
        <v>#NUM!</v>
      </c>
      <c r="L253" s="101"/>
      <c r="M253" s="103">
        <f t="shared" si="16"/>
        <v>0</v>
      </c>
    </row>
    <row r="254" spans="1:13" x14ac:dyDescent="0.25">
      <c r="A254" s="117"/>
      <c r="G254" s="84"/>
      <c r="H254" s="101">
        <v>249</v>
      </c>
      <c r="I254" s="102" t="str">
        <f t="shared" si="14"/>
        <v/>
      </c>
      <c r="J254" s="101" t="e">
        <f t="shared" si="17"/>
        <v>#NUM!</v>
      </c>
      <c r="K254" s="101" t="e">
        <f t="shared" si="15"/>
        <v>#NUM!</v>
      </c>
      <c r="L254" s="101"/>
      <c r="M254" s="103">
        <f t="shared" si="16"/>
        <v>0</v>
      </c>
    </row>
    <row r="255" spans="1:13" x14ac:dyDescent="0.25">
      <c r="A255" s="117"/>
      <c r="G255" s="84"/>
      <c r="H255" s="101">
        <v>250</v>
      </c>
      <c r="I255" s="102" t="str">
        <f t="shared" si="14"/>
        <v/>
      </c>
      <c r="J255" s="101" t="e">
        <f t="shared" si="17"/>
        <v>#NUM!</v>
      </c>
      <c r="K255" s="101" t="e">
        <f t="shared" si="15"/>
        <v>#NUM!</v>
      </c>
      <c r="L255" s="101"/>
      <c r="M255" s="103">
        <f t="shared" si="16"/>
        <v>0</v>
      </c>
    </row>
    <row r="256" spans="1:13" x14ac:dyDescent="0.25">
      <c r="A256" s="117"/>
      <c r="G256" s="84"/>
      <c r="H256" s="101">
        <v>251</v>
      </c>
      <c r="I256" s="102" t="str">
        <f t="shared" si="14"/>
        <v/>
      </c>
      <c r="J256" s="101" t="e">
        <f t="shared" si="17"/>
        <v>#NUM!</v>
      </c>
      <c r="K256" s="101" t="e">
        <f t="shared" si="15"/>
        <v>#NUM!</v>
      </c>
      <c r="L256" s="101"/>
      <c r="M256" s="103">
        <f t="shared" si="16"/>
        <v>0</v>
      </c>
    </row>
    <row r="257" spans="1:13" x14ac:dyDescent="0.25">
      <c r="A257" s="117"/>
      <c r="G257" s="84"/>
      <c r="H257" s="101">
        <v>252</v>
      </c>
      <c r="I257" s="102" t="str">
        <f t="shared" si="14"/>
        <v/>
      </c>
      <c r="J257" s="101" t="e">
        <f t="shared" si="17"/>
        <v>#NUM!</v>
      </c>
      <c r="K257" s="101" t="e">
        <f t="shared" si="15"/>
        <v>#NUM!</v>
      </c>
      <c r="L257" s="101"/>
      <c r="M257" s="103">
        <f t="shared" si="16"/>
        <v>0</v>
      </c>
    </row>
    <row r="258" spans="1:13" x14ac:dyDescent="0.25">
      <c r="A258" s="117"/>
      <c r="G258" s="84"/>
      <c r="H258" s="101">
        <v>253</v>
      </c>
      <c r="I258" s="102" t="str">
        <f t="shared" si="14"/>
        <v/>
      </c>
      <c r="J258" s="101" t="e">
        <f t="shared" si="17"/>
        <v>#NUM!</v>
      </c>
      <c r="K258" s="101" t="e">
        <f t="shared" si="15"/>
        <v>#NUM!</v>
      </c>
      <c r="L258" s="101"/>
      <c r="M258" s="103">
        <f t="shared" si="16"/>
        <v>0</v>
      </c>
    </row>
    <row r="259" spans="1:13" x14ac:dyDescent="0.25">
      <c r="A259" s="117"/>
      <c r="G259" s="84"/>
      <c r="H259" s="101">
        <v>254</v>
      </c>
      <c r="I259" s="102" t="str">
        <f t="shared" si="14"/>
        <v/>
      </c>
      <c r="J259" s="101" t="e">
        <f t="shared" si="17"/>
        <v>#NUM!</v>
      </c>
      <c r="K259" s="101" t="e">
        <f t="shared" si="15"/>
        <v>#NUM!</v>
      </c>
      <c r="L259" s="101"/>
      <c r="M259" s="103">
        <f t="shared" si="16"/>
        <v>0</v>
      </c>
    </row>
    <row r="260" spans="1:13" x14ac:dyDescent="0.25">
      <c r="A260" s="117"/>
      <c r="G260" s="84"/>
      <c r="H260" s="101">
        <v>255</v>
      </c>
      <c r="I260" s="102" t="str">
        <f t="shared" si="14"/>
        <v/>
      </c>
      <c r="J260" s="101" t="e">
        <f t="shared" si="17"/>
        <v>#NUM!</v>
      </c>
      <c r="K260" s="101" t="e">
        <f t="shared" si="15"/>
        <v>#NUM!</v>
      </c>
      <c r="L260" s="101"/>
      <c r="M260" s="103">
        <f t="shared" si="16"/>
        <v>0</v>
      </c>
    </row>
    <row r="261" spans="1:13" x14ac:dyDescent="0.25">
      <c r="A261" s="117"/>
      <c r="G261" s="84"/>
      <c r="H261" s="101">
        <v>256</v>
      </c>
      <c r="I261" s="102" t="str">
        <f t="shared" si="14"/>
        <v/>
      </c>
      <c r="J261" s="101" t="e">
        <f t="shared" si="17"/>
        <v>#NUM!</v>
      </c>
      <c r="K261" s="101" t="e">
        <f t="shared" si="15"/>
        <v>#NUM!</v>
      </c>
      <c r="L261" s="101"/>
      <c r="M261" s="103">
        <f t="shared" si="16"/>
        <v>0</v>
      </c>
    </row>
    <row r="262" spans="1:13" x14ac:dyDescent="0.25">
      <c r="A262" s="117"/>
      <c r="G262" s="84"/>
      <c r="H262" s="101">
        <v>257</v>
      </c>
      <c r="I262" s="102" t="str">
        <f t="shared" ref="I262:I305" si="18">IF(H262&lt;$H$2+1,($I$2-($I$2-1)*(LOG(H262)/LOG($H$2))),"")</f>
        <v/>
      </c>
      <c r="J262" s="101" t="e">
        <f t="shared" si="17"/>
        <v>#NUM!</v>
      </c>
      <c r="K262" s="101" t="e">
        <f t="shared" ref="K262:K305" si="19">J262*$J$2</f>
        <v>#NUM!</v>
      </c>
      <c r="L262" s="101"/>
      <c r="M262" s="103">
        <f t="shared" ref="M262:M305" si="20">IF(I262&lt;&gt;"",K262+I262+L262,0)</f>
        <v>0</v>
      </c>
    </row>
    <row r="263" spans="1:13" x14ac:dyDescent="0.25">
      <c r="A263" s="117"/>
      <c r="G263" s="84"/>
      <c r="H263" s="101">
        <v>258</v>
      </c>
      <c r="I263" s="102" t="str">
        <f t="shared" si="18"/>
        <v/>
      </c>
      <c r="J263" s="101" t="e">
        <f t="shared" ref="J263:J326" si="21">INT(LOG($H$2,2))-ROUNDUP(LOG(H263,2),0)+IF(OR($H$2=1,$H$2=2,$H$2=4,$H$2=8,$H$2=16,$H$2=32,$H$2=64,$H$2=128,$H$2=256),0,1)</f>
        <v>#NUM!</v>
      </c>
      <c r="K263" s="101" t="e">
        <f t="shared" si="19"/>
        <v>#NUM!</v>
      </c>
      <c r="L263" s="101"/>
      <c r="M263" s="103">
        <f t="shared" si="20"/>
        <v>0</v>
      </c>
    </row>
    <row r="264" spans="1:13" x14ac:dyDescent="0.25">
      <c r="A264" s="117"/>
      <c r="G264" s="84"/>
      <c r="H264" s="101">
        <v>259</v>
      </c>
      <c r="I264" s="102" t="str">
        <f t="shared" si="18"/>
        <v/>
      </c>
      <c r="J264" s="101" t="e">
        <f t="shared" si="21"/>
        <v>#NUM!</v>
      </c>
      <c r="K264" s="101" t="e">
        <f t="shared" si="19"/>
        <v>#NUM!</v>
      </c>
      <c r="L264" s="101"/>
      <c r="M264" s="103">
        <f t="shared" si="20"/>
        <v>0</v>
      </c>
    </row>
    <row r="265" spans="1:13" x14ac:dyDescent="0.25">
      <c r="A265" s="117"/>
      <c r="G265" s="84"/>
      <c r="H265" s="101">
        <v>260</v>
      </c>
      <c r="I265" s="102" t="str">
        <f t="shared" si="18"/>
        <v/>
      </c>
      <c r="J265" s="101" t="e">
        <f t="shared" si="21"/>
        <v>#NUM!</v>
      </c>
      <c r="K265" s="101" t="e">
        <f t="shared" si="19"/>
        <v>#NUM!</v>
      </c>
      <c r="L265" s="101"/>
      <c r="M265" s="103">
        <f t="shared" si="20"/>
        <v>0</v>
      </c>
    </row>
    <row r="266" spans="1:13" x14ac:dyDescent="0.25">
      <c r="A266" s="117"/>
      <c r="G266" s="84"/>
      <c r="H266" s="101">
        <v>261</v>
      </c>
      <c r="I266" s="102" t="str">
        <f t="shared" si="18"/>
        <v/>
      </c>
      <c r="J266" s="101" t="e">
        <f t="shared" si="21"/>
        <v>#NUM!</v>
      </c>
      <c r="K266" s="101" t="e">
        <f t="shared" si="19"/>
        <v>#NUM!</v>
      </c>
      <c r="L266" s="101"/>
      <c r="M266" s="103">
        <f t="shared" si="20"/>
        <v>0</v>
      </c>
    </row>
    <row r="267" spans="1:13" x14ac:dyDescent="0.25">
      <c r="A267" s="117"/>
      <c r="G267" s="84"/>
      <c r="H267" s="101">
        <v>262</v>
      </c>
      <c r="I267" s="102" t="str">
        <f t="shared" si="18"/>
        <v/>
      </c>
      <c r="J267" s="101" t="e">
        <f t="shared" si="21"/>
        <v>#NUM!</v>
      </c>
      <c r="K267" s="101" t="e">
        <f t="shared" si="19"/>
        <v>#NUM!</v>
      </c>
      <c r="L267" s="101"/>
      <c r="M267" s="103">
        <f t="shared" si="20"/>
        <v>0</v>
      </c>
    </row>
    <row r="268" spans="1:13" x14ac:dyDescent="0.25">
      <c r="A268" s="117"/>
      <c r="G268" s="84"/>
      <c r="H268" s="101">
        <v>263</v>
      </c>
      <c r="I268" s="102" t="str">
        <f t="shared" si="18"/>
        <v/>
      </c>
      <c r="J268" s="101" t="e">
        <f t="shared" si="21"/>
        <v>#NUM!</v>
      </c>
      <c r="K268" s="101" t="e">
        <f t="shared" si="19"/>
        <v>#NUM!</v>
      </c>
      <c r="L268" s="101"/>
      <c r="M268" s="103">
        <f t="shared" si="20"/>
        <v>0</v>
      </c>
    </row>
    <row r="269" spans="1:13" x14ac:dyDescent="0.25">
      <c r="A269" s="117"/>
      <c r="G269" s="84"/>
      <c r="H269" s="101">
        <v>264</v>
      </c>
      <c r="I269" s="102" t="str">
        <f t="shared" si="18"/>
        <v/>
      </c>
      <c r="J269" s="101" t="e">
        <f t="shared" si="21"/>
        <v>#NUM!</v>
      </c>
      <c r="K269" s="101" t="e">
        <f t="shared" si="19"/>
        <v>#NUM!</v>
      </c>
      <c r="L269" s="101"/>
      <c r="M269" s="103">
        <f t="shared" si="20"/>
        <v>0</v>
      </c>
    </row>
    <row r="270" spans="1:13" x14ac:dyDescent="0.25">
      <c r="A270" s="117"/>
      <c r="G270" s="84"/>
      <c r="H270" s="101">
        <v>265</v>
      </c>
      <c r="I270" s="102" t="str">
        <f t="shared" si="18"/>
        <v/>
      </c>
      <c r="J270" s="101" t="e">
        <f t="shared" si="21"/>
        <v>#NUM!</v>
      </c>
      <c r="K270" s="101" t="e">
        <f t="shared" si="19"/>
        <v>#NUM!</v>
      </c>
      <c r="L270" s="101"/>
      <c r="M270" s="103">
        <f t="shared" si="20"/>
        <v>0</v>
      </c>
    </row>
    <row r="271" spans="1:13" x14ac:dyDescent="0.25">
      <c r="A271" s="117"/>
      <c r="G271" s="84"/>
      <c r="H271" s="101">
        <v>266</v>
      </c>
      <c r="I271" s="102" t="str">
        <f t="shared" si="18"/>
        <v/>
      </c>
      <c r="J271" s="101" t="e">
        <f t="shared" si="21"/>
        <v>#NUM!</v>
      </c>
      <c r="K271" s="101" t="e">
        <f t="shared" si="19"/>
        <v>#NUM!</v>
      </c>
      <c r="L271" s="101"/>
      <c r="M271" s="103">
        <f t="shared" si="20"/>
        <v>0</v>
      </c>
    </row>
    <row r="272" spans="1:13" x14ac:dyDescent="0.25">
      <c r="A272" s="117"/>
      <c r="G272" s="84"/>
      <c r="H272" s="101">
        <v>267</v>
      </c>
      <c r="I272" s="102" t="str">
        <f t="shared" si="18"/>
        <v/>
      </c>
      <c r="J272" s="101" t="e">
        <f t="shared" si="21"/>
        <v>#NUM!</v>
      </c>
      <c r="K272" s="101" t="e">
        <f t="shared" si="19"/>
        <v>#NUM!</v>
      </c>
      <c r="L272" s="101"/>
      <c r="M272" s="103">
        <f t="shared" si="20"/>
        <v>0</v>
      </c>
    </row>
    <row r="273" spans="1:13" x14ac:dyDescent="0.25">
      <c r="A273" s="117"/>
      <c r="G273" s="84"/>
      <c r="H273" s="101">
        <v>268</v>
      </c>
      <c r="I273" s="102" t="str">
        <f t="shared" si="18"/>
        <v/>
      </c>
      <c r="J273" s="101" t="e">
        <f t="shared" si="21"/>
        <v>#NUM!</v>
      </c>
      <c r="K273" s="101" t="e">
        <f t="shared" si="19"/>
        <v>#NUM!</v>
      </c>
      <c r="L273" s="101"/>
      <c r="M273" s="103">
        <f t="shared" si="20"/>
        <v>0</v>
      </c>
    </row>
    <row r="274" spans="1:13" x14ac:dyDescent="0.25">
      <c r="A274" s="117"/>
      <c r="G274" s="84"/>
      <c r="H274" s="101">
        <v>269</v>
      </c>
      <c r="I274" s="102" t="str">
        <f t="shared" si="18"/>
        <v/>
      </c>
      <c r="J274" s="101" t="e">
        <f t="shared" si="21"/>
        <v>#NUM!</v>
      </c>
      <c r="K274" s="101" t="e">
        <f t="shared" si="19"/>
        <v>#NUM!</v>
      </c>
      <c r="L274" s="101"/>
      <c r="M274" s="103">
        <f t="shared" si="20"/>
        <v>0</v>
      </c>
    </row>
    <row r="275" spans="1:13" x14ac:dyDescent="0.25">
      <c r="A275" s="117"/>
      <c r="G275" s="84"/>
      <c r="H275" s="101">
        <v>270</v>
      </c>
      <c r="I275" s="102" t="str">
        <f t="shared" si="18"/>
        <v/>
      </c>
      <c r="J275" s="101" t="e">
        <f t="shared" si="21"/>
        <v>#NUM!</v>
      </c>
      <c r="K275" s="101" t="e">
        <f t="shared" si="19"/>
        <v>#NUM!</v>
      </c>
      <c r="L275" s="101"/>
      <c r="M275" s="103">
        <f t="shared" si="20"/>
        <v>0</v>
      </c>
    </row>
    <row r="276" spans="1:13" x14ac:dyDescent="0.25">
      <c r="A276" s="117"/>
      <c r="G276" s="84"/>
      <c r="H276" s="101">
        <v>271</v>
      </c>
      <c r="I276" s="102" t="str">
        <f t="shared" si="18"/>
        <v/>
      </c>
      <c r="J276" s="101" t="e">
        <f t="shared" si="21"/>
        <v>#NUM!</v>
      </c>
      <c r="K276" s="101" t="e">
        <f t="shared" si="19"/>
        <v>#NUM!</v>
      </c>
      <c r="L276" s="101"/>
      <c r="M276" s="103">
        <f t="shared" si="20"/>
        <v>0</v>
      </c>
    </row>
    <row r="277" spans="1:13" x14ac:dyDescent="0.25">
      <c r="A277" s="117"/>
      <c r="G277" s="84"/>
      <c r="H277" s="101">
        <v>272</v>
      </c>
      <c r="I277" s="102" t="str">
        <f t="shared" si="18"/>
        <v/>
      </c>
      <c r="J277" s="101" t="e">
        <f t="shared" si="21"/>
        <v>#NUM!</v>
      </c>
      <c r="K277" s="101" t="e">
        <f t="shared" si="19"/>
        <v>#NUM!</v>
      </c>
      <c r="L277" s="101"/>
      <c r="M277" s="103">
        <f t="shared" si="20"/>
        <v>0</v>
      </c>
    </row>
    <row r="278" spans="1:13" x14ac:dyDescent="0.25">
      <c r="A278" s="117"/>
      <c r="G278" s="84"/>
      <c r="H278" s="101">
        <v>273</v>
      </c>
      <c r="I278" s="102" t="str">
        <f t="shared" si="18"/>
        <v/>
      </c>
      <c r="J278" s="101" t="e">
        <f t="shared" si="21"/>
        <v>#NUM!</v>
      </c>
      <c r="K278" s="101" t="e">
        <f t="shared" si="19"/>
        <v>#NUM!</v>
      </c>
      <c r="L278" s="101"/>
      <c r="M278" s="103">
        <f t="shared" si="20"/>
        <v>0</v>
      </c>
    </row>
    <row r="279" spans="1:13" x14ac:dyDescent="0.25">
      <c r="A279" s="117"/>
      <c r="G279" s="84"/>
      <c r="H279" s="101">
        <v>274</v>
      </c>
      <c r="I279" s="102" t="str">
        <f t="shared" si="18"/>
        <v/>
      </c>
      <c r="J279" s="101" t="e">
        <f t="shared" si="21"/>
        <v>#NUM!</v>
      </c>
      <c r="K279" s="101" t="e">
        <f t="shared" si="19"/>
        <v>#NUM!</v>
      </c>
      <c r="L279" s="101"/>
      <c r="M279" s="103">
        <f t="shared" si="20"/>
        <v>0</v>
      </c>
    </row>
    <row r="280" spans="1:13" x14ac:dyDescent="0.25">
      <c r="A280" s="117"/>
      <c r="G280" s="84"/>
      <c r="H280" s="101">
        <v>275</v>
      </c>
      <c r="I280" s="102" t="str">
        <f t="shared" si="18"/>
        <v/>
      </c>
      <c r="J280" s="101" t="e">
        <f t="shared" si="21"/>
        <v>#NUM!</v>
      </c>
      <c r="K280" s="101" t="e">
        <f t="shared" si="19"/>
        <v>#NUM!</v>
      </c>
      <c r="L280" s="101"/>
      <c r="M280" s="103">
        <f t="shared" si="20"/>
        <v>0</v>
      </c>
    </row>
    <row r="281" spans="1:13" x14ac:dyDescent="0.25">
      <c r="A281" s="117"/>
      <c r="G281" s="84"/>
      <c r="H281" s="101">
        <v>276</v>
      </c>
      <c r="I281" s="102" t="str">
        <f t="shared" si="18"/>
        <v/>
      </c>
      <c r="J281" s="101" t="e">
        <f t="shared" si="21"/>
        <v>#NUM!</v>
      </c>
      <c r="K281" s="101" t="e">
        <f t="shared" si="19"/>
        <v>#NUM!</v>
      </c>
      <c r="L281" s="101"/>
      <c r="M281" s="103">
        <f t="shared" si="20"/>
        <v>0</v>
      </c>
    </row>
    <row r="282" spans="1:13" x14ac:dyDescent="0.25">
      <c r="A282" s="117"/>
      <c r="G282" s="84"/>
      <c r="H282" s="101">
        <v>277</v>
      </c>
      <c r="I282" s="102" t="str">
        <f t="shared" si="18"/>
        <v/>
      </c>
      <c r="J282" s="101" t="e">
        <f t="shared" si="21"/>
        <v>#NUM!</v>
      </c>
      <c r="K282" s="101" t="e">
        <f t="shared" si="19"/>
        <v>#NUM!</v>
      </c>
      <c r="L282" s="101"/>
      <c r="M282" s="103">
        <f t="shared" si="20"/>
        <v>0</v>
      </c>
    </row>
    <row r="283" spans="1:13" x14ac:dyDescent="0.25">
      <c r="A283" s="117"/>
      <c r="G283" s="84"/>
      <c r="H283" s="101">
        <v>278</v>
      </c>
      <c r="I283" s="102" t="str">
        <f t="shared" si="18"/>
        <v/>
      </c>
      <c r="J283" s="101" t="e">
        <f t="shared" si="21"/>
        <v>#NUM!</v>
      </c>
      <c r="K283" s="101" t="e">
        <f t="shared" si="19"/>
        <v>#NUM!</v>
      </c>
      <c r="L283" s="101"/>
      <c r="M283" s="103">
        <f t="shared" si="20"/>
        <v>0</v>
      </c>
    </row>
    <row r="284" spans="1:13" x14ac:dyDescent="0.25">
      <c r="A284" s="117"/>
      <c r="G284" s="84"/>
      <c r="H284" s="101">
        <v>279</v>
      </c>
      <c r="I284" s="102" t="str">
        <f t="shared" si="18"/>
        <v/>
      </c>
      <c r="J284" s="101" t="e">
        <f t="shared" si="21"/>
        <v>#NUM!</v>
      </c>
      <c r="K284" s="101" t="e">
        <f t="shared" si="19"/>
        <v>#NUM!</v>
      </c>
      <c r="L284" s="101"/>
      <c r="M284" s="103">
        <f t="shared" si="20"/>
        <v>0</v>
      </c>
    </row>
    <row r="285" spans="1:13" x14ac:dyDescent="0.25">
      <c r="A285" s="117"/>
      <c r="G285" s="84"/>
      <c r="H285" s="101">
        <v>280</v>
      </c>
      <c r="I285" s="102" t="str">
        <f t="shared" si="18"/>
        <v/>
      </c>
      <c r="J285" s="101" t="e">
        <f t="shared" si="21"/>
        <v>#NUM!</v>
      </c>
      <c r="K285" s="101" t="e">
        <f t="shared" si="19"/>
        <v>#NUM!</v>
      </c>
      <c r="L285" s="101"/>
      <c r="M285" s="103">
        <f t="shared" si="20"/>
        <v>0</v>
      </c>
    </row>
    <row r="286" spans="1:13" x14ac:dyDescent="0.25">
      <c r="A286" s="117"/>
      <c r="G286" s="84"/>
      <c r="H286" s="101">
        <v>281</v>
      </c>
      <c r="I286" s="102" t="str">
        <f t="shared" si="18"/>
        <v/>
      </c>
      <c r="J286" s="101" t="e">
        <f t="shared" si="21"/>
        <v>#NUM!</v>
      </c>
      <c r="K286" s="101" t="e">
        <f t="shared" si="19"/>
        <v>#NUM!</v>
      </c>
      <c r="L286" s="101"/>
      <c r="M286" s="103">
        <f t="shared" si="20"/>
        <v>0</v>
      </c>
    </row>
    <row r="287" spans="1:13" x14ac:dyDescent="0.25">
      <c r="A287" s="117"/>
      <c r="G287" s="84"/>
      <c r="H287" s="101">
        <v>282</v>
      </c>
      <c r="I287" s="102" t="str">
        <f t="shared" si="18"/>
        <v/>
      </c>
      <c r="J287" s="101" t="e">
        <f t="shared" si="21"/>
        <v>#NUM!</v>
      </c>
      <c r="K287" s="101" t="e">
        <f t="shared" si="19"/>
        <v>#NUM!</v>
      </c>
      <c r="L287" s="101"/>
      <c r="M287" s="103">
        <f t="shared" si="20"/>
        <v>0</v>
      </c>
    </row>
    <row r="288" spans="1:13" x14ac:dyDescent="0.25">
      <c r="A288" s="117"/>
      <c r="G288" s="84"/>
      <c r="H288" s="101">
        <v>283</v>
      </c>
      <c r="I288" s="102" t="str">
        <f t="shared" si="18"/>
        <v/>
      </c>
      <c r="J288" s="101" t="e">
        <f t="shared" si="21"/>
        <v>#NUM!</v>
      </c>
      <c r="K288" s="101" t="e">
        <f t="shared" si="19"/>
        <v>#NUM!</v>
      </c>
      <c r="L288" s="101"/>
      <c r="M288" s="103">
        <f t="shared" si="20"/>
        <v>0</v>
      </c>
    </row>
    <row r="289" spans="1:13" x14ac:dyDescent="0.25">
      <c r="A289" s="117"/>
      <c r="G289" s="84"/>
      <c r="H289" s="101">
        <v>284</v>
      </c>
      <c r="I289" s="102" t="str">
        <f t="shared" si="18"/>
        <v/>
      </c>
      <c r="J289" s="101" t="e">
        <f t="shared" si="21"/>
        <v>#NUM!</v>
      </c>
      <c r="K289" s="101" t="e">
        <f t="shared" si="19"/>
        <v>#NUM!</v>
      </c>
      <c r="L289" s="101"/>
      <c r="M289" s="103">
        <f t="shared" si="20"/>
        <v>0</v>
      </c>
    </row>
    <row r="290" spans="1:13" x14ac:dyDescent="0.25">
      <c r="A290" s="117"/>
      <c r="G290" s="84"/>
      <c r="H290" s="101">
        <v>285</v>
      </c>
      <c r="I290" s="102" t="str">
        <f t="shared" si="18"/>
        <v/>
      </c>
      <c r="J290" s="101" t="e">
        <f t="shared" si="21"/>
        <v>#NUM!</v>
      </c>
      <c r="K290" s="101" t="e">
        <f t="shared" si="19"/>
        <v>#NUM!</v>
      </c>
      <c r="L290" s="101"/>
      <c r="M290" s="103">
        <f t="shared" si="20"/>
        <v>0</v>
      </c>
    </row>
    <row r="291" spans="1:13" x14ac:dyDescent="0.25">
      <c r="A291" s="117"/>
      <c r="G291" s="84"/>
      <c r="H291" s="101">
        <v>286</v>
      </c>
      <c r="I291" s="102" t="str">
        <f t="shared" si="18"/>
        <v/>
      </c>
      <c r="J291" s="101" t="e">
        <f t="shared" si="21"/>
        <v>#NUM!</v>
      </c>
      <c r="K291" s="101" t="e">
        <f t="shared" si="19"/>
        <v>#NUM!</v>
      </c>
      <c r="L291" s="101"/>
      <c r="M291" s="103">
        <f t="shared" si="20"/>
        <v>0</v>
      </c>
    </row>
    <row r="292" spans="1:13" x14ac:dyDescent="0.25">
      <c r="A292" s="117"/>
      <c r="G292" s="84"/>
      <c r="H292" s="101">
        <v>287</v>
      </c>
      <c r="I292" s="102" t="str">
        <f t="shared" si="18"/>
        <v/>
      </c>
      <c r="J292" s="101" t="e">
        <f t="shared" si="21"/>
        <v>#NUM!</v>
      </c>
      <c r="K292" s="101" t="e">
        <f t="shared" si="19"/>
        <v>#NUM!</v>
      </c>
      <c r="L292" s="101"/>
      <c r="M292" s="103">
        <f t="shared" si="20"/>
        <v>0</v>
      </c>
    </row>
    <row r="293" spans="1:13" x14ac:dyDescent="0.25">
      <c r="A293" s="117"/>
      <c r="G293" s="84"/>
      <c r="H293" s="101">
        <v>288</v>
      </c>
      <c r="I293" s="102" t="str">
        <f t="shared" si="18"/>
        <v/>
      </c>
      <c r="J293" s="101" t="e">
        <f t="shared" si="21"/>
        <v>#NUM!</v>
      </c>
      <c r="K293" s="101" t="e">
        <f t="shared" si="19"/>
        <v>#NUM!</v>
      </c>
      <c r="L293" s="101"/>
      <c r="M293" s="103">
        <f t="shared" si="20"/>
        <v>0</v>
      </c>
    </row>
    <row r="294" spans="1:13" x14ac:dyDescent="0.25">
      <c r="A294" s="117"/>
      <c r="G294" s="84"/>
      <c r="H294" s="101">
        <v>289</v>
      </c>
      <c r="I294" s="102" t="str">
        <f t="shared" si="18"/>
        <v/>
      </c>
      <c r="J294" s="101" t="e">
        <f t="shared" si="21"/>
        <v>#NUM!</v>
      </c>
      <c r="K294" s="101" t="e">
        <f t="shared" si="19"/>
        <v>#NUM!</v>
      </c>
      <c r="L294" s="101"/>
      <c r="M294" s="103">
        <f t="shared" si="20"/>
        <v>0</v>
      </c>
    </row>
    <row r="295" spans="1:13" x14ac:dyDescent="0.25">
      <c r="A295" s="117"/>
      <c r="G295" s="84"/>
      <c r="H295" s="101">
        <v>290</v>
      </c>
      <c r="I295" s="102" t="str">
        <f t="shared" si="18"/>
        <v/>
      </c>
      <c r="J295" s="101" t="e">
        <f t="shared" si="21"/>
        <v>#NUM!</v>
      </c>
      <c r="K295" s="101" t="e">
        <f t="shared" si="19"/>
        <v>#NUM!</v>
      </c>
      <c r="L295" s="101"/>
      <c r="M295" s="103">
        <f t="shared" si="20"/>
        <v>0</v>
      </c>
    </row>
    <row r="296" spans="1:13" x14ac:dyDescent="0.25">
      <c r="A296" s="117"/>
      <c r="G296" s="84"/>
      <c r="H296" s="101">
        <v>291</v>
      </c>
      <c r="I296" s="102" t="str">
        <f t="shared" si="18"/>
        <v/>
      </c>
      <c r="J296" s="101" t="e">
        <f t="shared" si="21"/>
        <v>#NUM!</v>
      </c>
      <c r="K296" s="101" t="e">
        <f t="shared" si="19"/>
        <v>#NUM!</v>
      </c>
      <c r="L296" s="101"/>
      <c r="M296" s="103">
        <f t="shared" si="20"/>
        <v>0</v>
      </c>
    </row>
    <row r="297" spans="1:13" x14ac:dyDescent="0.25">
      <c r="A297" s="117"/>
      <c r="G297" s="84"/>
      <c r="H297" s="101">
        <v>292</v>
      </c>
      <c r="I297" s="102" t="str">
        <f t="shared" si="18"/>
        <v/>
      </c>
      <c r="J297" s="101" t="e">
        <f t="shared" si="21"/>
        <v>#NUM!</v>
      </c>
      <c r="K297" s="101" t="e">
        <f t="shared" si="19"/>
        <v>#NUM!</v>
      </c>
      <c r="L297" s="101"/>
      <c r="M297" s="103">
        <f t="shared" si="20"/>
        <v>0</v>
      </c>
    </row>
    <row r="298" spans="1:13" x14ac:dyDescent="0.25">
      <c r="A298" s="117"/>
      <c r="G298" s="84"/>
      <c r="H298" s="101">
        <v>293</v>
      </c>
      <c r="I298" s="102" t="str">
        <f t="shared" si="18"/>
        <v/>
      </c>
      <c r="J298" s="101" t="e">
        <f t="shared" si="21"/>
        <v>#NUM!</v>
      </c>
      <c r="K298" s="101" t="e">
        <f t="shared" si="19"/>
        <v>#NUM!</v>
      </c>
      <c r="L298" s="101"/>
      <c r="M298" s="103">
        <f t="shared" si="20"/>
        <v>0</v>
      </c>
    </row>
    <row r="299" spans="1:13" x14ac:dyDescent="0.25">
      <c r="A299" s="117"/>
      <c r="G299" s="84"/>
      <c r="H299" s="101">
        <v>294</v>
      </c>
      <c r="I299" s="102" t="str">
        <f t="shared" si="18"/>
        <v/>
      </c>
      <c r="J299" s="101" t="e">
        <f t="shared" si="21"/>
        <v>#NUM!</v>
      </c>
      <c r="K299" s="101" t="e">
        <f t="shared" si="19"/>
        <v>#NUM!</v>
      </c>
      <c r="L299" s="101"/>
      <c r="M299" s="103">
        <f t="shared" si="20"/>
        <v>0</v>
      </c>
    </row>
    <row r="300" spans="1:13" x14ac:dyDescent="0.25">
      <c r="A300" s="117"/>
      <c r="G300" s="84"/>
      <c r="H300" s="101">
        <v>295</v>
      </c>
      <c r="I300" s="102" t="str">
        <f t="shared" si="18"/>
        <v/>
      </c>
      <c r="J300" s="101" t="e">
        <f t="shared" si="21"/>
        <v>#NUM!</v>
      </c>
      <c r="K300" s="101" t="e">
        <f t="shared" si="19"/>
        <v>#NUM!</v>
      </c>
      <c r="L300" s="101"/>
      <c r="M300" s="103">
        <f t="shared" si="20"/>
        <v>0</v>
      </c>
    </row>
    <row r="301" spans="1:13" x14ac:dyDescent="0.25">
      <c r="A301" s="117"/>
      <c r="G301" s="84"/>
      <c r="H301" s="101">
        <v>296</v>
      </c>
      <c r="I301" s="102" t="str">
        <f t="shared" si="18"/>
        <v/>
      </c>
      <c r="J301" s="101" t="e">
        <f t="shared" si="21"/>
        <v>#NUM!</v>
      </c>
      <c r="K301" s="101" t="e">
        <f t="shared" si="19"/>
        <v>#NUM!</v>
      </c>
      <c r="L301" s="101"/>
      <c r="M301" s="103">
        <f t="shared" si="20"/>
        <v>0</v>
      </c>
    </row>
    <row r="302" spans="1:13" x14ac:dyDescent="0.25">
      <c r="A302" s="117"/>
      <c r="G302" s="84"/>
      <c r="H302" s="101">
        <v>297</v>
      </c>
      <c r="I302" s="102" t="str">
        <f t="shared" si="18"/>
        <v/>
      </c>
      <c r="J302" s="101" t="e">
        <f t="shared" si="21"/>
        <v>#NUM!</v>
      </c>
      <c r="K302" s="101" t="e">
        <f t="shared" si="19"/>
        <v>#NUM!</v>
      </c>
      <c r="L302" s="101"/>
      <c r="M302" s="103">
        <f t="shared" si="20"/>
        <v>0</v>
      </c>
    </row>
    <row r="303" spans="1:13" x14ac:dyDescent="0.25">
      <c r="A303" s="117"/>
      <c r="G303" s="84"/>
      <c r="H303" s="101">
        <v>298</v>
      </c>
      <c r="I303" s="102" t="str">
        <f t="shared" si="18"/>
        <v/>
      </c>
      <c r="J303" s="101" t="e">
        <f t="shared" si="21"/>
        <v>#NUM!</v>
      </c>
      <c r="K303" s="101" t="e">
        <f t="shared" si="19"/>
        <v>#NUM!</v>
      </c>
      <c r="L303" s="101"/>
      <c r="M303" s="103">
        <f t="shared" si="20"/>
        <v>0</v>
      </c>
    </row>
    <row r="304" spans="1:13" x14ac:dyDescent="0.25">
      <c r="A304" s="117"/>
      <c r="G304" s="84"/>
      <c r="H304" s="101">
        <v>299</v>
      </c>
      <c r="I304" s="102" t="str">
        <f t="shared" si="18"/>
        <v/>
      </c>
      <c r="J304" s="101" t="e">
        <f t="shared" si="21"/>
        <v>#NUM!</v>
      </c>
      <c r="K304" s="101" t="e">
        <f t="shared" si="19"/>
        <v>#NUM!</v>
      </c>
      <c r="L304" s="101"/>
      <c r="M304" s="103">
        <f t="shared" si="20"/>
        <v>0</v>
      </c>
    </row>
    <row r="305" spans="1:16" x14ac:dyDescent="0.25">
      <c r="A305" s="117"/>
      <c r="G305" s="84"/>
      <c r="H305" s="101">
        <v>300</v>
      </c>
      <c r="I305" s="102" t="str">
        <f t="shared" si="18"/>
        <v/>
      </c>
      <c r="J305" s="101" t="e">
        <f t="shared" si="21"/>
        <v>#NUM!</v>
      </c>
      <c r="K305" s="101" t="e">
        <f t="shared" si="19"/>
        <v>#NUM!</v>
      </c>
      <c r="L305" s="101"/>
      <c r="M305" s="103">
        <f t="shared" si="20"/>
        <v>0</v>
      </c>
    </row>
    <row r="306" spans="1:16" x14ac:dyDescent="0.25">
      <c r="A306" s="119"/>
      <c r="J306" s="120" t="e">
        <f t="shared" si="21"/>
        <v>#NUM!</v>
      </c>
    </row>
    <row r="307" spans="1:16" x14ac:dyDescent="0.25">
      <c r="J307" s="120" t="e">
        <f t="shared" si="21"/>
        <v>#NUM!</v>
      </c>
    </row>
    <row r="308" spans="1:16" x14ac:dyDescent="0.25">
      <c r="J308" s="120" t="e">
        <f t="shared" si="21"/>
        <v>#NUM!</v>
      </c>
    </row>
    <row r="309" spans="1:16" x14ac:dyDescent="0.25">
      <c r="J309" s="120" t="e">
        <f t="shared" si="21"/>
        <v>#NUM!</v>
      </c>
    </row>
    <row r="310" spans="1:16" x14ac:dyDescent="0.25">
      <c r="J310" s="120" t="e">
        <f t="shared" si="21"/>
        <v>#NUM!</v>
      </c>
    </row>
    <row r="311" spans="1:16" x14ac:dyDescent="0.25">
      <c r="J311" s="120" t="e">
        <f t="shared" si="21"/>
        <v>#NUM!</v>
      </c>
    </row>
    <row r="312" spans="1:16" x14ac:dyDescent="0.25">
      <c r="J312" s="120" t="e">
        <f t="shared" si="21"/>
        <v>#NUM!</v>
      </c>
    </row>
    <row r="313" spans="1:16" x14ac:dyDescent="0.25">
      <c r="J313" s="120" t="e">
        <f t="shared" si="21"/>
        <v>#NUM!</v>
      </c>
    </row>
    <row r="314" spans="1:16" x14ac:dyDescent="0.25">
      <c r="J314" s="120" t="e">
        <f t="shared" si="21"/>
        <v>#NUM!</v>
      </c>
      <c r="L314" s="122"/>
      <c r="P314" s="112"/>
    </row>
    <row r="315" spans="1:16" x14ac:dyDescent="0.25">
      <c r="J315" s="120" t="e">
        <f t="shared" si="21"/>
        <v>#NUM!</v>
      </c>
      <c r="L315" s="122"/>
      <c r="P315" s="112"/>
    </row>
    <row r="316" spans="1:16" x14ac:dyDescent="0.25">
      <c r="J316" s="120" t="e">
        <f t="shared" si="21"/>
        <v>#NUM!</v>
      </c>
      <c r="L316" s="122"/>
      <c r="P316" s="112"/>
    </row>
    <row r="317" spans="1:16" x14ac:dyDescent="0.25">
      <c r="J317" s="120" t="e">
        <f t="shared" si="21"/>
        <v>#NUM!</v>
      </c>
      <c r="L317" s="122"/>
      <c r="P317" s="112"/>
    </row>
    <row r="318" spans="1:16" x14ac:dyDescent="0.25">
      <c r="J318" s="120" t="e">
        <f t="shared" si="21"/>
        <v>#NUM!</v>
      </c>
    </row>
    <row r="319" spans="1:16" x14ac:dyDescent="0.25">
      <c r="J319" s="120" t="e">
        <f t="shared" si="21"/>
        <v>#NUM!</v>
      </c>
    </row>
    <row r="320" spans="1:16" x14ac:dyDescent="0.25">
      <c r="J320" s="120" t="e">
        <f t="shared" si="21"/>
        <v>#NUM!</v>
      </c>
    </row>
    <row r="321" spans="10:10" x14ac:dyDescent="0.25">
      <c r="J321" s="120" t="e">
        <f t="shared" si="21"/>
        <v>#NUM!</v>
      </c>
    </row>
    <row r="322" spans="10:10" x14ac:dyDescent="0.25">
      <c r="J322" s="120" t="e">
        <f t="shared" si="21"/>
        <v>#NUM!</v>
      </c>
    </row>
    <row r="323" spans="10:10" x14ac:dyDescent="0.25">
      <c r="J323" s="120" t="e">
        <f t="shared" si="21"/>
        <v>#NUM!</v>
      </c>
    </row>
    <row r="324" spans="10:10" x14ac:dyDescent="0.25">
      <c r="J324" s="120" t="e">
        <f t="shared" si="21"/>
        <v>#NUM!</v>
      </c>
    </row>
    <row r="325" spans="10:10" x14ac:dyDescent="0.25">
      <c r="J325" s="120" t="e">
        <f t="shared" si="21"/>
        <v>#NUM!</v>
      </c>
    </row>
    <row r="326" spans="10:10" x14ac:dyDescent="0.25">
      <c r="J326" s="120" t="e">
        <f t="shared" si="21"/>
        <v>#NUM!</v>
      </c>
    </row>
    <row r="327" spans="10:10" x14ac:dyDescent="0.25">
      <c r="J327" s="120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0" t="e">
        <f t="shared" si="22"/>
        <v>#NUM!</v>
      </c>
    </row>
    <row r="329" spans="10:10" x14ac:dyDescent="0.25">
      <c r="J329" s="120" t="e">
        <f t="shared" si="22"/>
        <v>#NUM!</v>
      </c>
    </row>
    <row r="330" spans="10:10" x14ac:dyDescent="0.25">
      <c r="J330" s="120" t="e">
        <f t="shared" si="22"/>
        <v>#NUM!</v>
      </c>
    </row>
    <row r="331" spans="10:10" x14ac:dyDescent="0.25">
      <c r="J331" s="120" t="e">
        <f t="shared" si="22"/>
        <v>#NUM!</v>
      </c>
    </row>
    <row r="332" spans="10:10" x14ac:dyDescent="0.25">
      <c r="J332" s="120" t="e">
        <f t="shared" si="22"/>
        <v>#NUM!</v>
      </c>
    </row>
    <row r="333" spans="10:10" x14ac:dyDescent="0.25">
      <c r="J333" s="120" t="e">
        <f t="shared" si="22"/>
        <v>#NUM!</v>
      </c>
    </row>
    <row r="334" spans="10:10" x14ac:dyDescent="0.25">
      <c r="J334" s="120" t="e">
        <f t="shared" si="22"/>
        <v>#NUM!</v>
      </c>
    </row>
    <row r="335" spans="10:10" x14ac:dyDescent="0.25">
      <c r="J335" s="120" t="e">
        <f t="shared" si="22"/>
        <v>#NUM!</v>
      </c>
    </row>
    <row r="336" spans="10:10" x14ac:dyDescent="0.25">
      <c r="J336" s="120" t="e">
        <f t="shared" si="22"/>
        <v>#NUM!</v>
      </c>
    </row>
    <row r="337" spans="10:10" x14ac:dyDescent="0.25">
      <c r="J337" s="120" t="e">
        <f t="shared" si="22"/>
        <v>#NUM!</v>
      </c>
    </row>
    <row r="338" spans="10:10" x14ac:dyDescent="0.25">
      <c r="J338" s="120" t="e">
        <f t="shared" si="22"/>
        <v>#NUM!</v>
      </c>
    </row>
    <row r="339" spans="10:10" x14ac:dyDescent="0.25">
      <c r="J339" s="120" t="e">
        <f t="shared" si="22"/>
        <v>#NUM!</v>
      </c>
    </row>
    <row r="340" spans="10:10" x14ac:dyDescent="0.25">
      <c r="J340" s="120" t="e">
        <f t="shared" si="22"/>
        <v>#NUM!</v>
      </c>
    </row>
    <row r="341" spans="10:10" x14ac:dyDescent="0.25">
      <c r="J341" s="120" t="e">
        <f t="shared" si="22"/>
        <v>#NUM!</v>
      </c>
    </row>
    <row r="342" spans="10:10" x14ac:dyDescent="0.25">
      <c r="J342" s="120" t="e">
        <f t="shared" si="22"/>
        <v>#NUM!</v>
      </c>
    </row>
    <row r="343" spans="10:10" x14ac:dyDescent="0.25">
      <c r="J343" s="120" t="e">
        <f t="shared" si="22"/>
        <v>#NUM!</v>
      </c>
    </row>
    <row r="344" spans="10:10" x14ac:dyDescent="0.25">
      <c r="J344" s="120" t="e">
        <f t="shared" si="22"/>
        <v>#NUM!</v>
      </c>
    </row>
    <row r="345" spans="10:10" x14ac:dyDescent="0.25">
      <c r="J345" s="120" t="e">
        <f t="shared" si="22"/>
        <v>#NUM!</v>
      </c>
    </row>
    <row r="346" spans="10:10" x14ac:dyDescent="0.25">
      <c r="J346" s="120" t="e">
        <f t="shared" si="22"/>
        <v>#NUM!</v>
      </c>
    </row>
    <row r="347" spans="10:10" x14ac:dyDescent="0.25">
      <c r="J347" s="120" t="e">
        <f t="shared" si="22"/>
        <v>#NUM!</v>
      </c>
    </row>
    <row r="348" spans="10:10" x14ac:dyDescent="0.25">
      <c r="J348" s="120" t="e">
        <f t="shared" si="22"/>
        <v>#NUM!</v>
      </c>
    </row>
    <row r="349" spans="10:10" x14ac:dyDescent="0.25">
      <c r="J349" s="120" t="e">
        <f t="shared" si="22"/>
        <v>#NUM!</v>
      </c>
    </row>
    <row r="350" spans="10:10" x14ac:dyDescent="0.25">
      <c r="J350" s="120" t="e">
        <f t="shared" si="22"/>
        <v>#NUM!</v>
      </c>
    </row>
    <row r="351" spans="10:10" x14ac:dyDescent="0.25">
      <c r="J351" s="120" t="e">
        <f t="shared" si="22"/>
        <v>#NUM!</v>
      </c>
    </row>
    <row r="352" spans="10:10" x14ac:dyDescent="0.25">
      <c r="J352" s="120" t="e">
        <f t="shared" si="22"/>
        <v>#NUM!</v>
      </c>
    </row>
    <row r="353" spans="10:10" x14ac:dyDescent="0.25">
      <c r="J353" s="120" t="e">
        <f t="shared" si="22"/>
        <v>#NUM!</v>
      </c>
    </row>
    <row r="354" spans="10:10" x14ac:dyDescent="0.25">
      <c r="J354" s="120" t="e">
        <f t="shared" si="22"/>
        <v>#NUM!</v>
      </c>
    </row>
    <row r="355" spans="10:10" x14ac:dyDescent="0.25">
      <c r="J355" s="120" t="e">
        <f t="shared" si="22"/>
        <v>#NUM!</v>
      </c>
    </row>
    <row r="356" spans="10:10" x14ac:dyDescent="0.25">
      <c r="J356" s="120" t="e">
        <f t="shared" si="22"/>
        <v>#NUM!</v>
      </c>
    </row>
    <row r="357" spans="10:10" x14ac:dyDescent="0.25">
      <c r="J357" s="120" t="e">
        <f t="shared" si="22"/>
        <v>#NUM!</v>
      </c>
    </row>
    <row r="358" spans="10:10" x14ac:dyDescent="0.25">
      <c r="J358" s="120" t="e">
        <f t="shared" si="22"/>
        <v>#NUM!</v>
      </c>
    </row>
    <row r="359" spans="10:10" x14ac:dyDescent="0.25">
      <c r="J359" s="120" t="e">
        <f t="shared" si="22"/>
        <v>#NUM!</v>
      </c>
    </row>
    <row r="360" spans="10:10" x14ac:dyDescent="0.25">
      <c r="J360" s="120" t="e">
        <f t="shared" si="22"/>
        <v>#NUM!</v>
      </c>
    </row>
    <row r="361" spans="10:10" x14ac:dyDescent="0.25">
      <c r="J361" s="120" t="e">
        <f t="shared" si="22"/>
        <v>#NUM!</v>
      </c>
    </row>
    <row r="362" spans="10:10" x14ac:dyDescent="0.25">
      <c r="J362" s="120" t="e">
        <f t="shared" si="22"/>
        <v>#NUM!</v>
      </c>
    </row>
    <row r="363" spans="10:10" x14ac:dyDescent="0.25">
      <c r="J363" s="120" t="e">
        <f t="shared" si="22"/>
        <v>#NUM!</v>
      </c>
    </row>
    <row r="364" spans="10:10" x14ac:dyDescent="0.25">
      <c r="J364" s="120" t="e">
        <f t="shared" si="22"/>
        <v>#NUM!</v>
      </c>
    </row>
    <row r="365" spans="10:10" x14ac:dyDescent="0.25">
      <c r="J365" s="120" t="e">
        <f t="shared" si="22"/>
        <v>#NUM!</v>
      </c>
    </row>
    <row r="366" spans="10:10" x14ac:dyDescent="0.25">
      <c r="J366" s="120" t="e">
        <f t="shared" si="22"/>
        <v>#NUM!</v>
      </c>
    </row>
    <row r="367" spans="10:10" x14ac:dyDescent="0.25">
      <c r="J367" s="120" t="e">
        <f t="shared" si="22"/>
        <v>#NUM!</v>
      </c>
    </row>
    <row r="368" spans="10:10" x14ac:dyDescent="0.25">
      <c r="J368" s="120" t="e">
        <f t="shared" si="22"/>
        <v>#NUM!</v>
      </c>
    </row>
    <row r="369" spans="10:10" x14ac:dyDescent="0.25">
      <c r="J369" s="120" t="e">
        <f t="shared" si="22"/>
        <v>#NUM!</v>
      </c>
    </row>
    <row r="370" spans="10:10" x14ac:dyDescent="0.25">
      <c r="J370" s="120" t="e">
        <f t="shared" si="22"/>
        <v>#NUM!</v>
      </c>
    </row>
    <row r="371" spans="10:10" x14ac:dyDescent="0.25">
      <c r="J371" s="120" t="e">
        <f t="shared" si="22"/>
        <v>#NUM!</v>
      </c>
    </row>
    <row r="372" spans="10:10" x14ac:dyDescent="0.25">
      <c r="J372" s="120" t="e">
        <f t="shared" si="22"/>
        <v>#NUM!</v>
      </c>
    </row>
    <row r="373" spans="10:10" x14ac:dyDescent="0.25">
      <c r="J373" s="120" t="e">
        <f t="shared" si="22"/>
        <v>#NUM!</v>
      </c>
    </row>
    <row r="374" spans="10:10" x14ac:dyDescent="0.25">
      <c r="J374" s="120" t="e">
        <f t="shared" si="22"/>
        <v>#NUM!</v>
      </c>
    </row>
  </sheetData>
  <conditionalFormatting sqref="J9:K305">
    <cfRule type="cellIs" dxfId="11" priority="1" operator="lessThanOrEqual">
      <formula>0</formula>
    </cfRule>
  </conditionalFormatting>
  <hyperlinks>
    <hyperlink ref="C2" r:id="rId1" xr:uid="{7BA2FECE-E8C7-4572-A466-7D326F3A32B9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50B6-7E2E-406F-9D4B-7F4D244CFE5A}">
  <sheetPr>
    <tabColor rgb="FF92D050"/>
  </sheetPr>
  <dimension ref="A1:AL374"/>
  <sheetViews>
    <sheetView zoomScaleNormal="100" workbookViewId="0">
      <selection activeCell="C2" sqref="C2"/>
    </sheetView>
  </sheetViews>
  <sheetFormatPr defaultColWidth="8.85546875" defaultRowHeight="15" x14ac:dyDescent="0.25"/>
  <cols>
    <col min="1" max="1" width="8" style="118" customWidth="1"/>
    <col min="2" max="2" width="8.28515625" style="118" customWidth="1"/>
    <col min="3" max="3" width="34.7109375" style="118" customWidth="1"/>
    <col min="4" max="4" width="11.28515625" style="118" customWidth="1"/>
    <col min="5" max="6" width="8.85546875" style="118"/>
    <col min="7" max="7" width="0.85546875" style="118" customWidth="1"/>
    <col min="8" max="8" width="8.85546875" style="120"/>
    <col min="9" max="9" width="11" style="120" customWidth="1"/>
    <col min="10" max="10" width="15.28515625" style="120" customWidth="1"/>
    <col min="11" max="11" width="8.7109375" style="120" customWidth="1"/>
    <col min="12" max="12" width="11" style="120" customWidth="1"/>
    <col min="13" max="13" width="12.28515625" style="121" customWidth="1"/>
    <col min="14" max="15" width="13.85546875" style="84" customWidth="1"/>
    <col min="16" max="18" width="8.85546875" style="84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18"/>
  </cols>
  <sheetData>
    <row r="1" spans="1:36" x14ac:dyDescent="0.25">
      <c r="A1" s="84"/>
      <c r="B1" s="84"/>
      <c r="C1" s="84"/>
      <c r="D1" s="84"/>
      <c r="E1" s="84"/>
      <c r="F1" s="84"/>
      <c r="G1" s="84"/>
      <c r="H1" s="85" t="s">
        <v>26</v>
      </c>
      <c r="I1" s="86" t="s">
        <v>27</v>
      </c>
      <c r="J1" s="86" t="s">
        <v>28</v>
      </c>
      <c r="K1" s="87" t="s">
        <v>29</v>
      </c>
      <c r="L1" s="90"/>
      <c r="M1" s="90"/>
    </row>
    <row r="2" spans="1:36" x14ac:dyDescent="0.25">
      <c r="A2" s="84"/>
      <c r="B2" s="24" t="s">
        <v>32</v>
      </c>
      <c r="C2" s="142" t="s">
        <v>94</v>
      </c>
      <c r="D2" s="82"/>
      <c r="E2" s="25"/>
      <c r="F2" s="25"/>
      <c r="G2" s="25"/>
      <c r="H2" s="92">
        <v>0</v>
      </c>
      <c r="I2" s="93">
        <v>50</v>
      </c>
      <c r="J2" s="93">
        <v>10</v>
      </c>
      <c r="K2" s="123">
        <f>3*H2^(1/3)</f>
        <v>0</v>
      </c>
      <c r="L2" s="90"/>
      <c r="M2" s="90"/>
    </row>
    <row r="3" spans="1:36" x14ac:dyDescent="0.25">
      <c r="A3" s="84"/>
      <c r="B3" s="96" t="s">
        <v>34</v>
      </c>
      <c r="C3" s="83" t="s">
        <v>95</v>
      </c>
      <c r="D3" s="83"/>
      <c r="E3" s="30"/>
      <c r="F3" s="30"/>
      <c r="G3" s="30"/>
      <c r="H3" s="90"/>
      <c r="I3" s="90"/>
      <c r="J3" s="97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7"/>
      <c r="K4" s="90"/>
      <c r="L4" s="90"/>
      <c r="M4" s="90"/>
    </row>
    <row r="5" spans="1:36" ht="36" x14ac:dyDescent="0.25">
      <c r="A5" s="1" t="s">
        <v>36</v>
      </c>
      <c r="B5" s="33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32"/>
      <c r="H5" s="98" t="s">
        <v>42</v>
      </c>
      <c r="I5" s="99" t="s">
        <v>43</v>
      </c>
      <c r="J5" s="100" t="s">
        <v>44</v>
      </c>
      <c r="K5" s="99" t="s">
        <v>45</v>
      </c>
      <c r="L5" s="99" t="s">
        <v>46</v>
      </c>
      <c r="M5" s="98" t="s">
        <v>47</v>
      </c>
    </row>
    <row r="6" spans="1:36" ht="14.45" customHeight="1" x14ac:dyDescent="0.25">
      <c r="A6" s="137">
        <f>M6</f>
        <v>0</v>
      </c>
      <c r="B6" s="38" t="str">
        <f>IF(H6&gt;$H$2,"",(ROW()-5))</f>
        <v/>
      </c>
      <c r="C6" s="39"/>
      <c r="D6" s="39"/>
      <c r="E6" s="39"/>
      <c r="F6" s="39" t="s">
        <v>50</v>
      </c>
      <c r="G6" s="32"/>
      <c r="H6" s="101">
        <v>1</v>
      </c>
      <c r="I6" s="102" t="str">
        <f t="shared" ref="I6:I69" si="0">IF(H6&lt;$H$2+1,($I$2-($I$2-1)*(LOG(H6)/LOG($H$2))),"")</f>
        <v/>
      </c>
      <c r="J6" s="101" t="e">
        <f>INT(LOG($H$2,2))-ROUNDUP(LOG(H6,2),0)+IF(OR($H$2=1,$H$2=2,$H$2=4,$H$2=8,$H$2=16,$H$2=32,$H$2=64,$H$2=128,$H$2=256),0,1)</f>
        <v>#NUM!</v>
      </c>
      <c r="K6" s="101" t="e">
        <f t="shared" ref="K6:K69" si="1">J6*$J$2</f>
        <v>#NUM!</v>
      </c>
      <c r="L6" s="103">
        <f>3*K2</f>
        <v>0</v>
      </c>
      <c r="M6" s="103">
        <f t="shared" ref="M6:M69" si="2">IF(I6&lt;&gt;"",K6+I6+L6,0)</f>
        <v>0</v>
      </c>
    </row>
    <row r="7" spans="1:36" ht="14.45" customHeight="1" x14ac:dyDescent="0.25">
      <c r="A7" s="138">
        <f t="shared" ref="A7:A37" si="3">M7</f>
        <v>0</v>
      </c>
      <c r="B7" s="44" t="str">
        <f t="shared" ref="B7:B65" si="4">IF(H7&gt;$H$2,"",(ROW()-5))</f>
        <v/>
      </c>
      <c r="C7" s="45"/>
      <c r="D7" s="45"/>
      <c r="E7" s="45"/>
      <c r="F7" s="45" t="s">
        <v>50</v>
      </c>
      <c r="G7" s="32"/>
      <c r="H7" s="104">
        <v>2</v>
      </c>
      <c r="I7" s="105" t="str">
        <f t="shared" si="0"/>
        <v/>
      </c>
      <c r="J7" s="104" t="e">
        <f t="shared" ref="J7:J70" si="5">INT(LOG($H$2,2))-ROUNDUP(LOG(H7,2),0)+IF(OR($H$2=1,$H$2=2,$H$2=4,$H$2=8,$H$2=16,$H$2=32,$H$2=64,$H$2=128,$H$2=256),0,1)</f>
        <v>#NUM!</v>
      </c>
      <c r="K7" s="104" t="e">
        <f t="shared" si="1"/>
        <v>#NUM!</v>
      </c>
      <c r="L7" s="106">
        <f>2*K2</f>
        <v>0</v>
      </c>
      <c r="M7" s="106">
        <f t="shared" si="2"/>
        <v>0</v>
      </c>
    </row>
    <row r="8" spans="1:36" ht="14.45" customHeight="1" x14ac:dyDescent="0.25">
      <c r="A8" s="137">
        <f t="shared" si="3"/>
        <v>0</v>
      </c>
      <c r="B8" s="38" t="str">
        <f t="shared" si="4"/>
        <v/>
      </c>
      <c r="C8" s="39"/>
      <c r="D8" s="39"/>
      <c r="E8" s="39"/>
      <c r="F8" s="39" t="s">
        <v>50</v>
      </c>
      <c r="G8" s="32"/>
      <c r="H8" s="101">
        <v>3</v>
      </c>
      <c r="I8" s="102" t="str">
        <f t="shared" si="0"/>
        <v/>
      </c>
      <c r="J8" s="101" t="e">
        <f t="shared" si="5"/>
        <v>#NUM!</v>
      </c>
      <c r="K8" s="101" t="e">
        <f t="shared" si="1"/>
        <v>#NUM!</v>
      </c>
      <c r="L8" s="103">
        <f>K2</f>
        <v>0</v>
      </c>
      <c r="M8" s="103">
        <f t="shared" si="2"/>
        <v>0</v>
      </c>
    </row>
    <row r="9" spans="1:36" s="91" customFormat="1" ht="14.45" customHeight="1" x14ac:dyDescent="0.25">
      <c r="A9" s="138">
        <f t="shared" si="3"/>
        <v>0</v>
      </c>
      <c r="B9" s="44" t="str">
        <f>IF(H9&gt;$H$2,"",3)</f>
        <v/>
      </c>
      <c r="C9" s="45"/>
      <c r="D9" s="45"/>
      <c r="E9" s="45"/>
      <c r="F9" s="45"/>
      <c r="G9" s="32"/>
      <c r="H9" s="104">
        <v>3</v>
      </c>
      <c r="I9" s="105" t="str">
        <f t="shared" si="0"/>
        <v/>
      </c>
      <c r="J9" s="104" t="e">
        <f t="shared" si="5"/>
        <v>#NUM!</v>
      </c>
      <c r="K9" s="104" t="e">
        <f t="shared" si="1"/>
        <v>#NUM!</v>
      </c>
      <c r="L9" s="106">
        <f>K2</f>
        <v>0</v>
      </c>
      <c r="M9" s="106">
        <f t="shared" si="2"/>
        <v>0</v>
      </c>
      <c r="N9" s="84"/>
      <c r="O9" s="84"/>
      <c r="P9" s="84"/>
      <c r="Q9" s="84"/>
      <c r="R9" s="84"/>
      <c r="V9" s="107"/>
      <c r="Z9" s="108"/>
      <c r="AA9" s="108"/>
      <c r="AG9" s="109"/>
      <c r="AH9" s="91" t="s">
        <v>54</v>
      </c>
      <c r="AI9" s="91">
        <v>23</v>
      </c>
    </row>
    <row r="10" spans="1:36" ht="14.45" customHeight="1" x14ac:dyDescent="0.25">
      <c r="A10" s="137">
        <f t="shared" si="3"/>
        <v>0</v>
      </c>
      <c r="B10" s="38" t="str">
        <f t="shared" si="4"/>
        <v/>
      </c>
      <c r="C10" s="39"/>
      <c r="D10" s="39"/>
      <c r="E10" s="39"/>
      <c r="F10" s="39"/>
      <c r="G10" s="32"/>
      <c r="H10" s="101">
        <v>5</v>
      </c>
      <c r="I10" s="102" t="str">
        <f t="shared" si="0"/>
        <v/>
      </c>
      <c r="J10" s="101" t="e">
        <f t="shared" si="5"/>
        <v>#NUM!</v>
      </c>
      <c r="K10" s="101" t="e">
        <f t="shared" si="1"/>
        <v>#NUM!</v>
      </c>
      <c r="L10" s="101"/>
      <c r="M10" s="103">
        <f t="shared" si="2"/>
        <v>0</v>
      </c>
      <c r="V10" s="107"/>
      <c r="Z10" s="108"/>
      <c r="AA10" s="108"/>
      <c r="AG10" s="109"/>
      <c r="AH10" s="91" t="s">
        <v>55</v>
      </c>
      <c r="AI10" s="91">
        <v>45</v>
      </c>
    </row>
    <row r="11" spans="1:36" ht="14.45" customHeight="1" x14ac:dyDescent="0.25">
      <c r="A11" s="138">
        <f t="shared" si="3"/>
        <v>0</v>
      </c>
      <c r="B11" s="44" t="str">
        <f t="shared" si="4"/>
        <v/>
      </c>
      <c r="C11" s="45"/>
      <c r="D11" s="45"/>
      <c r="E11" s="45"/>
      <c r="F11" s="45"/>
      <c r="G11" s="32"/>
      <c r="H11" s="104">
        <v>6</v>
      </c>
      <c r="I11" s="105" t="str">
        <f t="shared" si="0"/>
        <v/>
      </c>
      <c r="J11" s="104" t="e">
        <f t="shared" si="5"/>
        <v>#NUM!</v>
      </c>
      <c r="K11" s="104" t="e">
        <f t="shared" si="1"/>
        <v>#NUM!</v>
      </c>
      <c r="L11" s="104"/>
      <c r="M11" s="106">
        <f t="shared" si="2"/>
        <v>0</v>
      </c>
      <c r="V11" s="110"/>
      <c r="Z11" s="108"/>
      <c r="AA11" s="108"/>
      <c r="AG11" s="109"/>
      <c r="AH11" s="91" t="s">
        <v>56</v>
      </c>
      <c r="AI11" s="91">
        <v>50</v>
      </c>
    </row>
    <row r="12" spans="1:36" ht="14.45" customHeight="1" x14ac:dyDescent="0.25">
      <c r="A12" s="137">
        <f t="shared" si="3"/>
        <v>0</v>
      </c>
      <c r="B12" s="38" t="str">
        <f t="shared" si="4"/>
        <v/>
      </c>
      <c r="C12" s="39"/>
      <c r="D12" s="39"/>
      <c r="E12" s="39"/>
      <c r="F12" s="39"/>
      <c r="G12" s="32"/>
      <c r="H12" s="101">
        <v>7</v>
      </c>
      <c r="I12" s="102" t="str">
        <f t="shared" si="0"/>
        <v/>
      </c>
      <c r="J12" s="101" t="e">
        <f t="shared" si="5"/>
        <v>#NUM!</v>
      </c>
      <c r="K12" s="101" t="e">
        <f t="shared" si="1"/>
        <v>#NUM!</v>
      </c>
      <c r="L12" s="101"/>
      <c r="M12" s="103">
        <f t="shared" si="2"/>
        <v>0</v>
      </c>
      <c r="Z12" s="108"/>
      <c r="AA12" s="108"/>
      <c r="AG12" s="109"/>
      <c r="AH12" s="91" t="s">
        <v>57</v>
      </c>
      <c r="AI12" s="91">
        <f>AI11-1</f>
        <v>49</v>
      </c>
    </row>
    <row r="13" spans="1:36" ht="14.45" customHeight="1" x14ac:dyDescent="0.25">
      <c r="A13" s="138">
        <f t="shared" si="3"/>
        <v>0</v>
      </c>
      <c r="B13" s="44" t="str">
        <f t="shared" si="4"/>
        <v/>
      </c>
      <c r="C13" s="45"/>
      <c r="D13" s="45"/>
      <c r="E13" s="45"/>
      <c r="F13" s="45"/>
      <c r="G13" s="32"/>
      <c r="H13" s="104">
        <v>8</v>
      </c>
      <c r="I13" s="105" t="str">
        <f t="shared" si="0"/>
        <v/>
      </c>
      <c r="J13" s="104" t="e">
        <f t="shared" si="5"/>
        <v>#NUM!</v>
      </c>
      <c r="K13" s="104" t="e">
        <f t="shared" si="1"/>
        <v>#NUM!</v>
      </c>
      <c r="L13" s="104"/>
      <c r="M13" s="106">
        <f t="shared" si="2"/>
        <v>0</v>
      </c>
      <c r="X13" s="107"/>
      <c r="AG13" s="109"/>
      <c r="AH13" s="91" t="s">
        <v>58</v>
      </c>
      <c r="AI13" s="91">
        <f>LOG(AI9)</f>
        <v>1.3617278360175928</v>
      </c>
    </row>
    <row r="14" spans="1:36" x14ac:dyDescent="0.25">
      <c r="A14" s="137">
        <f t="shared" si="3"/>
        <v>0</v>
      </c>
      <c r="B14" s="38" t="str">
        <f t="shared" si="4"/>
        <v/>
      </c>
      <c r="C14" s="39"/>
      <c r="D14" s="39"/>
      <c r="E14" s="39"/>
      <c r="F14" s="39"/>
      <c r="G14" s="32"/>
      <c r="H14" s="101">
        <v>9</v>
      </c>
      <c r="I14" s="102" t="str">
        <f t="shared" si="0"/>
        <v/>
      </c>
      <c r="J14" s="101" t="e">
        <f t="shared" si="5"/>
        <v>#NUM!</v>
      </c>
      <c r="K14" s="101" t="e">
        <f t="shared" si="1"/>
        <v>#NUM!</v>
      </c>
      <c r="L14" s="101"/>
      <c r="M14" s="103">
        <f t="shared" si="2"/>
        <v>0</v>
      </c>
      <c r="X14" s="111"/>
      <c r="Z14" s="108"/>
      <c r="AA14" s="108"/>
      <c r="AG14" s="109"/>
      <c r="AH14" s="91" t="s">
        <v>59</v>
      </c>
      <c r="AI14" s="91">
        <f>LOG(AI10)</f>
        <v>1.6532125137753437</v>
      </c>
    </row>
    <row r="15" spans="1:36" x14ac:dyDescent="0.25">
      <c r="A15" s="138">
        <f t="shared" si="3"/>
        <v>0</v>
      </c>
      <c r="B15" s="44" t="str">
        <f t="shared" si="4"/>
        <v/>
      </c>
      <c r="C15" s="45"/>
      <c r="D15" s="45"/>
      <c r="E15" s="45"/>
      <c r="F15" s="45"/>
      <c r="G15" s="32"/>
      <c r="H15" s="104">
        <v>10</v>
      </c>
      <c r="I15" s="105" t="str">
        <f t="shared" si="0"/>
        <v/>
      </c>
      <c r="J15" s="104" t="e">
        <f t="shared" si="5"/>
        <v>#NUM!</v>
      </c>
      <c r="K15" s="104" t="e">
        <f t="shared" si="1"/>
        <v>#NUM!</v>
      </c>
      <c r="L15" s="104"/>
      <c r="M15" s="106">
        <f t="shared" si="2"/>
        <v>0</v>
      </c>
      <c r="X15" s="107"/>
      <c r="Z15" s="108"/>
      <c r="AA15" s="108"/>
    </row>
    <row r="16" spans="1:36" x14ac:dyDescent="0.25">
      <c r="A16" s="137">
        <f t="shared" si="3"/>
        <v>0</v>
      </c>
      <c r="B16" s="38" t="str">
        <f t="shared" si="4"/>
        <v/>
      </c>
      <c r="C16" s="39"/>
      <c r="D16" s="39"/>
      <c r="E16" s="39"/>
      <c r="F16" s="39"/>
      <c r="G16" s="32"/>
      <c r="H16" s="101">
        <v>11</v>
      </c>
      <c r="I16" s="102" t="str">
        <f t="shared" si="0"/>
        <v/>
      </c>
      <c r="J16" s="101" t="e">
        <f t="shared" si="5"/>
        <v>#NUM!</v>
      </c>
      <c r="K16" s="101" t="e">
        <f t="shared" si="1"/>
        <v>#NUM!</v>
      </c>
      <c r="L16" s="101"/>
      <c r="M16" s="103">
        <f t="shared" si="2"/>
        <v>0</v>
      </c>
      <c r="R16" s="112"/>
      <c r="Z16" s="108"/>
      <c r="AA16" s="108"/>
      <c r="AH16" s="113" t="s">
        <v>60</v>
      </c>
      <c r="AI16" s="91">
        <f>AI11-AI12*AI13/AI14</f>
        <v>9.6393909380186855</v>
      </c>
      <c r="AJ16" s="91" t="s">
        <v>61</v>
      </c>
    </row>
    <row r="17" spans="1:19" x14ac:dyDescent="0.25">
      <c r="A17" s="138">
        <f t="shared" si="3"/>
        <v>0</v>
      </c>
      <c r="B17" s="44" t="str">
        <f t="shared" si="4"/>
        <v/>
      </c>
      <c r="C17" s="45"/>
      <c r="D17" s="45"/>
      <c r="E17" s="45"/>
      <c r="F17" s="45"/>
      <c r="G17" s="32"/>
      <c r="H17" s="104">
        <v>12</v>
      </c>
      <c r="I17" s="105" t="str">
        <f t="shared" si="0"/>
        <v/>
      </c>
      <c r="J17" s="104" t="e">
        <f t="shared" si="5"/>
        <v>#NUM!</v>
      </c>
      <c r="K17" s="104" t="e">
        <f t="shared" si="1"/>
        <v>#NUM!</v>
      </c>
      <c r="L17" s="104"/>
      <c r="M17" s="106">
        <f t="shared" si="2"/>
        <v>0</v>
      </c>
    </row>
    <row r="18" spans="1:19" x14ac:dyDescent="0.25">
      <c r="A18" s="137">
        <f t="shared" si="3"/>
        <v>0</v>
      </c>
      <c r="B18" s="38" t="str">
        <f t="shared" si="4"/>
        <v/>
      </c>
      <c r="C18" s="39"/>
      <c r="D18" s="39"/>
      <c r="E18" s="39"/>
      <c r="F18" s="39"/>
      <c r="G18" s="32"/>
      <c r="H18" s="101">
        <v>13</v>
      </c>
      <c r="I18" s="102" t="str">
        <f t="shared" si="0"/>
        <v/>
      </c>
      <c r="J18" s="101" t="e">
        <f t="shared" si="5"/>
        <v>#NUM!</v>
      </c>
      <c r="K18" s="101" t="e">
        <f t="shared" si="1"/>
        <v>#NUM!</v>
      </c>
      <c r="L18" s="101"/>
      <c r="M18" s="103">
        <f t="shared" si="2"/>
        <v>0</v>
      </c>
    </row>
    <row r="19" spans="1:19" x14ac:dyDescent="0.25">
      <c r="A19" s="138">
        <f t="shared" si="3"/>
        <v>0</v>
      </c>
      <c r="B19" s="44" t="str">
        <f t="shared" si="4"/>
        <v/>
      </c>
      <c r="C19" s="45"/>
      <c r="D19" s="45"/>
      <c r="E19" s="45"/>
      <c r="F19" s="45"/>
      <c r="G19" s="32"/>
      <c r="H19" s="104">
        <v>14</v>
      </c>
      <c r="I19" s="105" t="str">
        <f t="shared" si="0"/>
        <v/>
      </c>
      <c r="J19" s="104" t="e">
        <f t="shared" si="5"/>
        <v>#NUM!</v>
      </c>
      <c r="K19" s="104" t="e">
        <f t="shared" si="1"/>
        <v>#NUM!</v>
      </c>
      <c r="L19" s="104"/>
      <c r="M19" s="106">
        <f t="shared" si="2"/>
        <v>0</v>
      </c>
    </row>
    <row r="20" spans="1:19" x14ac:dyDescent="0.25">
      <c r="A20" s="137">
        <f t="shared" si="3"/>
        <v>0</v>
      </c>
      <c r="B20" s="38" t="str">
        <f t="shared" si="4"/>
        <v/>
      </c>
      <c r="C20" s="39"/>
      <c r="D20" s="39"/>
      <c r="E20" s="39"/>
      <c r="F20" s="39"/>
      <c r="G20" s="32"/>
      <c r="H20" s="101">
        <v>15</v>
      </c>
      <c r="I20" s="102" t="str">
        <f t="shared" si="0"/>
        <v/>
      </c>
      <c r="J20" s="101" t="e">
        <f t="shared" si="5"/>
        <v>#NUM!</v>
      </c>
      <c r="K20" s="101" t="e">
        <f t="shared" si="1"/>
        <v>#NUM!</v>
      </c>
      <c r="L20" s="101"/>
      <c r="M20" s="103">
        <f t="shared" si="2"/>
        <v>0</v>
      </c>
      <c r="R20" s="114"/>
      <c r="S20" s="115"/>
    </row>
    <row r="21" spans="1:19" x14ac:dyDescent="0.25">
      <c r="A21" s="138">
        <f t="shared" si="3"/>
        <v>0</v>
      </c>
      <c r="B21" s="44" t="str">
        <f t="shared" si="4"/>
        <v/>
      </c>
      <c r="C21" s="45"/>
      <c r="D21" s="45"/>
      <c r="E21" s="45"/>
      <c r="F21" s="45"/>
      <c r="G21" s="32"/>
      <c r="H21" s="104">
        <v>16</v>
      </c>
      <c r="I21" s="105" t="str">
        <f t="shared" si="0"/>
        <v/>
      </c>
      <c r="J21" s="104" t="e">
        <f t="shared" si="5"/>
        <v>#NUM!</v>
      </c>
      <c r="K21" s="104" t="e">
        <f t="shared" si="1"/>
        <v>#NUM!</v>
      </c>
      <c r="L21" s="104"/>
      <c r="M21" s="106">
        <f t="shared" si="2"/>
        <v>0</v>
      </c>
    </row>
    <row r="22" spans="1:19" x14ac:dyDescent="0.25">
      <c r="A22" s="137">
        <f t="shared" si="3"/>
        <v>0</v>
      </c>
      <c r="B22" s="38" t="str">
        <f t="shared" si="4"/>
        <v/>
      </c>
      <c r="C22" s="39"/>
      <c r="D22" s="39"/>
      <c r="E22" s="39"/>
      <c r="F22" s="39"/>
      <c r="G22" s="32"/>
      <c r="H22" s="101">
        <v>17</v>
      </c>
      <c r="I22" s="102" t="str">
        <f t="shared" si="0"/>
        <v/>
      </c>
      <c r="J22" s="101" t="e">
        <f t="shared" si="5"/>
        <v>#NUM!</v>
      </c>
      <c r="K22" s="101" t="e">
        <f t="shared" si="1"/>
        <v>#NUM!</v>
      </c>
      <c r="L22" s="101"/>
      <c r="M22" s="103">
        <f t="shared" si="2"/>
        <v>0</v>
      </c>
    </row>
    <row r="23" spans="1:19" x14ac:dyDescent="0.25">
      <c r="A23" s="138">
        <f t="shared" si="3"/>
        <v>0</v>
      </c>
      <c r="B23" s="44" t="str">
        <f t="shared" si="4"/>
        <v/>
      </c>
      <c r="C23" s="45"/>
      <c r="D23" s="45"/>
      <c r="E23" s="45"/>
      <c r="F23" s="45"/>
      <c r="G23" s="32"/>
      <c r="H23" s="104">
        <v>18</v>
      </c>
      <c r="I23" s="105" t="str">
        <f t="shared" si="0"/>
        <v/>
      </c>
      <c r="J23" s="104" t="e">
        <f t="shared" si="5"/>
        <v>#NUM!</v>
      </c>
      <c r="K23" s="104" t="e">
        <f t="shared" si="1"/>
        <v>#NUM!</v>
      </c>
      <c r="L23" s="104"/>
      <c r="M23" s="106">
        <f t="shared" si="2"/>
        <v>0</v>
      </c>
    </row>
    <row r="24" spans="1:19" x14ac:dyDescent="0.25">
      <c r="A24" s="137">
        <f t="shared" si="3"/>
        <v>0</v>
      </c>
      <c r="B24" s="38" t="str">
        <f t="shared" si="4"/>
        <v/>
      </c>
      <c r="C24" s="39"/>
      <c r="D24" s="39"/>
      <c r="E24" s="39"/>
      <c r="F24" s="39"/>
      <c r="G24" s="32"/>
      <c r="H24" s="101">
        <v>19</v>
      </c>
      <c r="I24" s="102" t="str">
        <f t="shared" si="0"/>
        <v/>
      </c>
      <c r="J24" s="101" t="e">
        <f t="shared" si="5"/>
        <v>#NUM!</v>
      </c>
      <c r="K24" s="101" t="e">
        <f t="shared" si="1"/>
        <v>#NUM!</v>
      </c>
      <c r="L24" s="101"/>
      <c r="M24" s="103">
        <f t="shared" si="2"/>
        <v>0</v>
      </c>
      <c r="R24" s="114"/>
      <c r="S24" s="115"/>
    </row>
    <row r="25" spans="1:19" x14ac:dyDescent="0.25">
      <c r="A25" s="138">
        <f t="shared" si="3"/>
        <v>0</v>
      </c>
      <c r="B25" s="44" t="str">
        <f t="shared" si="4"/>
        <v/>
      </c>
      <c r="C25" s="45"/>
      <c r="D25" s="45"/>
      <c r="E25" s="45"/>
      <c r="F25" s="45"/>
      <c r="G25" s="32"/>
      <c r="H25" s="104">
        <v>20</v>
      </c>
      <c r="I25" s="105" t="str">
        <f t="shared" si="0"/>
        <v/>
      </c>
      <c r="J25" s="104" t="e">
        <f t="shared" si="5"/>
        <v>#NUM!</v>
      </c>
      <c r="K25" s="104" t="e">
        <f t="shared" si="1"/>
        <v>#NUM!</v>
      </c>
      <c r="L25" s="104"/>
      <c r="M25" s="106">
        <f t="shared" si="2"/>
        <v>0</v>
      </c>
    </row>
    <row r="26" spans="1:19" x14ac:dyDescent="0.25">
      <c r="A26" s="137">
        <f t="shared" si="3"/>
        <v>0</v>
      </c>
      <c r="B26" s="38" t="str">
        <f t="shared" si="4"/>
        <v/>
      </c>
      <c r="C26" s="39"/>
      <c r="D26" s="39"/>
      <c r="E26" s="39"/>
      <c r="F26" s="39"/>
      <c r="G26" s="32"/>
      <c r="H26" s="101">
        <v>21</v>
      </c>
      <c r="I26" s="102" t="str">
        <f t="shared" si="0"/>
        <v/>
      </c>
      <c r="J26" s="101" t="e">
        <f t="shared" si="5"/>
        <v>#NUM!</v>
      </c>
      <c r="K26" s="101" t="e">
        <f t="shared" si="1"/>
        <v>#NUM!</v>
      </c>
      <c r="L26" s="101"/>
      <c r="M26" s="103">
        <f t="shared" si="2"/>
        <v>0</v>
      </c>
    </row>
    <row r="27" spans="1:19" x14ac:dyDescent="0.25">
      <c r="A27" s="138">
        <f t="shared" si="3"/>
        <v>0</v>
      </c>
      <c r="B27" s="44" t="str">
        <f t="shared" si="4"/>
        <v/>
      </c>
      <c r="C27" s="45"/>
      <c r="D27" s="45"/>
      <c r="E27" s="45"/>
      <c r="F27" s="45"/>
      <c r="G27" s="32"/>
      <c r="H27" s="104">
        <v>22</v>
      </c>
      <c r="I27" s="105" t="str">
        <f t="shared" si="0"/>
        <v/>
      </c>
      <c r="J27" s="104" t="e">
        <f t="shared" si="5"/>
        <v>#NUM!</v>
      </c>
      <c r="K27" s="104" t="e">
        <f t="shared" si="1"/>
        <v>#NUM!</v>
      </c>
      <c r="L27" s="104"/>
      <c r="M27" s="106">
        <f t="shared" si="2"/>
        <v>0</v>
      </c>
    </row>
    <row r="28" spans="1:19" x14ac:dyDescent="0.25">
      <c r="A28" s="137">
        <f t="shared" si="3"/>
        <v>0</v>
      </c>
      <c r="B28" s="38" t="str">
        <f t="shared" si="4"/>
        <v/>
      </c>
      <c r="C28" s="39"/>
      <c r="D28" s="39"/>
      <c r="E28" s="39"/>
      <c r="F28" s="39"/>
      <c r="G28" s="32"/>
      <c r="H28" s="101">
        <v>23</v>
      </c>
      <c r="I28" s="102" t="str">
        <f t="shared" si="0"/>
        <v/>
      </c>
      <c r="J28" s="101" t="e">
        <f t="shared" si="5"/>
        <v>#NUM!</v>
      </c>
      <c r="K28" s="101" t="e">
        <f t="shared" si="1"/>
        <v>#NUM!</v>
      </c>
      <c r="L28" s="101"/>
      <c r="M28" s="103">
        <f t="shared" si="2"/>
        <v>0</v>
      </c>
      <c r="R28" s="114"/>
      <c r="S28" s="115"/>
    </row>
    <row r="29" spans="1:19" x14ac:dyDescent="0.25">
      <c r="A29" s="138">
        <f t="shared" si="3"/>
        <v>0</v>
      </c>
      <c r="B29" s="44" t="str">
        <f t="shared" si="4"/>
        <v/>
      </c>
      <c r="C29" s="45"/>
      <c r="D29" s="45"/>
      <c r="E29" s="45"/>
      <c r="F29" s="45"/>
      <c r="G29" s="84"/>
      <c r="H29" s="104">
        <v>24</v>
      </c>
      <c r="I29" s="105" t="str">
        <f t="shared" si="0"/>
        <v/>
      </c>
      <c r="J29" s="104" t="e">
        <f t="shared" si="5"/>
        <v>#NUM!</v>
      </c>
      <c r="K29" s="104" t="e">
        <f t="shared" si="1"/>
        <v>#NUM!</v>
      </c>
      <c r="L29" s="104"/>
      <c r="M29" s="106">
        <f t="shared" si="2"/>
        <v>0</v>
      </c>
    </row>
    <row r="30" spans="1:19" x14ac:dyDescent="0.25">
      <c r="A30" s="137">
        <f t="shared" si="3"/>
        <v>0</v>
      </c>
      <c r="B30" s="38" t="str">
        <f t="shared" si="4"/>
        <v/>
      </c>
      <c r="C30" s="39"/>
      <c r="D30" s="39"/>
      <c r="E30" s="39"/>
      <c r="F30" s="39"/>
      <c r="G30" s="84"/>
      <c r="H30" s="101">
        <v>25</v>
      </c>
      <c r="I30" s="102" t="str">
        <f t="shared" si="0"/>
        <v/>
      </c>
      <c r="J30" s="101" t="e">
        <f t="shared" si="5"/>
        <v>#NUM!</v>
      </c>
      <c r="K30" s="101" t="e">
        <f t="shared" si="1"/>
        <v>#NUM!</v>
      </c>
      <c r="L30" s="101"/>
      <c r="M30" s="103">
        <f t="shared" si="2"/>
        <v>0</v>
      </c>
    </row>
    <row r="31" spans="1:19" x14ac:dyDescent="0.25">
      <c r="A31" s="138">
        <f t="shared" si="3"/>
        <v>0</v>
      </c>
      <c r="B31" s="44" t="str">
        <f t="shared" si="4"/>
        <v/>
      </c>
      <c r="C31" s="45"/>
      <c r="D31" s="45"/>
      <c r="E31" s="45"/>
      <c r="F31" s="45"/>
      <c r="G31" s="84"/>
      <c r="H31" s="104">
        <v>26</v>
      </c>
      <c r="I31" s="105" t="str">
        <f t="shared" si="0"/>
        <v/>
      </c>
      <c r="J31" s="104" t="e">
        <f t="shared" si="5"/>
        <v>#NUM!</v>
      </c>
      <c r="K31" s="104" t="e">
        <f t="shared" si="1"/>
        <v>#NUM!</v>
      </c>
      <c r="L31" s="104"/>
      <c r="M31" s="106">
        <f t="shared" si="2"/>
        <v>0</v>
      </c>
    </row>
    <row r="32" spans="1:19" x14ac:dyDescent="0.25">
      <c r="A32" s="137">
        <f t="shared" si="3"/>
        <v>0</v>
      </c>
      <c r="B32" s="38" t="str">
        <f t="shared" si="4"/>
        <v/>
      </c>
      <c r="C32" s="39"/>
      <c r="D32" s="39"/>
      <c r="E32" s="39"/>
      <c r="F32" s="39"/>
      <c r="G32" s="84"/>
      <c r="H32" s="101">
        <v>27</v>
      </c>
      <c r="I32" s="102" t="str">
        <f t="shared" si="0"/>
        <v/>
      </c>
      <c r="J32" s="101" t="e">
        <f t="shared" si="5"/>
        <v>#NUM!</v>
      </c>
      <c r="K32" s="101" t="e">
        <f t="shared" si="1"/>
        <v>#NUM!</v>
      </c>
      <c r="L32" s="101"/>
      <c r="M32" s="103">
        <f t="shared" si="2"/>
        <v>0</v>
      </c>
      <c r="R32" s="114"/>
      <c r="S32" s="115"/>
    </row>
    <row r="33" spans="1:21" x14ac:dyDescent="0.25">
      <c r="A33" s="138">
        <f t="shared" si="3"/>
        <v>0</v>
      </c>
      <c r="B33" s="44" t="str">
        <f t="shared" si="4"/>
        <v/>
      </c>
      <c r="C33" s="45"/>
      <c r="D33" s="45"/>
      <c r="E33" s="45"/>
      <c r="F33" s="45"/>
      <c r="G33" s="84"/>
      <c r="H33" s="104">
        <v>28</v>
      </c>
      <c r="I33" s="105" t="str">
        <f t="shared" si="0"/>
        <v/>
      </c>
      <c r="J33" s="104" t="e">
        <f t="shared" si="5"/>
        <v>#NUM!</v>
      </c>
      <c r="K33" s="104" t="e">
        <f t="shared" si="1"/>
        <v>#NUM!</v>
      </c>
      <c r="L33" s="104"/>
      <c r="M33" s="106">
        <f t="shared" si="2"/>
        <v>0</v>
      </c>
    </row>
    <row r="34" spans="1:21" x14ac:dyDescent="0.25">
      <c r="A34" s="137">
        <f t="shared" si="3"/>
        <v>0</v>
      </c>
      <c r="B34" s="38" t="str">
        <f t="shared" si="4"/>
        <v/>
      </c>
      <c r="C34" s="39"/>
      <c r="D34" s="39"/>
      <c r="E34" s="39"/>
      <c r="F34" s="39"/>
      <c r="G34" s="84"/>
      <c r="H34" s="101">
        <v>29</v>
      </c>
      <c r="I34" s="102" t="str">
        <f t="shared" si="0"/>
        <v/>
      </c>
      <c r="J34" s="101" t="e">
        <f t="shared" si="5"/>
        <v>#NUM!</v>
      </c>
      <c r="K34" s="101" t="e">
        <f t="shared" si="1"/>
        <v>#NUM!</v>
      </c>
      <c r="L34" s="101"/>
      <c r="M34" s="103">
        <f t="shared" si="2"/>
        <v>0</v>
      </c>
    </row>
    <row r="35" spans="1:21" x14ac:dyDescent="0.25">
      <c r="A35" s="138">
        <f t="shared" si="3"/>
        <v>0</v>
      </c>
      <c r="B35" s="44" t="str">
        <f t="shared" si="4"/>
        <v/>
      </c>
      <c r="C35" s="45"/>
      <c r="D35" s="45"/>
      <c r="E35" s="45"/>
      <c r="F35" s="45"/>
      <c r="G35" s="84"/>
      <c r="H35" s="104">
        <v>30</v>
      </c>
      <c r="I35" s="105" t="str">
        <f t="shared" si="0"/>
        <v/>
      </c>
      <c r="J35" s="104" t="e">
        <f t="shared" si="5"/>
        <v>#NUM!</v>
      </c>
      <c r="K35" s="104" t="e">
        <f t="shared" si="1"/>
        <v>#NUM!</v>
      </c>
      <c r="L35" s="104"/>
      <c r="M35" s="106">
        <f t="shared" si="2"/>
        <v>0</v>
      </c>
    </row>
    <row r="36" spans="1:21" x14ac:dyDescent="0.25">
      <c r="A36" s="137">
        <f t="shared" si="3"/>
        <v>0</v>
      </c>
      <c r="B36" s="38" t="str">
        <f t="shared" si="4"/>
        <v/>
      </c>
      <c r="C36" s="39"/>
      <c r="D36" s="39"/>
      <c r="E36" s="39"/>
      <c r="F36" s="39"/>
      <c r="G36" s="84"/>
      <c r="H36" s="101">
        <v>31</v>
      </c>
      <c r="I36" s="102" t="str">
        <f t="shared" si="0"/>
        <v/>
      </c>
      <c r="J36" s="101" t="e">
        <f t="shared" si="5"/>
        <v>#NUM!</v>
      </c>
      <c r="K36" s="101" t="e">
        <f t="shared" si="1"/>
        <v>#NUM!</v>
      </c>
      <c r="L36" s="101"/>
      <c r="M36" s="103">
        <f t="shared" si="2"/>
        <v>0</v>
      </c>
      <c r="R36" s="114"/>
      <c r="S36" s="115"/>
    </row>
    <row r="37" spans="1:21" x14ac:dyDescent="0.25">
      <c r="A37" s="138">
        <f t="shared" si="3"/>
        <v>0</v>
      </c>
      <c r="B37" s="44" t="str">
        <f t="shared" si="4"/>
        <v/>
      </c>
      <c r="C37" s="45"/>
      <c r="D37" s="45"/>
      <c r="E37" s="45"/>
      <c r="F37" s="45"/>
      <c r="G37" s="84"/>
      <c r="H37" s="104">
        <v>32</v>
      </c>
      <c r="I37" s="105" t="str">
        <f t="shared" si="0"/>
        <v/>
      </c>
      <c r="J37" s="104" t="e">
        <f t="shared" si="5"/>
        <v>#NUM!</v>
      </c>
      <c r="K37" s="104" t="e">
        <f t="shared" si="1"/>
        <v>#NUM!</v>
      </c>
      <c r="L37" s="104"/>
      <c r="M37" s="106">
        <f t="shared" si="2"/>
        <v>0</v>
      </c>
    </row>
    <row r="38" spans="1:21" x14ac:dyDescent="0.25">
      <c r="A38" s="137"/>
      <c r="B38" s="38" t="str">
        <f t="shared" si="4"/>
        <v/>
      </c>
      <c r="C38" s="39"/>
      <c r="D38" s="39"/>
      <c r="E38" s="39"/>
      <c r="F38" s="39"/>
      <c r="G38" s="84"/>
      <c r="H38" s="101">
        <v>33</v>
      </c>
      <c r="I38" s="102" t="str">
        <f t="shared" si="0"/>
        <v/>
      </c>
      <c r="J38" s="101" t="e">
        <f t="shared" si="5"/>
        <v>#NUM!</v>
      </c>
      <c r="K38" s="101" t="e">
        <f t="shared" si="1"/>
        <v>#NUM!</v>
      </c>
      <c r="L38" s="101"/>
      <c r="M38" s="103">
        <f t="shared" si="2"/>
        <v>0</v>
      </c>
    </row>
    <row r="39" spans="1:21" x14ac:dyDescent="0.25">
      <c r="A39" s="138"/>
      <c r="B39" s="44" t="str">
        <f t="shared" si="4"/>
        <v/>
      </c>
      <c r="C39" s="45"/>
      <c r="D39" s="45"/>
      <c r="E39" s="45"/>
      <c r="F39" s="45"/>
      <c r="G39" s="84"/>
      <c r="H39" s="104">
        <v>34</v>
      </c>
      <c r="I39" s="105" t="str">
        <f t="shared" si="0"/>
        <v/>
      </c>
      <c r="J39" s="104" t="e">
        <f t="shared" si="5"/>
        <v>#NUM!</v>
      </c>
      <c r="K39" s="104" t="e">
        <f t="shared" si="1"/>
        <v>#NUM!</v>
      </c>
      <c r="L39" s="104"/>
      <c r="M39" s="106">
        <f t="shared" si="2"/>
        <v>0</v>
      </c>
    </row>
    <row r="40" spans="1:21" x14ac:dyDescent="0.25">
      <c r="A40" s="137"/>
      <c r="B40" s="38" t="str">
        <f t="shared" si="4"/>
        <v/>
      </c>
      <c r="C40" s="39"/>
      <c r="D40" s="39"/>
      <c r="E40" s="39"/>
      <c r="F40" s="39"/>
      <c r="G40" s="84"/>
      <c r="H40" s="101">
        <v>35</v>
      </c>
      <c r="I40" s="102" t="str">
        <f t="shared" si="0"/>
        <v/>
      </c>
      <c r="J40" s="101" t="e">
        <f t="shared" si="5"/>
        <v>#NUM!</v>
      </c>
      <c r="K40" s="101" t="e">
        <f t="shared" si="1"/>
        <v>#NUM!</v>
      </c>
      <c r="L40" s="101"/>
      <c r="M40" s="103">
        <f t="shared" si="2"/>
        <v>0</v>
      </c>
    </row>
    <row r="41" spans="1:21" x14ac:dyDescent="0.25">
      <c r="A41" s="138"/>
      <c r="B41" s="44" t="str">
        <f t="shared" si="4"/>
        <v/>
      </c>
      <c r="C41" s="45"/>
      <c r="D41" s="45"/>
      <c r="E41" s="45"/>
      <c r="F41" s="45"/>
      <c r="G41" s="84"/>
      <c r="H41" s="104">
        <v>36</v>
      </c>
      <c r="I41" s="105" t="str">
        <f t="shared" si="0"/>
        <v/>
      </c>
      <c r="J41" s="104" t="e">
        <f t="shared" si="5"/>
        <v>#NUM!</v>
      </c>
      <c r="K41" s="104" t="e">
        <f t="shared" si="1"/>
        <v>#NUM!</v>
      </c>
      <c r="L41" s="104"/>
      <c r="M41" s="106">
        <f t="shared" si="2"/>
        <v>0</v>
      </c>
      <c r="S41" s="116"/>
    </row>
    <row r="42" spans="1:21" x14ac:dyDescent="0.25">
      <c r="A42" s="137"/>
      <c r="B42" s="38" t="str">
        <f t="shared" si="4"/>
        <v/>
      </c>
      <c r="C42" s="39"/>
      <c r="D42" s="39"/>
      <c r="E42" s="39"/>
      <c r="F42" s="39"/>
      <c r="G42" s="84"/>
      <c r="H42" s="101">
        <v>37</v>
      </c>
      <c r="I42" s="102" t="str">
        <f t="shared" si="0"/>
        <v/>
      </c>
      <c r="J42" s="101" t="e">
        <f t="shared" si="5"/>
        <v>#NUM!</v>
      </c>
      <c r="K42" s="101" t="e">
        <f t="shared" si="1"/>
        <v>#NUM!</v>
      </c>
      <c r="L42" s="101"/>
      <c r="M42" s="103">
        <f t="shared" si="2"/>
        <v>0</v>
      </c>
    </row>
    <row r="43" spans="1:21" x14ac:dyDescent="0.25">
      <c r="A43" s="138"/>
      <c r="B43" s="44" t="str">
        <f t="shared" si="4"/>
        <v/>
      </c>
      <c r="C43" s="45"/>
      <c r="D43" s="45"/>
      <c r="E43" s="45"/>
      <c r="F43" s="45"/>
      <c r="G43" s="84"/>
      <c r="H43" s="104">
        <v>38</v>
      </c>
      <c r="I43" s="105" t="str">
        <f t="shared" si="0"/>
        <v/>
      </c>
      <c r="J43" s="104" t="e">
        <f t="shared" si="5"/>
        <v>#NUM!</v>
      </c>
      <c r="K43" s="104" t="e">
        <f t="shared" si="1"/>
        <v>#NUM!</v>
      </c>
      <c r="L43" s="104"/>
      <c r="M43" s="106">
        <f t="shared" si="2"/>
        <v>0</v>
      </c>
    </row>
    <row r="44" spans="1:21" x14ac:dyDescent="0.25">
      <c r="A44" s="137"/>
      <c r="B44" s="38" t="str">
        <f t="shared" si="4"/>
        <v/>
      </c>
      <c r="C44" s="39"/>
      <c r="D44" s="39"/>
      <c r="E44" s="39"/>
      <c r="F44" s="39"/>
      <c r="G44" s="84"/>
      <c r="H44" s="101">
        <v>39</v>
      </c>
      <c r="I44" s="102" t="str">
        <f t="shared" si="0"/>
        <v/>
      </c>
      <c r="J44" s="101" t="e">
        <f t="shared" si="5"/>
        <v>#NUM!</v>
      </c>
      <c r="K44" s="101" t="e">
        <f t="shared" si="1"/>
        <v>#NUM!</v>
      </c>
      <c r="L44" s="101"/>
      <c r="M44" s="103">
        <f t="shared" si="2"/>
        <v>0</v>
      </c>
    </row>
    <row r="45" spans="1:21" x14ac:dyDescent="0.25">
      <c r="A45" s="138"/>
      <c r="B45" s="44" t="str">
        <f t="shared" si="4"/>
        <v/>
      </c>
      <c r="C45" s="45"/>
      <c r="D45" s="45"/>
      <c r="E45" s="45"/>
      <c r="F45" s="45"/>
      <c r="G45" s="84"/>
      <c r="H45" s="104">
        <v>40</v>
      </c>
      <c r="I45" s="105" t="str">
        <f t="shared" si="0"/>
        <v/>
      </c>
      <c r="J45" s="104" t="e">
        <f t="shared" si="5"/>
        <v>#NUM!</v>
      </c>
      <c r="K45" s="104" t="e">
        <f t="shared" si="1"/>
        <v>#NUM!</v>
      </c>
      <c r="L45" s="104"/>
      <c r="M45" s="106">
        <f t="shared" si="2"/>
        <v>0</v>
      </c>
    </row>
    <row r="46" spans="1:21" x14ac:dyDescent="0.25">
      <c r="A46" s="137"/>
      <c r="B46" s="38" t="str">
        <f t="shared" si="4"/>
        <v/>
      </c>
      <c r="C46" s="39"/>
      <c r="D46" s="39"/>
      <c r="E46" s="39"/>
      <c r="F46" s="39"/>
      <c r="G46" s="84"/>
      <c r="H46" s="101">
        <v>41</v>
      </c>
      <c r="I46" s="102" t="str">
        <f t="shared" si="0"/>
        <v/>
      </c>
      <c r="J46" s="101" t="e">
        <f t="shared" si="5"/>
        <v>#NUM!</v>
      </c>
      <c r="K46" s="101" t="e">
        <f t="shared" si="1"/>
        <v>#NUM!</v>
      </c>
      <c r="L46" s="101"/>
      <c r="M46" s="103">
        <f t="shared" si="2"/>
        <v>0</v>
      </c>
      <c r="R46" s="84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x14ac:dyDescent="0.25">
      <c r="A47" s="138"/>
      <c r="B47" s="44" t="str">
        <f t="shared" si="4"/>
        <v/>
      </c>
      <c r="C47" s="45"/>
      <c r="D47" s="45"/>
      <c r="E47" s="45"/>
      <c r="F47" s="45"/>
      <c r="G47" s="84"/>
      <c r="H47" s="104">
        <v>42</v>
      </c>
      <c r="I47" s="105" t="str">
        <f t="shared" si="0"/>
        <v/>
      </c>
      <c r="J47" s="104" t="e">
        <f t="shared" si="5"/>
        <v>#NUM!</v>
      </c>
      <c r="K47" s="104" t="e">
        <f t="shared" si="1"/>
        <v>#NUM!</v>
      </c>
      <c r="L47" s="104"/>
      <c r="M47" s="106">
        <f t="shared" si="2"/>
        <v>0</v>
      </c>
    </row>
    <row r="48" spans="1:21" x14ac:dyDescent="0.25">
      <c r="A48" s="137"/>
      <c r="B48" s="38" t="str">
        <f t="shared" si="4"/>
        <v/>
      </c>
      <c r="C48" s="39"/>
      <c r="D48" s="39"/>
      <c r="E48" s="39"/>
      <c r="F48" s="39"/>
      <c r="G48" s="84"/>
      <c r="H48" s="101">
        <v>43</v>
      </c>
      <c r="I48" s="102" t="str">
        <f t="shared" si="0"/>
        <v/>
      </c>
      <c r="J48" s="101" t="e">
        <f t="shared" si="5"/>
        <v>#NUM!</v>
      </c>
      <c r="K48" s="101" t="e">
        <f t="shared" si="1"/>
        <v>#NUM!</v>
      </c>
      <c r="L48" s="101"/>
      <c r="M48" s="103">
        <f t="shared" si="2"/>
        <v>0</v>
      </c>
    </row>
    <row r="49" spans="1:13" x14ac:dyDescent="0.25">
      <c r="A49" s="138"/>
      <c r="B49" s="44" t="str">
        <f t="shared" si="4"/>
        <v/>
      </c>
      <c r="C49" s="45"/>
      <c r="D49" s="45"/>
      <c r="E49" s="45"/>
      <c r="F49" s="45"/>
      <c r="G49" s="84"/>
      <c r="H49" s="104">
        <v>44</v>
      </c>
      <c r="I49" s="105" t="str">
        <f t="shared" si="0"/>
        <v/>
      </c>
      <c r="J49" s="104" t="e">
        <f t="shared" si="5"/>
        <v>#NUM!</v>
      </c>
      <c r="K49" s="104" t="e">
        <f t="shared" si="1"/>
        <v>#NUM!</v>
      </c>
      <c r="L49" s="104"/>
      <c r="M49" s="106">
        <f t="shared" si="2"/>
        <v>0</v>
      </c>
    </row>
    <row r="50" spans="1:13" x14ac:dyDescent="0.25">
      <c r="A50" s="137"/>
      <c r="B50" s="38" t="str">
        <f t="shared" si="4"/>
        <v/>
      </c>
      <c r="C50" s="39"/>
      <c r="D50" s="39"/>
      <c r="E50" s="39"/>
      <c r="F50" s="39"/>
      <c r="G50" s="84"/>
      <c r="H50" s="101">
        <v>45</v>
      </c>
      <c r="I50" s="102" t="str">
        <f t="shared" si="0"/>
        <v/>
      </c>
      <c r="J50" s="101" t="e">
        <f t="shared" si="5"/>
        <v>#NUM!</v>
      </c>
      <c r="K50" s="101" t="e">
        <f t="shared" si="1"/>
        <v>#NUM!</v>
      </c>
      <c r="L50" s="101"/>
      <c r="M50" s="103">
        <f t="shared" si="2"/>
        <v>0</v>
      </c>
    </row>
    <row r="51" spans="1:13" x14ac:dyDescent="0.25">
      <c r="A51" s="138"/>
      <c r="B51" s="44" t="str">
        <f t="shared" si="4"/>
        <v/>
      </c>
      <c r="C51" s="45"/>
      <c r="D51" s="45"/>
      <c r="E51" s="45"/>
      <c r="F51" s="45"/>
      <c r="G51" s="84"/>
      <c r="H51" s="104">
        <v>46</v>
      </c>
      <c r="I51" s="105" t="str">
        <f t="shared" si="0"/>
        <v/>
      </c>
      <c r="J51" s="104" t="e">
        <f t="shared" si="5"/>
        <v>#NUM!</v>
      </c>
      <c r="K51" s="104" t="e">
        <f t="shared" si="1"/>
        <v>#NUM!</v>
      </c>
      <c r="L51" s="104"/>
      <c r="M51" s="106">
        <f t="shared" si="2"/>
        <v>0</v>
      </c>
    </row>
    <row r="52" spans="1:13" x14ac:dyDescent="0.25">
      <c r="A52" s="137"/>
      <c r="B52" s="38" t="str">
        <f t="shared" si="4"/>
        <v/>
      </c>
      <c r="C52" s="39"/>
      <c r="D52" s="39"/>
      <c r="E52" s="39"/>
      <c r="F52" s="39"/>
      <c r="G52" s="84"/>
      <c r="H52" s="101">
        <v>47</v>
      </c>
      <c r="I52" s="102" t="str">
        <f t="shared" si="0"/>
        <v/>
      </c>
      <c r="J52" s="101" t="e">
        <f t="shared" si="5"/>
        <v>#NUM!</v>
      </c>
      <c r="K52" s="101" t="e">
        <f t="shared" si="1"/>
        <v>#NUM!</v>
      </c>
      <c r="L52" s="101"/>
      <c r="M52" s="103">
        <f t="shared" si="2"/>
        <v>0</v>
      </c>
    </row>
    <row r="53" spans="1:13" x14ac:dyDescent="0.25">
      <c r="A53" s="138"/>
      <c r="B53" s="44" t="str">
        <f t="shared" si="4"/>
        <v/>
      </c>
      <c r="C53" s="45"/>
      <c r="D53" s="45"/>
      <c r="E53" s="45"/>
      <c r="F53" s="45"/>
      <c r="G53" s="84"/>
      <c r="H53" s="104">
        <v>48</v>
      </c>
      <c r="I53" s="105" t="str">
        <f t="shared" si="0"/>
        <v/>
      </c>
      <c r="J53" s="104" t="e">
        <f t="shared" si="5"/>
        <v>#NUM!</v>
      </c>
      <c r="K53" s="104" t="e">
        <f t="shared" si="1"/>
        <v>#NUM!</v>
      </c>
      <c r="L53" s="104"/>
      <c r="M53" s="106">
        <f t="shared" si="2"/>
        <v>0</v>
      </c>
    </row>
    <row r="54" spans="1:13" x14ac:dyDescent="0.25">
      <c r="A54" s="137"/>
      <c r="B54" s="38" t="str">
        <f t="shared" si="4"/>
        <v/>
      </c>
      <c r="C54" s="39"/>
      <c r="D54" s="39"/>
      <c r="E54" s="39"/>
      <c r="F54" s="39"/>
      <c r="G54" s="84"/>
      <c r="H54" s="101">
        <v>49</v>
      </c>
      <c r="I54" s="102" t="str">
        <f t="shared" si="0"/>
        <v/>
      </c>
      <c r="J54" s="101" t="e">
        <f t="shared" si="5"/>
        <v>#NUM!</v>
      </c>
      <c r="K54" s="101" t="e">
        <f t="shared" si="1"/>
        <v>#NUM!</v>
      </c>
      <c r="L54" s="101"/>
      <c r="M54" s="103">
        <f t="shared" si="2"/>
        <v>0</v>
      </c>
    </row>
    <row r="55" spans="1:13" x14ac:dyDescent="0.25">
      <c r="A55" s="138"/>
      <c r="B55" s="44" t="str">
        <f t="shared" si="4"/>
        <v/>
      </c>
      <c r="C55" s="45"/>
      <c r="D55" s="45"/>
      <c r="E55" s="45"/>
      <c r="F55" s="45"/>
      <c r="G55" s="84"/>
      <c r="H55" s="104">
        <v>50</v>
      </c>
      <c r="I55" s="105" t="str">
        <f t="shared" si="0"/>
        <v/>
      </c>
      <c r="J55" s="104" t="e">
        <f t="shared" si="5"/>
        <v>#NUM!</v>
      </c>
      <c r="K55" s="104" t="e">
        <f t="shared" si="1"/>
        <v>#NUM!</v>
      </c>
      <c r="L55" s="104"/>
      <c r="M55" s="106">
        <f t="shared" si="2"/>
        <v>0</v>
      </c>
    </row>
    <row r="56" spans="1:13" x14ac:dyDescent="0.25">
      <c r="A56" s="137"/>
      <c r="B56" s="38" t="str">
        <f t="shared" si="4"/>
        <v/>
      </c>
      <c r="C56" s="39"/>
      <c r="D56" s="39"/>
      <c r="E56" s="39"/>
      <c r="F56" s="39"/>
      <c r="G56" s="84"/>
      <c r="H56" s="101">
        <v>51</v>
      </c>
      <c r="I56" s="102" t="str">
        <f t="shared" si="0"/>
        <v/>
      </c>
      <c r="J56" s="101" t="e">
        <f t="shared" si="5"/>
        <v>#NUM!</v>
      </c>
      <c r="K56" s="101" t="e">
        <f t="shared" si="1"/>
        <v>#NUM!</v>
      </c>
      <c r="L56" s="101"/>
      <c r="M56" s="103">
        <f t="shared" si="2"/>
        <v>0</v>
      </c>
    </row>
    <row r="57" spans="1:13" x14ac:dyDescent="0.25">
      <c r="A57" s="138"/>
      <c r="B57" s="44" t="str">
        <f t="shared" si="4"/>
        <v/>
      </c>
      <c r="C57" s="45"/>
      <c r="D57" s="45"/>
      <c r="E57" s="45"/>
      <c r="F57" s="45"/>
      <c r="G57" s="84"/>
      <c r="H57" s="104">
        <v>52</v>
      </c>
      <c r="I57" s="105" t="str">
        <f t="shared" si="0"/>
        <v/>
      </c>
      <c r="J57" s="104" t="e">
        <f t="shared" si="5"/>
        <v>#NUM!</v>
      </c>
      <c r="K57" s="104" t="e">
        <f t="shared" si="1"/>
        <v>#NUM!</v>
      </c>
      <c r="L57" s="104"/>
      <c r="M57" s="106">
        <f t="shared" si="2"/>
        <v>0</v>
      </c>
    </row>
    <row r="58" spans="1:13" x14ac:dyDescent="0.25">
      <c r="A58" s="137"/>
      <c r="B58" s="38" t="str">
        <f t="shared" si="4"/>
        <v/>
      </c>
      <c r="C58" s="39"/>
      <c r="D58" s="39"/>
      <c r="E58" s="39"/>
      <c r="F58" s="39"/>
      <c r="G58" s="84"/>
      <c r="H58" s="101">
        <v>53</v>
      </c>
      <c r="I58" s="102" t="str">
        <f t="shared" si="0"/>
        <v/>
      </c>
      <c r="J58" s="101" t="e">
        <f t="shared" si="5"/>
        <v>#NUM!</v>
      </c>
      <c r="K58" s="101" t="e">
        <f t="shared" si="1"/>
        <v>#NUM!</v>
      </c>
      <c r="L58" s="101"/>
      <c r="M58" s="103">
        <f t="shared" si="2"/>
        <v>0</v>
      </c>
    </row>
    <row r="59" spans="1:13" x14ac:dyDescent="0.25">
      <c r="A59" s="138"/>
      <c r="B59" s="44" t="str">
        <f t="shared" si="4"/>
        <v/>
      </c>
      <c r="C59" s="45"/>
      <c r="D59" s="45"/>
      <c r="E59" s="45"/>
      <c r="F59" s="45"/>
      <c r="G59" s="84"/>
      <c r="H59" s="104">
        <v>54</v>
      </c>
      <c r="I59" s="105" t="str">
        <f t="shared" si="0"/>
        <v/>
      </c>
      <c r="J59" s="104" t="e">
        <f t="shared" si="5"/>
        <v>#NUM!</v>
      </c>
      <c r="K59" s="104" t="e">
        <f t="shared" si="1"/>
        <v>#NUM!</v>
      </c>
      <c r="L59" s="104"/>
      <c r="M59" s="106">
        <f t="shared" si="2"/>
        <v>0</v>
      </c>
    </row>
    <row r="60" spans="1:13" x14ac:dyDescent="0.25">
      <c r="A60" s="137"/>
      <c r="B60" s="38" t="str">
        <f t="shared" si="4"/>
        <v/>
      </c>
      <c r="C60" s="39"/>
      <c r="D60" s="39"/>
      <c r="E60" s="39"/>
      <c r="F60" s="39"/>
      <c r="G60" s="84"/>
      <c r="H60" s="101">
        <v>55</v>
      </c>
      <c r="I60" s="102" t="str">
        <f t="shared" si="0"/>
        <v/>
      </c>
      <c r="J60" s="101" t="e">
        <f t="shared" si="5"/>
        <v>#NUM!</v>
      </c>
      <c r="K60" s="101" t="e">
        <f t="shared" si="1"/>
        <v>#NUM!</v>
      </c>
      <c r="L60" s="101"/>
      <c r="M60" s="103">
        <f t="shared" si="2"/>
        <v>0</v>
      </c>
    </row>
    <row r="61" spans="1:13" x14ac:dyDescent="0.25">
      <c r="A61" s="138"/>
      <c r="B61" s="44" t="str">
        <f t="shared" si="4"/>
        <v/>
      </c>
      <c r="C61" s="45"/>
      <c r="D61" s="45"/>
      <c r="E61" s="45"/>
      <c r="F61" s="45"/>
      <c r="G61" s="84"/>
      <c r="H61" s="104">
        <v>56</v>
      </c>
      <c r="I61" s="105" t="str">
        <f t="shared" si="0"/>
        <v/>
      </c>
      <c r="J61" s="104" t="e">
        <f t="shared" si="5"/>
        <v>#NUM!</v>
      </c>
      <c r="K61" s="104" t="e">
        <f t="shared" si="1"/>
        <v>#NUM!</v>
      </c>
      <c r="L61" s="104"/>
      <c r="M61" s="106">
        <f t="shared" si="2"/>
        <v>0</v>
      </c>
    </row>
    <row r="62" spans="1:13" x14ac:dyDescent="0.25">
      <c r="A62" s="137"/>
      <c r="B62" s="38" t="str">
        <f t="shared" si="4"/>
        <v/>
      </c>
      <c r="C62" s="39"/>
      <c r="D62" s="39"/>
      <c r="E62" s="39"/>
      <c r="F62" s="39"/>
      <c r="G62" s="84"/>
      <c r="H62" s="101">
        <v>57</v>
      </c>
      <c r="I62" s="102" t="str">
        <f t="shared" si="0"/>
        <v/>
      </c>
      <c r="J62" s="101" t="e">
        <f t="shared" si="5"/>
        <v>#NUM!</v>
      </c>
      <c r="K62" s="101" t="e">
        <f t="shared" si="1"/>
        <v>#NUM!</v>
      </c>
      <c r="L62" s="101"/>
      <c r="M62" s="103">
        <f t="shared" si="2"/>
        <v>0</v>
      </c>
    </row>
    <row r="63" spans="1:13" x14ac:dyDescent="0.25">
      <c r="A63" s="138"/>
      <c r="B63" s="44" t="str">
        <f t="shared" si="4"/>
        <v/>
      </c>
      <c r="C63" s="45"/>
      <c r="D63" s="45"/>
      <c r="E63" s="45"/>
      <c r="F63" s="45"/>
      <c r="G63" s="84"/>
      <c r="H63" s="104">
        <v>58</v>
      </c>
      <c r="I63" s="105" t="str">
        <f t="shared" si="0"/>
        <v/>
      </c>
      <c r="J63" s="104" t="e">
        <f t="shared" si="5"/>
        <v>#NUM!</v>
      </c>
      <c r="K63" s="104" t="e">
        <f t="shared" si="1"/>
        <v>#NUM!</v>
      </c>
      <c r="L63" s="104"/>
      <c r="M63" s="106">
        <f t="shared" si="2"/>
        <v>0</v>
      </c>
    </row>
    <row r="64" spans="1:13" x14ac:dyDescent="0.25">
      <c r="A64" s="137"/>
      <c r="B64" s="38" t="str">
        <f t="shared" si="4"/>
        <v/>
      </c>
      <c r="C64" s="39"/>
      <c r="D64" s="39"/>
      <c r="E64" s="39"/>
      <c r="F64" s="39"/>
      <c r="G64" s="84"/>
      <c r="H64" s="101">
        <v>59</v>
      </c>
      <c r="I64" s="102" t="str">
        <f t="shared" si="0"/>
        <v/>
      </c>
      <c r="J64" s="101" t="e">
        <f t="shared" si="5"/>
        <v>#NUM!</v>
      </c>
      <c r="K64" s="101" t="e">
        <f t="shared" si="1"/>
        <v>#NUM!</v>
      </c>
      <c r="L64" s="101"/>
      <c r="M64" s="103">
        <f t="shared" si="2"/>
        <v>0</v>
      </c>
    </row>
    <row r="65" spans="1:13" x14ac:dyDescent="0.25">
      <c r="A65" s="138"/>
      <c r="B65" s="44" t="str">
        <f t="shared" si="4"/>
        <v/>
      </c>
      <c r="C65" s="45"/>
      <c r="D65" s="45"/>
      <c r="E65" s="45"/>
      <c r="F65" s="45"/>
      <c r="G65" s="84"/>
      <c r="H65" s="104">
        <v>60</v>
      </c>
      <c r="I65" s="105" t="str">
        <f t="shared" si="0"/>
        <v/>
      </c>
      <c r="J65" s="104" t="e">
        <f t="shared" si="5"/>
        <v>#NUM!</v>
      </c>
      <c r="K65" s="104" t="e">
        <f t="shared" si="1"/>
        <v>#NUM!</v>
      </c>
      <c r="L65" s="104"/>
      <c r="M65" s="106">
        <f t="shared" si="2"/>
        <v>0</v>
      </c>
    </row>
    <row r="66" spans="1:13" x14ac:dyDescent="0.25">
      <c r="A66" s="141"/>
      <c r="B66" s="38"/>
      <c r="G66" s="84"/>
      <c r="H66" s="101">
        <v>61</v>
      </c>
      <c r="I66" s="102" t="str">
        <f t="shared" si="0"/>
        <v/>
      </c>
      <c r="J66" s="101" t="e">
        <f t="shared" si="5"/>
        <v>#NUM!</v>
      </c>
      <c r="K66" s="101" t="e">
        <f t="shared" si="1"/>
        <v>#NUM!</v>
      </c>
      <c r="L66" s="101"/>
      <c r="M66" s="103">
        <f t="shared" si="2"/>
        <v>0</v>
      </c>
    </row>
    <row r="67" spans="1:13" x14ac:dyDescent="0.25">
      <c r="A67" s="141"/>
      <c r="B67" s="44"/>
      <c r="G67" s="84"/>
      <c r="H67" s="101">
        <v>62</v>
      </c>
      <c r="I67" s="102" t="str">
        <f t="shared" si="0"/>
        <v/>
      </c>
      <c r="J67" s="101" t="e">
        <f t="shared" si="5"/>
        <v>#NUM!</v>
      </c>
      <c r="K67" s="101" t="e">
        <f t="shared" si="1"/>
        <v>#NUM!</v>
      </c>
      <c r="L67" s="101"/>
      <c r="M67" s="103">
        <f t="shared" si="2"/>
        <v>0</v>
      </c>
    </row>
    <row r="68" spans="1:13" x14ac:dyDescent="0.25">
      <c r="A68" s="141"/>
      <c r="B68" s="38"/>
      <c r="G68" s="84"/>
      <c r="H68" s="101">
        <v>63</v>
      </c>
      <c r="I68" s="102" t="str">
        <f t="shared" si="0"/>
        <v/>
      </c>
      <c r="J68" s="101" t="e">
        <f t="shared" si="5"/>
        <v>#NUM!</v>
      </c>
      <c r="K68" s="101" t="e">
        <f t="shared" si="1"/>
        <v>#NUM!</v>
      </c>
      <c r="L68" s="101"/>
      <c r="M68" s="103">
        <f t="shared" si="2"/>
        <v>0</v>
      </c>
    </row>
    <row r="69" spans="1:13" x14ac:dyDescent="0.25">
      <c r="A69" s="141"/>
      <c r="B69" s="44"/>
      <c r="G69" s="84"/>
      <c r="H69" s="101">
        <v>64</v>
      </c>
      <c r="I69" s="102" t="str">
        <f t="shared" si="0"/>
        <v/>
      </c>
      <c r="J69" s="101" t="e">
        <f t="shared" si="5"/>
        <v>#NUM!</v>
      </c>
      <c r="K69" s="101" t="e">
        <f t="shared" si="1"/>
        <v>#NUM!</v>
      </c>
      <c r="L69" s="101"/>
      <c r="M69" s="103">
        <f t="shared" si="2"/>
        <v>0</v>
      </c>
    </row>
    <row r="70" spans="1:13" x14ac:dyDescent="0.25">
      <c r="A70" s="141"/>
      <c r="G70" s="84"/>
      <c r="H70" s="101">
        <v>65</v>
      </c>
      <c r="I70" s="102" t="str">
        <f t="shared" ref="I70:I133" si="6">IF(H70&lt;$H$2+1,($I$2-($I$2-1)*(LOG(H70)/LOG($H$2))),"")</f>
        <v/>
      </c>
      <c r="J70" s="101" t="e">
        <f t="shared" si="5"/>
        <v>#NUM!</v>
      </c>
      <c r="K70" s="101" t="e">
        <f t="shared" ref="K70:K133" si="7">J70*$J$2</f>
        <v>#NUM!</v>
      </c>
      <c r="L70" s="101"/>
      <c r="M70" s="103">
        <f t="shared" ref="M70:M133" si="8">IF(I70&lt;&gt;"",K70+I70+L70,0)</f>
        <v>0</v>
      </c>
    </row>
    <row r="71" spans="1:13" x14ac:dyDescent="0.25">
      <c r="A71" s="141"/>
      <c r="G71" s="84"/>
      <c r="H71" s="101">
        <v>66</v>
      </c>
      <c r="I71" s="102" t="str">
        <f t="shared" si="6"/>
        <v/>
      </c>
      <c r="J71" s="101" t="e">
        <f t="shared" ref="J71:J134" si="9">INT(LOG($H$2,2))-ROUNDUP(LOG(H71,2),0)+IF(OR($H$2=1,$H$2=2,$H$2=4,$H$2=8,$H$2=16,$H$2=32,$H$2=64,$H$2=128,$H$2=256),0,1)</f>
        <v>#NUM!</v>
      </c>
      <c r="K71" s="101" t="e">
        <f t="shared" si="7"/>
        <v>#NUM!</v>
      </c>
      <c r="L71" s="101"/>
      <c r="M71" s="103">
        <f t="shared" si="8"/>
        <v>0</v>
      </c>
    </row>
    <row r="72" spans="1:13" x14ac:dyDescent="0.25">
      <c r="A72" s="141"/>
      <c r="G72" s="84"/>
      <c r="H72" s="101">
        <v>67</v>
      </c>
      <c r="I72" s="102" t="str">
        <f t="shared" si="6"/>
        <v/>
      </c>
      <c r="J72" s="101" t="e">
        <f t="shared" si="9"/>
        <v>#NUM!</v>
      </c>
      <c r="K72" s="101" t="e">
        <f t="shared" si="7"/>
        <v>#NUM!</v>
      </c>
      <c r="L72" s="101"/>
      <c r="M72" s="103">
        <f t="shared" si="8"/>
        <v>0</v>
      </c>
    </row>
    <row r="73" spans="1:13" x14ac:dyDescent="0.25">
      <c r="A73" s="141"/>
      <c r="G73" s="84"/>
      <c r="H73" s="101">
        <v>68</v>
      </c>
      <c r="I73" s="102" t="str">
        <f t="shared" si="6"/>
        <v/>
      </c>
      <c r="J73" s="101" t="e">
        <f t="shared" si="9"/>
        <v>#NUM!</v>
      </c>
      <c r="K73" s="101" t="e">
        <f t="shared" si="7"/>
        <v>#NUM!</v>
      </c>
      <c r="L73" s="101"/>
      <c r="M73" s="103">
        <f t="shared" si="8"/>
        <v>0</v>
      </c>
    </row>
    <row r="74" spans="1:13" x14ac:dyDescent="0.25">
      <c r="A74" s="141"/>
      <c r="G74" s="84"/>
      <c r="H74" s="101">
        <v>69</v>
      </c>
      <c r="I74" s="102" t="str">
        <f t="shared" si="6"/>
        <v/>
      </c>
      <c r="J74" s="101" t="e">
        <f t="shared" si="9"/>
        <v>#NUM!</v>
      </c>
      <c r="K74" s="101" t="e">
        <f t="shared" si="7"/>
        <v>#NUM!</v>
      </c>
      <c r="L74" s="101"/>
      <c r="M74" s="103">
        <f t="shared" si="8"/>
        <v>0</v>
      </c>
    </row>
    <row r="75" spans="1:13" x14ac:dyDescent="0.25">
      <c r="A75" s="141"/>
      <c r="G75" s="84"/>
      <c r="H75" s="101">
        <v>70</v>
      </c>
      <c r="I75" s="102" t="str">
        <f t="shared" si="6"/>
        <v/>
      </c>
      <c r="J75" s="101" t="e">
        <f t="shared" si="9"/>
        <v>#NUM!</v>
      </c>
      <c r="K75" s="101" t="e">
        <f t="shared" si="7"/>
        <v>#NUM!</v>
      </c>
      <c r="L75" s="101"/>
      <c r="M75" s="103">
        <f t="shared" si="8"/>
        <v>0</v>
      </c>
    </row>
    <row r="76" spans="1:13" x14ac:dyDescent="0.25">
      <c r="A76" s="141"/>
      <c r="G76" s="84"/>
      <c r="H76" s="101">
        <v>71</v>
      </c>
      <c r="I76" s="102" t="str">
        <f t="shared" si="6"/>
        <v/>
      </c>
      <c r="J76" s="101" t="e">
        <f t="shared" si="9"/>
        <v>#NUM!</v>
      </c>
      <c r="K76" s="101" t="e">
        <f t="shared" si="7"/>
        <v>#NUM!</v>
      </c>
      <c r="L76" s="101"/>
      <c r="M76" s="103">
        <f t="shared" si="8"/>
        <v>0</v>
      </c>
    </row>
    <row r="77" spans="1:13" x14ac:dyDescent="0.25">
      <c r="A77" s="141"/>
      <c r="G77" s="84"/>
      <c r="H77" s="101">
        <v>72</v>
      </c>
      <c r="I77" s="102" t="str">
        <f t="shared" si="6"/>
        <v/>
      </c>
      <c r="J77" s="101" t="e">
        <f t="shared" si="9"/>
        <v>#NUM!</v>
      </c>
      <c r="K77" s="101" t="e">
        <f t="shared" si="7"/>
        <v>#NUM!</v>
      </c>
      <c r="L77" s="101"/>
      <c r="M77" s="103">
        <f t="shared" si="8"/>
        <v>0</v>
      </c>
    </row>
    <row r="78" spans="1:13" x14ac:dyDescent="0.25">
      <c r="A78" s="141"/>
      <c r="G78" s="84"/>
      <c r="H78" s="101">
        <v>73</v>
      </c>
      <c r="I78" s="102" t="str">
        <f t="shared" si="6"/>
        <v/>
      </c>
      <c r="J78" s="101" t="e">
        <f t="shared" si="9"/>
        <v>#NUM!</v>
      </c>
      <c r="K78" s="101" t="e">
        <f t="shared" si="7"/>
        <v>#NUM!</v>
      </c>
      <c r="L78" s="101"/>
      <c r="M78" s="103">
        <f t="shared" si="8"/>
        <v>0</v>
      </c>
    </row>
    <row r="79" spans="1:13" x14ac:dyDescent="0.25">
      <c r="A79" s="141"/>
      <c r="G79" s="84"/>
      <c r="H79" s="101">
        <v>74</v>
      </c>
      <c r="I79" s="102" t="str">
        <f t="shared" si="6"/>
        <v/>
      </c>
      <c r="J79" s="101" t="e">
        <f t="shared" si="9"/>
        <v>#NUM!</v>
      </c>
      <c r="K79" s="101" t="e">
        <f t="shared" si="7"/>
        <v>#NUM!</v>
      </c>
      <c r="L79" s="101"/>
      <c r="M79" s="103">
        <f t="shared" si="8"/>
        <v>0</v>
      </c>
    </row>
    <row r="80" spans="1:13" x14ac:dyDescent="0.25">
      <c r="A80" s="141"/>
      <c r="G80" s="84"/>
      <c r="H80" s="101">
        <v>75</v>
      </c>
      <c r="I80" s="102" t="str">
        <f t="shared" si="6"/>
        <v/>
      </c>
      <c r="J80" s="101" t="e">
        <f t="shared" si="9"/>
        <v>#NUM!</v>
      </c>
      <c r="K80" s="101" t="e">
        <f t="shared" si="7"/>
        <v>#NUM!</v>
      </c>
      <c r="L80" s="101"/>
      <c r="M80" s="103">
        <f t="shared" si="8"/>
        <v>0</v>
      </c>
    </row>
    <row r="81" spans="1:13" x14ac:dyDescent="0.25">
      <c r="A81" s="141"/>
      <c r="G81" s="84"/>
      <c r="H81" s="101">
        <v>76</v>
      </c>
      <c r="I81" s="102" t="str">
        <f t="shared" si="6"/>
        <v/>
      </c>
      <c r="J81" s="101" t="e">
        <f t="shared" si="9"/>
        <v>#NUM!</v>
      </c>
      <c r="K81" s="101" t="e">
        <f t="shared" si="7"/>
        <v>#NUM!</v>
      </c>
      <c r="L81" s="101"/>
      <c r="M81" s="103">
        <f t="shared" si="8"/>
        <v>0</v>
      </c>
    </row>
    <row r="82" spans="1:13" x14ac:dyDescent="0.25">
      <c r="A82" s="141"/>
      <c r="G82" s="84"/>
      <c r="H82" s="101">
        <v>77</v>
      </c>
      <c r="I82" s="102" t="str">
        <f t="shared" si="6"/>
        <v/>
      </c>
      <c r="J82" s="101" t="e">
        <f t="shared" si="9"/>
        <v>#NUM!</v>
      </c>
      <c r="K82" s="101" t="e">
        <f t="shared" si="7"/>
        <v>#NUM!</v>
      </c>
      <c r="L82" s="101"/>
      <c r="M82" s="103">
        <f t="shared" si="8"/>
        <v>0</v>
      </c>
    </row>
    <row r="83" spans="1:13" x14ac:dyDescent="0.25">
      <c r="A83" s="141"/>
      <c r="G83" s="84"/>
      <c r="H83" s="101">
        <v>78</v>
      </c>
      <c r="I83" s="102" t="str">
        <f t="shared" si="6"/>
        <v/>
      </c>
      <c r="J83" s="101" t="e">
        <f t="shared" si="9"/>
        <v>#NUM!</v>
      </c>
      <c r="K83" s="101" t="e">
        <f t="shared" si="7"/>
        <v>#NUM!</v>
      </c>
      <c r="L83" s="101"/>
      <c r="M83" s="103">
        <f t="shared" si="8"/>
        <v>0</v>
      </c>
    </row>
    <row r="84" spans="1:13" x14ac:dyDescent="0.25">
      <c r="A84" s="141"/>
      <c r="G84" s="84"/>
      <c r="H84" s="101">
        <v>79</v>
      </c>
      <c r="I84" s="102" t="str">
        <f t="shared" si="6"/>
        <v/>
      </c>
      <c r="J84" s="101" t="e">
        <f t="shared" si="9"/>
        <v>#NUM!</v>
      </c>
      <c r="K84" s="101" t="e">
        <f t="shared" si="7"/>
        <v>#NUM!</v>
      </c>
      <c r="L84" s="101"/>
      <c r="M84" s="103">
        <f t="shared" si="8"/>
        <v>0</v>
      </c>
    </row>
    <row r="85" spans="1:13" x14ac:dyDescent="0.25">
      <c r="A85" s="141"/>
      <c r="G85" s="84"/>
      <c r="H85" s="101">
        <v>80</v>
      </c>
      <c r="I85" s="102" t="str">
        <f t="shared" si="6"/>
        <v/>
      </c>
      <c r="J85" s="101" t="e">
        <f t="shared" si="9"/>
        <v>#NUM!</v>
      </c>
      <c r="K85" s="101" t="e">
        <f t="shared" si="7"/>
        <v>#NUM!</v>
      </c>
      <c r="L85" s="101"/>
      <c r="M85" s="103">
        <f t="shared" si="8"/>
        <v>0</v>
      </c>
    </row>
    <row r="86" spans="1:13" x14ac:dyDescent="0.25">
      <c r="A86" s="141"/>
      <c r="G86" s="84"/>
      <c r="H86" s="101">
        <v>81</v>
      </c>
      <c r="I86" s="102" t="str">
        <f t="shared" si="6"/>
        <v/>
      </c>
      <c r="J86" s="101" t="e">
        <f t="shared" si="9"/>
        <v>#NUM!</v>
      </c>
      <c r="K86" s="101" t="e">
        <f t="shared" si="7"/>
        <v>#NUM!</v>
      </c>
      <c r="L86" s="101"/>
      <c r="M86" s="103">
        <f t="shared" si="8"/>
        <v>0</v>
      </c>
    </row>
    <row r="87" spans="1:13" x14ac:dyDescent="0.25">
      <c r="A87" s="141"/>
      <c r="G87" s="84"/>
      <c r="H87" s="101">
        <v>82</v>
      </c>
      <c r="I87" s="102" t="str">
        <f t="shared" si="6"/>
        <v/>
      </c>
      <c r="J87" s="101" t="e">
        <f t="shared" si="9"/>
        <v>#NUM!</v>
      </c>
      <c r="K87" s="101" t="e">
        <f t="shared" si="7"/>
        <v>#NUM!</v>
      </c>
      <c r="L87" s="101"/>
      <c r="M87" s="103">
        <f t="shared" si="8"/>
        <v>0</v>
      </c>
    </row>
    <row r="88" spans="1:13" x14ac:dyDescent="0.25">
      <c r="A88" s="141"/>
      <c r="G88" s="84"/>
      <c r="H88" s="101">
        <v>83</v>
      </c>
      <c r="I88" s="102" t="str">
        <f t="shared" si="6"/>
        <v/>
      </c>
      <c r="J88" s="101" t="e">
        <f t="shared" si="9"/>
        <v>#NUM!</v>
      </c>
      <c r="K88" s="101" t="e">
        <f t="shared" si="7"/>
        <v>#NUM!</v>
      </c>
      <c r="L88" s="101"/>
      <c r="M88" s="103">
        <f t="shared" si="8"/>
        <v>0</v>
      </c>
    </row>
    <row r="89" spans="1:13" x14ac:dyDescent="0.25">
      <c r="A89" s="141"/>
      <c r="G89" s="84"/>
      <c r="H89" s="101">
        <v>84</v>
      </c>
      <c r="I89" s="102" t="str">
        <f t="shared" si="6"/>
        <v/>
      </c>
      <c r="J89" s="101" t="e">
        <f t="shared" si="9"/>
        <v>#NUM!</v>
      </c>
      <c r="K89" s="101" t="e">
        <f t="shared" si="7"/>
        <v>#NUM!</v>
      </c>
      <c r="L89" s="101"/>
      <c r="M89" s="103">
        <f t="shared" si="8"/>
        <v>0</v>
      </c>
    </row>
    <row r="90" spans="1:13" x14ac:dyDescent="0.25">
      <c r="A90" s="141"/>
      <c r="G90" s="84"/>
      <c r="H90" s="101">
        <v>85</v>
      </c>
      <c r="I90" s="102" t="str">
        <f t="shared" si="6"/>
        <v/>
      </c>
      <c r="J90" s="101" t="e">
        <f t="shared" si="9"/>
        <v>#NUM!</v>
      </c>
      <c r="K90" s="101" t="e">
        <f t="shared" si="7"/>
        <v>#NUM!</v>
      </c>
      <c r="L90" s="101"/>
      <c r="M90" s="103">
        <f t="shared" si="8"/>
        <v>0</v>
      </c>
    </row>
    <row r="91" spans="1:13" x14ac:dyDescent="0.25">
      <c r="A91" s="141"/>
      <c r="G91" s="84"/>
      <c r="H91" s="101">
        <v>86</v>
      </c>
      <c r="I91" s="102" t="str">
        <f t="shared" si="6"/>
        <v/>
      </c>
      <c r="J91" s="101" t="e">
        <f t="shared" si="9"/>
        <v>#NUM!</v>
      </c>
      <c r="K91" s="101" t="e">
        <f t="shared" si="7"/>
        <v>#NUM!</v>
      </c>
      <c r="L91" s="101"/>
      <c r="M91" s="103">
        <f t="shared" si="8"/>
        <v>0</v>
      </c>
    </row>
    <row r="92" spans="1:13" x14ac:dyDescent="0.25">
      <c r="A92" s="141"/>
      <c r="G92" s="84"/>
      <c r="H92" s="101">
        <v>87</v>
      </c>
      <c r="I92" s="102" t="str">
        <f t="shared" si="6"/>
        <v/>
      </c>
      <c r="J92" s="101" t="e">
        <f t="shared" si="9"/>
        <v>#NUM!</v>
      </c>
      <c r="K92" s="101" t="e">
        <f t="shared" si="7"/>
        <v>#NUM!</v>
      </c>
      <c r="L92" s="101"/>
      <c r="M92" s="103">
        <f t="shared" si="8"/>
        <v>0</v>
      </c>
    </row>
    <row r="93" spans="1:13" x14ac:dyDescent="0.25">
      <c r="A93" s="141"/>
      <c r="G93" s="84"/>
      <c r="H93" s="101">
        <v>88</v>
      </c>
      <c r="I93" s="102" t="str">
        <f t="shared" si="6"/>
        <v/>
      </c>
      <c r="J93" s="101" t="e">
        <f t="shared" si="9"/>
        <v>#NUM!</v>
      </c>
      <c r="K93" s="101" t="e">
        <f t="shared" si="7"/>
        <v>#NUM!</v>
      </c>
      <c r="L93" s="101"/>
      <c r="M93" s="103">
        <f t="shared" si="8"/>
        <v>0</v>
      </c>
    </row>
    <row r="94" spans="1:13" x14ac:dyDescent="0.25">
      <c r="A94" s="141"/>
      <c r="G94" s="84"/>
      <c r="H94" s="101">
        <v>89</v>
      </c>
      <c r="I94" s="102" t="str">
        <f t="shared" si="6"/>
        <v/>
      </c>
      <c r="J94" s="101" t="e">
        <f t="shared" si="9"/>
        <v>#NUM!</v>
      </c>
      <c r="K94" s="101" t="e">
        <f t="shared" si="7"/>
        <v>#NUM!</v>
      </c>
      <c r="L94" s="101"/>
      <c r="M94" s="103">
        <f t="shared" si="8"/>
        <v>0</v>
      </c>
    </row>
    <row r="95" spans="1:13" x14ac:dyDescent="0.25">
      <c r="A95" s="141"/>
      <c r="G95" s="84"/>
      <c r="H95" s="101">
        <v>90</v>
      </c>
      <c r="I95" s="102" t="str">
        <f t="shared" si="6"/>
        <v/>
      </c>
      <c r="J95" s="101" t="e">
        <f t="shared" si="9"/>
        <v>#NUM!</v>
      </c>
      <c r="K95" s="101" t="e">
        <f t="shared" si="7"/>
        <v>#NUM!</v>
      </c>
      <c r="L95" s="101"/>
      <c r="M95" s="103">
        <f t="shared" si="8"/>
        <v>0</v>
      </c>
    </row>
    <row r="96" spans="1:13" x14ac:dyDescent="0.25">
      <c r="A96" s="141"/>
      <c r="G96" s="84"/>
      <c r="H96" s="101">
        <v>91</v>
      </c>
      <c r="I96" s="102" t="str">
        <f t="shared" si="6"/>
        <v/>
      </c>
      <c r="J96" s="101" t="e">
        <f t="shared" si="9"/>
        <v>#NUM!</v>
      </c>
      <c r="K96" s="101" t="e">
        <f t="shared" si="7"/>
        <v>#NUM!</v>
      </c>
      <c r="L96" s="101"/>
      <c r="M96" s="103">
        <f t="shared" si="8"/>
        <v>0</v>
      </c>
    </row>
    <row r="97" spans="1:13" x14ac:dyDescent="0.25">
      <c r="A97" s="141"/>
      <c r="G97" s="84"/>
      <c r="H97" s="101">
        <v>92</v>
      </c>
      <c r="I97" s="102" t="str">
        <f t="shared" si="6"/>
        <v/>
      </c>
      <c r="J97" s="101" t="e">
        <f t="shared" si="9"/>
        <v>#NUM!</v>
      </c>
      <c r="K97" s="101" t="e">
        <f t="shared" si="7"/>
        <v>#NUM!</v>
      </c>
      <c r="L97" s="101"/>
      <c r="M97" s="103">
        <f t="shared" si="8"/>
        <v>0</v>
      </c>
    </row>
    <row r="98" spans="1:13" x14ac:dyDescent="0.25">
      <c r="A98" s="141"/>
      <c r="G98" s="84"/>
      <c r="H98" s="101">
        <v>93</v>
      </c>
      <c r="I98" s="102" t="str">
        <f t="shared" si="6"/>
        <v/>
      </c>
      <c r="J98" s="101" t="e">
        <f t="shared" si="9"/>
        <v>#NUM!</v>
      </c>
      <c r="K98" s="101" t="e">
        <f t="shared" si="7"/>
        <v>#NUM!</v>
      </c>
      <c r="L98" s="101"/>
      <c r="M98" s="103">
        <f t="shared" si="8"/>
        <v>0</v>
      </c>
    </row>
    <row r="99" spans="1:13" x14ac:dyDescent="0.25">
      <c r="A99" s="141"/>
      <c r="G99" s="84"/>
      <c r="H99" s="101">
        <v>94</v>
      </c>
      <c r="I99" s="102" t="str">
        <f t="shared" si="6"/>
        <v/>
      </c>
      <c r="J99" s="101" t="e">
        <f t="shared" si="9"/>
        <v>#NUM!</v>
      </c>
      <c r="K99" s="101" t="e">
        <f t="shared" si="7"/>
        <v>#NUM!</v>
      </c>
      <c r="L99" s="101"/>
      <c r="M99" s="103">
        <f t="shared" si="8"/>
        <v>0</v>
      </c>
    </row>
    <row r="100" spans="1:13" x14ac:dyDescent="0.25">
      <c r="A100" s="141"/>
      <c r="G100" s="84"/>
      <c r="H100" s="101">
        <v>95</v>
      </c>
      <c r="I100" s="102" t="str">
        <f t="shared" si="6"/>
        <v/>
      </c>
      <c r="J100" s="101" t="e">
        <f t="shared" si="9"/>
        <v>#NUM!</v>
      </c>
      <c r="K100" s="101" t="e">
        <f t="shared" si="7"/>
        <v>#NUM!</v>
      </c>
      <c r="L100" s="101"/>
      <c r="M100" s="103">
        <f t="shared" si="8"/>
        <v>0</v>
      </c>
    </row>
    <row r="101" spans="1:13" x14ac:dyDescent="0.25">
      <c r="A101" s="117"/>
      <c r="G101" s="84"/>
      <c r="H101" s="101">
        <v>96</v>
      </c>
      <c r="I101" s="102" t="str">
        <f t="shared" si="6"/>
        <v/>
      </c>
      <c r="J101" s="101" t="e">
        <f t="shared" si="9"/>
        <v>#NUM!</v>
      </c>
      <c r="K101" s="101" t="e">
        <f t="shared" si="7"/>
        <v>#NUM!</v>
      </c>
      <c r="L101" s="101"/>
      <c r="M101" s="103">
        <f t="shared" si="8"/>
        <v>0</v>
      </c>
    </row>
    <row r="102" spans="1:13" x14ac:dyDescent="0.25">
      <c r="A102" s="117"/>
      <c r="G102" s="84"/>
      <c r="H102" s="101">
        <v>97</v>
      </c>
      <c r="I102" s="102" t="str">
        <f t="shared" si="6"/>
        <v/>
      </c>
      <c r="J102" s="101" t="e">
        <f t="shared" si="9"/>
        <v>#NUM!</v>
      </c>
      <c r="K102" s="101" t="e">
        <f t="shared" si="7"/>
        <v>#NUM!</v>
      </c>
      <c r="L102" s="101"/>
      <c r="M102" s="103">
        <f t="shared" si="8"/>
        <v>0</v>
      </c>
    </row>
    <row r="103" spans="1:13" x14ac:dyDescent="0.25">
      <c r="A103" s="117"/>
      <c r="G103" s="84"/>
      <c r="H103" s="101">
        <v>98</v>
      </c>
      <c r="I103" s="102" t="str">
        <f t="shared" si="6"/>
        <v/>
      </c>
      <c r="J103" s="101" t="e">
        <f t="shared" si="9"/>
        <v>#NUM!</v>
      </c>
      <c r="K103" s="101" t="e">
        <f t="shared" si="7"/>
        <v>#NUM!</v>
      </c>
      <c r="L103" s="101"/>
      <c r="M103" s="103">
        <f t="shared" si="8"/>
        <v>0</v>
      </c>
    </row>
    <row r="104" spans="1:13" x14ac:dyDescent="0.25">
      <c r="A104" s="117"/>
      <c r="G104" s="84"/>
      <c r="H104" s="101">
        <v>99</v>
      </c>
      <c r="I104" s="102" t="str">
        <f t="shared" si="6"/>
        <v/>
      </c>
      <c r="J104" s="101" t="e">
        <f t="shared" si="9"/>
        <v>#NUM!</v>
      </c>
      <c r="K104" s="101" t="e">
        <f t="shared" si="7"/>
        <v>#NUM!</v>
      </c>
      <c r="L104" s="101"/>
      <c r="M104" s="103">
        <f t="shared" si="8"/>
        <v>0</v>
      </c>
    </row>
    <row r="105" spans="1:13" x14ac:dyDescent="0.25">
      <c r="A105" s="117"/>
      <c r="G105" s="84"/>
      <c r="H105" s="101">
        <v>100</v>
      </c>
      <c r="I105" s="102" t="str">
        <f t="shared" si="6"/>
        <v/>
      </c>
      <c r="J105" s="101" t="e">
        <f t="shared" si="9"/>
        <v>#NUM!</v>
      </c>
      <c r="K105" s="101" t="e">
        <f t="shared" si="7"/>
        <v>#NUM!</v>
      </c>
      <c r="L105" s="101"/>
      <c r="M105" s="103">
        <f t="shared" si="8"/>
        <v>0</v>
      </c>
    </row>
    <row r="106" spans="1:13" x14ac:dyDescent="0.25">
      <c r="A106" s="117"/>
      <c r="G106" s="84"/>
      <c r="H106" s="101">
        <v>101</v>
      </c>
      <c r="I106" s="102" t="str">
        <f t="shared" si="6"/>
        <v/>
      </c>
      <c r="J106" s="101" t="e">
        <f t="shared" si="9"/>
        <v>#NUM!</v>
      </c>
      <c r="K106" s="101" t="e">
        <f t="shared" si="7"/>
        <v>#NUM!</v>
      </c>
      <c r="L106" s="101"/>
      <c r="M106" s="103">
        <f t="shared" si="8"/>
        <v>0</v>
      </c>
    </row>
    <row r="107" spans="1:13" x14ac:dyDescent="0.25">
      <c r="A107" s="117"/>
      <c r="G107" s="84"/>
      <c r="H107" s="101">
        <v>102</v>
      </c>
      <c r="I107" s="102" t="str">
        <f t="shared" si="6"/>
        <v/>
      </c>
      <c r="J107" s="101" t="e">
        <f t="shared" si="9"/>
        <v>#NUM!</v>
      </c>
      <c r="K107" s="101" t="e">
        <f t="shared" si="7"/>
        <v>#NUM!</v>
      </c>
      <c r="L107" s="101"/>
      <c r="M107" s="103">
        <f t="shared" si="8"/>
        <v>0</v>
      </c>
    </row>
    <row r="108" spans="1:13" x14ac:dyDescent="0.25">
      <c r="A108" s="117"/>
      <c r="G108" s="84"/>
      <c r="H108" s="101">
        <v>103</v>
      </c>
      <c r="I108" s="102" t="str">
        <f t="shared" si="6"/>
        <v/>
      </c>
      <c r="J108" s="101" t="e">
        <f t="shared" si="9"/>
        <v>#NUM!</v>
      </c>
      <c r="K108" s="101" t="e">
        <f t="shared" si="7"/>
        <v>#NUM!</v>
      </c>
      <c r="L108" s="101"/>
      <c r="M108" s="103">
        <f t="shared" si="8"/>
        <v>0</v>
      </c>
    </row>
    <row r="109" spans="1:13" x14ac:dyDescent="0.25">
      <c r="A109" s="117"/>
      <c r="G109" s="84"/>
      <c r="H109" s="101">
        <v>104</v>
      </c>
      <c r="I109" s="102" t="str">
        <f t="shared" si="6"/>
        <v/>
      </c>
      <c r="J109" s="101" t="e">
        <f t="shared" si="9"/>
        <v>#NUM!</v>
      </c>
      <c r="K109" s="101" t="e">
        <f t="shared" si="7"/>
        <v>#NUM!</v>
      </c>
      <c r="L109" s="101"/>
      <c r="M109" s="103">
        <f t="shared" si="8"/>
        <v>0</v>
      </c>
    </row>
    <row r="110" spans="1:13" x14ac:dyDescent="0.25">
      <c r="A110" s="117"/>
      <c r="G110" s="84"/>
      <c r="H110" s="101">
        <v>105</v>
      </c>
      <c r="I110" s="102" t="str">
        <f t="shared" si="6"/>
        <v/>
      </c>
      <c r="J110" s="101" t="e">
        <f t="shared" si="9"/>
        <v>#NUM!</v>
      </c>
      <c r="K110" s="101" t="e">
        <f t="shared" si="7"/>
        <v>#NUM!</v>
      </c>
      <c r="L110" s="101"/>
      <c r="M110" s="103">
        <f t="shared" si="8"/>
        <v>0</v>
      </c>
    </row>
    <row r="111" spans="1:13" x14ac:dyDescent="0.25">
      <c r="A111" s="117"/>
      <c r="G111" s="84"/>
      <c r="H111" s="101">
        <v>106</v>
      </c>
      <c r="I111" s="102" t="str">
        <f t="shared" si="6"/>
        <v/>
      </c>
      <c r="J111" s="101" t="e">
        <f t="shared" si="9"/>
        <v>#NUM!</v>
      </c>
      <c r="K111" s="101" t="e">
        <f t="shared" si="7"/>
        <v>#NUM!</v>
      </c>
      <c r="L111" s="101"/>
      <c r="M111" s="103">
        <f t="shared" si="8"/>
        <v>0</v>
      </c>
    </row>
    <row r="112" spans="1:13" x14ac:dyDescent="0.25">
      <c r="A112" s="117"/>
      <c r="G112" s="84"/>
      <c r="H112" s="101">
        <v>107</v>
      </c>
      <c r="I112" s="102" t="str">
        <f t="shared" si="6"/>
        <v/>
      </c>
      <c r="J112" s="101" t="e">
        <f t="shared" si="9"/>
        <v>#NUM!</v>
      </c>
      <c r="K112" s="101" t="e">
        <f t="shared" si="7"/>
        <v>#NUM!</v>
      </c>
      <c r="L112" s="101"/>
      <c r="M112" s="103">
        <f t="shared" si="8"/>
        <v>0</v>
      </c>
    </row>
    <row r="113" spans="1:13" x14ac:dyDescent="0.25">
      <c r="A113" s="117"/>
      <c r="G113" s="84"/>
      <c r="H113" s="101">
        <v>108</v>
      </c>
      <c r="I113" s="102" t="str">
        <f t="shared" si="6"/>
        <v/>
      </c>
      <c r="J113" s="101" t="e">
        <f t="shared" si="9"/>
        <v>#NUM!</v>
      </c>
      <c r="K113" s="101" t="e">
        <f t="shared" si="7"/>
        <v>#NUM!</v>
      </c>
      <c r="L113" s="101"/>
      <c r="M113" s="103">
        <f t="shared" si="8"/>
        <v>0</v>
      </c>
    </row>
    <row r="114" spans="1:13" x14ac:dyDescent="0.25">
      <c r="A114" s="117"/>
      <c r="G114" s="84"/>
      <c r="H114" s="101">
        <v>109</v>
      </c>
      <c r="I114" s="102" t="str">
        <f t="shared" si="6"/>
        <v/>
      </c>
      <c r="J114" s="101" t="e">
        <f t="shared" si="9"/>
        <v>#NUM!</v>
      </c>
      <c r="K114" s="101" t="e">
        <f t="shared" si="7"/>
        <v>#NUM!</v>
      </c>
      <c r="L114" s="101"/>
      <c r="M114" s="103">
        <f t="shared" si="8"/>
        <v>0</v>
      </c>
    </row>
    <row r="115" spans="1:13" x14ac:dyDescent="0.25">
      <c r="A115" s="117"/>
      <c r="G115" s="84"/>
      <c r="H115" s="101">
        <v>110</v>
      </c>
      <c r="I115" s="102" t="str">
        <f t="shared" si="6"/>
        <v/>
      </c>
      <c r="J115" s="101" t="e">
        <f t="shared" si="9"/>
        <v>#NUM!</v>
      </c>
      <c r="K115" s="101" t="e">
        <f t="shared" si="7"/>
        <v>#NUM!</v>
      </c>
      <c r="L115" s="101"/>
      <c r="M115" s="103">
        <f t="shared" si="8"/>
        <v>0</v>
      </c>
    </row>
    <row r="116" spans="1:13" x14ac:dyDescent="0.25">
      <c r="A116" s="117"/>
      <c r="G116" s="84"/>
      <c r="H116" s="101">
        <v>111</v>
      </c>
      <c r="I116" s="102" t="str">
        <f t="shared" si="6"/>
        <v/>
      </c>
      <c r="J116" s="101" t="e">
        <f t="shared" si="9"/>
        <v>#NUM!</v>
      </c>
      <c r="K116" s="101" t="e">
        <f t="shared" si="7"/>
        <v>#NUM!</v>
      </c>
      <c r="L116" s="101"/>
      <c r="M116" s="103">
        <f t="shared" si="8"/>
        <v>0</v>
      </c>
    </row>
    <row r="117" spans="1:13" x14ac:dyDescent="0.25">
      <c r="A117" s="117"/>
      <c r="G117" s="84"/>
      <c r="H117" s="101">
        <v>112</v>
      </c>
      <c r="I117" s="102" t="str">
        <f t="shared" si="6"/>
        <v/>
      </c>
      <c r="J117" s="101" t="e">
        <f t="shared" si="9"/>
        <v>#NUM!</v>
      </c>
      <c r="K117" s="101" t="e">
        <f t="shared" si="7"/>
        <v>#NUM!</v>
      </c>
      <c r="L117" s="101"/>
      <c r="M117" s="103">
        <f t="shared" si="8"/>
        <v>0</v>
      </c>
    </row>
    <row r="118" spans="1:13" x14ac:dyDescent="0.25">
      <c r="A118" s="117"/>
      <c r="G118" s="84"/>
      <c r="H118" s="101">
        <v>113</v>
      </c>
      <c r="I118" s="102" t="str">
        <f t="shared" si="6"/>
        <v/>
      </c>
      <c r="J118" s="101" t="e">
        <f t="shared" si="9"/>
        <v>#NUM!</v>
      </c>
      <c r="K118" s="101" t="e">
        <f t="shared" si="7"/>
        <v>#NUM!</v>
      </c>
      <c r="L118" s="101"/>
      <c r="M118" s="103">
        <f t="shared" si="8"/>
        <v>0</v>
      </c>
    </row>
    <row r="119" spans="1:13" x14ac:dyDescent="0.25">
      <c r="A119" s="117"/>
      <c r="G119" s="84"/>
      <c r="H119" s="101">
        <v>114</v>
      </c>
      <c r="I119" s="102" t="str">
        <f t="shared" si="6"/>
        <v/>
      </c>
      <c r="J119" s="101" t="e">
        <f t="shared" si="9"/>
        <v>#NUM!</v>
      </c>
      <c r="K119" s="101" t="e">
        <f t="shared" si="7"/>
        <v>#NUM!</v>
      </c>
      <c r="L119" s="101"/>
      <c r="M119" s="103">
        <f t="shared" si="8"/>
        <v>0</v>
      </c>
    </row>
    <row r="120" spans="1:13" x14ac:dyDescent="0.25">
      <c r="A120" s="117"/>
      <c r="G120" s="84"/>
      <c r="H120" s="101">
        <v>115</v>
      </c>
      <c r="I120" s="102" t="str">
        <f t="shared" si="6"/>
        <v/>
      </c>
      <c r="J120" s="101" t="e">
        <f t="shared" si="9"/>
        <v>#NUM!</v>
      </c>
      <c r="K120" s="101" t="e">
        <f t="shared" si="7"/>
        <v>#NUM!</v>
      </c>
      <c r="L120" s="101"/>
      <c r="M120" s="103">
        <f t="shared" si="8"/>
        <v>0</v>
      </c>
    </row>
    <row r="121" spans="1:13" x14ac:dyDescent="0.25">
      <c r="A121" s="117"/>
      <c r="G121" s="84"/>
      <c r="H121" s="101">
        <v>116</v>
      </c>
      <c r="I121" s="102" t="str">
        <f t="shared" si="6"/>
        <v/>
      </c>
      <c r="J121" s="101" t="e">
        <f t="shared" si="9"/>
        <v>#NUM!</v>
      </c>
      <c r="K121" s="101" t="e">
        <f t="shared" si="7"/>
        <v>#NUM!</v>
      </c>
      <c r="L121" s="101"/>
      <c r="M121" s="103">
        <f t="shared" si="8"/>
        <v>0</v>
      </c>
    </row>
    <row r="122" spans="1:13" x14ac:dyDescent="0.25">
      <c r="A122" s="117"/>
      <c r="G122" s="84"/>
      <c r="H122" s="101">
        <v>117</v>
      </c>
      <c r="I122" s="102" t="str">
        <f t="shared" si="6"/>
        <v/>
      </c>
      <c r="J122" s="101" t="e">
        <f t="shared" si="9"/>
        <v>#NUM!</v>
      </c>
      <c r="K122" s="101" t="e">
        <f t="shared" si="7"/>
        <v>#NUM!</v>
      </c>
      <c r="L122" s="101"/>
      <c r="M122" s="103">
        <f t="shared" si="8"/>
        <v>0</v>
      </c>
    </row>
    <row r="123" spans="1:13" x14ac:dyDescent="0.25">
      <c r="A123" s="117"/>
      <c r="G123" s="84"/>
      <c r="H123" s="101">
        <v>118</v>
      </c>
      <c r="I123" s="102" t="str">
        <f t="shared" si="6"/>
        <v/>
      </c>
      <c r="J123" s="101" t="e">
        <f t="shared" si="9"/>
        <v>#NUM!</v>
      </c>
      <c r="K123" s="101" t="e">
        <f t="shared" si="7"/>
        <v>#NUM!</v>
      </c>
      <c r="L123" s="101"/>
      <c r="M123" s="103">
        <f t="shared" si="8"/>
        <v>0</v>
      </c>
    </row>
    <row r="124" spans="1:13" x14ac:dyDescent="0.25">
      <c r="A124" s="117"/>
      <c r="G124" s="84"/>
      <c r="H124" s="101">
        <v>119</v>
      </c>
      <c r="I124" s="102" t="str">
        <f t="shared" si="6"/>
        <v/>
      </c>
      <c r="J124" s="101" t="e">
        <f t="shared" si="9"/>
        <v>#NUM!</v>
      </c>
      <c r="K124" s="101" t="e">
        <f t="shared" si="7"/>
        <v>#NUM!</v>
      </c>
      <c r="L124" s="101"/>
      <c r="M124" s="103">
        <f t="shared" si="8"/>
        <v>0</v>
      </c>
    </row>
    <row r="125" spans="1:13" x14ac:dyDescent="0.25">
      <c r="A125" s="117"/>
      <c r="G125" s="84"/>
      <c r="H125" s="101">
        <v>120</v>
      </c>
      <c r="I125" s="102" t="str">
        <f t="shared" si="6"/>
        <v/>
      </c>
      <c r="J125" s="101" t="e">
        <f t="shared" si="9"/>
        <v>#NUM!</v>
      </c>
      <c r="K125" s="101" t="e">
        <f t="shared" si="7"/>
        <v>#NUM!</v>
      </c>
      <c r="L125" s="101"/>
      <c r="M125" s="103">
        <f t="shared" si="8"/>
        <v>0</v>
      </c>
    </row>
    <row r="126" spans="1:13" x14ac:dyDescent="0.25">
      <c r="A126" s="117"/>
      <c r="G126" s="84"/>
      <c r="H126" s="101">
        <v>121</v>
      </c>
      <c r="I126" s="102" t="str">
        <f t="shared" si="6"/>
        <v/>
      </c>
      <c r="J126" s="101" t="e">
        <f t="shared" si="9"/>
        <v>#NUM!</v>
      </c>
      <c r="K126" s="101" t="e">
        <f t="shared" si="7"/>
        <v>#NUM!</v>
      </c>
      <c r="L126" s="101"/>
      <c r="M126" s="103">
        <f t="shared" si="8"/>
        <v>0</v>
      </c>
    </row>
    <row r="127" spans="1:13" x14ac:dyDescent="0.25">
      <c r="A127" s="117"/>
      <c r="G127" s="84"/>
      <c r="H127" s="101">
        <v>122</v>
      </c>
      <c r="I127" s="102" t="str">
        <f t="shared" si="6"/>
        <v/>
      </c>
      <c r="J127" s="101" t="e">
        <f t="shared" si="9"/>
        <v>#NUM!</v>
      </c>
      <c r="K127" s="101" t="e">
        <f t="shared" si="7"/>
        <v>#NUM!</v>
      </c>
      <c r="L127" s="101"/>
      <c r="M127" s="103">
        <f t="shared" si="8"/>
        <v>0</v>
      </c>
    </row>
    <row r="128" spans="1:13" x14ac:dyDescent="0.25">
      <c r="A128" s="117"/>
      <c r="G128" s="84"/>
      <c r="H128" s="101">
        <v>123</v>
      </c>
      <c r="I128" s="102" t="str">
        <f t="shared" si="6"/>
        <v/>
      </c>
      <c r="J128" s="101" t="e">
        <f t="shared" si="9"/>
        <v>#NUM!</v>
      </c>
      <c r="K128" s="101" t="e">
        <f t="shared" si="7"/>
        <v>#NUM!</v>
      </c>
      <c r="L128" s="101"/>
      <c r="M128" s="103">
        <f t="shared" si="8"/>
        <v>0</v>
      </c>
    </row>
    <row r="129" spans="1:13" x14ac:dyDescent="0.25">
      <c r="A129" s="117"/>
      <c r="G129" s="84"/>
      <c r="H129" s="101">
        <v>124</v>
      </c>
      <c r="I129" s="102" t="str">
        <f t="shared" si="6"/>
        <v/>
      </c>
      <c r="J129" s="101" t="e">
        <f t="shared" si="9"/>
        <v>#NUM!</v>
      </c>
      <c r="K129" s="101" t="e">
        <f t="shared" si="7"/>
        <v>#NUM!</v>
      </c>
      <c r="L129" s="101"/>
      <c r="M129" s="103">
        <f t="shared" si="8"/>
        <v>0</v>
      </c>
    </row>
    <row r="130" spans="1:13" x14ac:dyDescent="0.25">
      <c r="A130" s="117"/>
      <c r="G130" s="84"/>
      <c r="H130" s="101">
        <v>125</v>
      </c>
      <c r="I130" s="102" t="str">
        <f t="shared" si="6"/>
        <v/>
      </c>
      <c r="J130" s="101" t="e">
        <f t="shared" si="9"/>
        <v>#NUM!</v>
      </c>
      <c r="K130" s="101" t="e">
        <f t="shared" si="7"/>
        <v>#NUM!</v>
      </c>
      <c r="L130" s="101"/>
      <c r="M130" s="103">
        <f t="shared" si="8"/>
        <v>0</v>
      </c>
    </row>
    <row r="131" spans="1:13" x14ac:dyDescent="0.25">
      <c r="A131" s="117"/>
      <c r="G131" s="84"/>
      <c r="H131" s="101">
        <v>126</v>
      </c>
      <c r="I131" s="102" t="str">
        <f t="shared" si="6"/>
        <v/>
      </c>
      <c r="J131" s="101" t="e">
        <f t="shared" si="9"/>
        <v>#NUM!</v>
      </c>
      <c r="K131" s="101" t="e">
        <f t="shared" si="7"/>
        <v>#NUM!</v>
      </c>
      <c r="L131" s="101"/>
      <c r="M131" s="103">
        <f t="shared" si="8"/>
        <v>0</v>
      </c>
    </row>
    <row r="132" spans="1:13" x14ac:dyDescent="0.25">
      <c r="A132" s="117"/>
      <c r="G132" s="84"/>
      <c r="H132" s="101">
        <v>127</v>
      </c>
      <c r="I132" s="102" t="str">
        <f t="shared" si="6"/>
        <v/>
      </c>
      <c r="J132" s="101" t="e">
        <f t="shared" si="9"/>
        <v>#NUM!</v>
      </c>
      <c r="K132" s="101" t="e">
        <f t="shared" si="7"/>
        <v>#NUM!</v>
      </c>
      <c r="L132" s="101"/>
      <c r="M132" s="103">
        <f t="shared" si="8"/>
        <v>0</v>
      </c>
    </row>
    <row r="133" spans="1:13" x14ac:dyDescent="0.25">
      <c r="A133" s="117"/>
      <c r="G133" s="84"/>
      <c r="H133" s="101">
        <v>128</v>
      </c>
      <c r="I133" s="102" t="str">
        <f t="shared" si="6"/>
        <v/>
      </c>
      <c r="J133" s="101" t="e">
        <f t="shared" si="9"/>
        <v>#NUM!</v>
      </c>
      <c r="K133" s="101" t="e">
        <f t="shared" si="7"/>
        <v>#NUM!</v>
      </c>
      <c r="L133" s="101"/>
      <c r="M133" s="103">
        <f t="shared" si="8"/>
        <v>0</v>
      </c>
    </row>
    <row r="134" spans="1:13" x14ac:dyDescent="0.25">
      <c r="A134" s="117"/>
      <c r="G134" s="84"/>
      <c r="H134" s="101">
        <v>129</v>
      </c>
      <c r="I134" s="102" t="str">
        <f t="shared" ref="I134:I197" si="10">IF(H134&lt;$H$2+1,($I$2-($I$2-1)*(LOG(H134)/LOG($H$2))),"")</f>
        <v/>
      </c>
      <c r="J134" s="101" t="e">
        <f t="shared" si="9"/>
        <v>#NUM!</v>
      </c>
      <c r="K134" s="101" t="e">
        <f t="shared" ref="K134:K197" si="11">J134*$J$2</f>
        <v>#NUM!</v>
      </c>
      <c r="L134" s="101"/>
      <c r="M134" s="103">
        <f t="shared" ref="M134:M197" si="12">IF(I134&lt;&gt;"",K134+I134+L134,0)</f>
        <v>0</v>
      </c>
    </row>
    <row r="135" spans="1:13" x14ac:dyDescent="0.25">
      <c r="A135" s="117"/>
      <c r="G135" s="84"/>
      <c r="H135" s="101">
        <v>130</v>
      </c>
      <c r="I135" s="102" t="str">
        <f t="shared" si="10"/>
        <v/>
      </c>
      <c r="J135" s="101" t="e">
        <f t="shared" ref="J135:J198" si="13">INT(LOG($H$2,2))-ROUNDUP(LOG(H135,2),0)+IF(OR($H$2=1,$H$2=2,$H$2=4,$H$2=8,$H$2=16,$H$2=32,$H$2=64,$H$2=128,$H$2=256),0,1)</f>
        <v>#NUM!</v>
      </c>
      <c r="K135" s="101" t="e">
        <f t="shared" si="11"/>
        <v>#NUM!</v>
      </c>
      <c r="L135" s="101"/>
      <c r="M135" s="103">
        <f t="shared" si="12"/>
        <v>0</v>
      </c>
    </row>
    <row r="136" spans="1:13" x14ac:dyDescent="0.25">
      <c r="A136" s="117"/>
      <c r="G136" s="84"/>
      <c r="H136" s="101">
        <v>131</v>
      </c>
      <c r="I136" s="102" t="str">
        <f t="shared" si="10"/>
        <v/>
      </c>
      <c r="J136" s="101" t="e">
        <f t="shared" si="13"/>
        <v>#NUM!</v>
      </c>
      <c r="K136" s="101" t="e">
        <f t="shared" si="11"/>
        <v>#NUM!</v>
      </c>
      <c r="L136" s="101"/>
      <c r="M136" s="103">
        <f t="shared" si="12"/>
        <v>0</v>
      </c>
    </row>
    <row r="137" spans="1:13" x14ac:dyDescent="0.25">
      <c r="A137" s="117"/>
      <c r="G137" s="84"/>
      <c r="H137" s="101">
        <v>132</v>
      </c>
      <c r="I137" s="102" t="str">
        <f t="shared" si="10"/>
        <v/>
      </c>
      <c r="J137" s="101" t="e">
        <f t="shared" si="13"/>
        <v>#NUM!</v>
      </c>
      <c r="K137" s="101" t="e">
        <f t="shared" si="11"/>
        <v>#NUM!</v>
      </c>
      <c r="L137" s="101"/>
      <c r="M137" s="103">
        <f t="shared" si="12"/>
        <v>0</v>
      </c>
    </row>
    <row r="138" spans="1:13" x14ac:dyDescent="0.25">
      <c r="A138" s="117"/>
      <c r="G138" s="84"/>
      <c r="H138" s="101">
        <v>133</v>
      </c>
      <c r="I138" s="102" t="str">
        <f t="shared" si="10"/>
        <v/>
      </c>
      <c r="J138" s="101" t="e">
        <f t="shared" si="13"/>
        <v>#NUM!</v>
      </c>
      <c r="K138" s="101" t="e">
        <f t="shared" si="11"/>
        <v>#NUM!</v>
      </c>
      <c r="L138" s="101"/>
      <c r="M138" s="103">
        <f t="shared" si="12"/>
        <v>0</v>
      </c>
    </row>
    <row r="139" spans="1:13" x14ac:dyDescent="0.25">
      <c r="A139" s="117"/>
      <c r="G139" s="84"/>
      <c r="H139" s="101">
        <v>134</v>
      </c>
      <c r="I139" s="102" t="str">
        <f t="shared" si="10"/>
        <v/>
      </c>
      <c r="J139" s="101" t="e">
        <f t="shared" si="13"/>
        <v>#NUM!</v>
      </c>
      <c r="K139" s="101" t="e">
        <f t="shared" si="11"/>
        <v>#NUM!</v>
      </c>
      <c r="L139" s="101"/>
      <c r="M139" s="103">
        <f t="shared" si="12"/>
        <v>0</v>
      </c>
    </row>
    <row r="140" spans="1:13" x14ac:dyDescent="0.25">
      <c r="A140" s="117"/>
      <c r="G140" s="84"/>
      <c r="H140" s="101">
        <v>135</v>
      </c>
      <c r="I140" s="102" t="str">
        <f t="shared" si="10"/>
        <v/>
      </c>
      <c r="J140" s="101" t="e">
        <f t="shared" si="13"/>
        <v>#NUM!</v>
      </c>
      <c r="K140" s="101" t="e">
        <f t="shared" si="11"/>
        <v>#NUM!</v>
      </c>
      <c r="L140" s="101"/>
      <c r="M140" s="103">
        <f t="shared" si="12"/>
        <v>0</v>
      </c>
    </row>
    <row r="141" spans="1:13" x14ac:dyDescent="0.25">
      <c r="A141" s="117"/>
      <c r="G141" s="84"/>
      <c r="H141" s="101">
        <v>136</v>
      </c>
      <c r="I141" s="102" t="str">
        <f t="shared" si="10"/>
        <v/>
      </c>
      <c r="J141" s="101" t="e">
        <f t="shared" si="13"/>
        <v>#NUM!</v>
      </c>
      <c r="K141" s="101" t="e">
        <f t="shared" si="11"/>
        <v>#NUM!</v>
      </c>
      <c r="L141" s="101"/>
      <c r="M141" s="103">
        <f t="shared" si="12"/>
        <v>0</v>
      </c>
    </row>
    <row r="142" spans="1:13" x14ac:dyDescent="0.25">
      <c r="A142" s="117"/>
      <c r="G142" s="84"/>
      <c r="H142" s="101">
        <v>137</v>
      </c>
      <c r="I142" s="102" t="str">
        <f t="shared" si="10"/>
        <v/>
      </c>
      <c r="J142" s="101" t="e">
        <f t="shared" si="13"/>
        <v>#NUM!</v>
      </c>
      <c r="K142" s="101" t="e">
        <f t="shared" si="11"/>
        <v>#NUM!</v>
      </c>
      <c r="L142" s="101"/>
      <c r="M142" s="103">
        <f t="shared" si="12"/>
        <v>0</v>
      </c>
    </row>
    <row r="143" spans="1:13" x14ac:dyDescent="0.25">
      <c r="A143" s="117"/>
      <c r="G143" s="84"/>
      <c r="H143" s="101">
        <v>138</v>
      </c>
      <c r="I143" s="102" t="str">
        <f t="shared" si="10"/>
        <v/>
      </c>
      <c r="J143" s="101" t="e">
        <f t="shared" si="13"/>
        <v>#NUM!</v>
      </c>
      <c r="K143" s="101" t="e">
        <f t="shared" si="11"/>
        <v>#NUM!</v>
      </c>
      <c r="L143" s="101"/>
      <c r="M143" s="103">
        <f t="shared" si="12"/>
        <v>0</v>
      </c>
    </row>
    <row r="144" spans="1:13" x14ac:dyDescent="0.25">
      <c r="A144" s="117"/>
      <c r="G144" s="84"/>
      <c r="H144" s="101">
        <v>139</v>
      </c>
      <c r="I144" s="102" t="str">
        <f t="shared" si="10"/>
        <v/>
      </c>
      <c r="J144" s="101" t="e">
        <f t="shared" si="13"/>
        <v>#NUM!</v>
      </c>
      <c r="K144" s="101" t="e">
        <f t="shared" si="11"/>
        <v>#NUM!</v>
      </c>
      <c r="L144" s="101"/>
      <c r="M144" s="103">
        <f t="shared" si="12"/>
        <v>0</v>
      </c>
    </row>
    <row r="145" spans="1:13" x14ac:dyDescent="0.25">
      <c r="A145" s="117"/>
      <c r="G145" s="84"/>
      <c r="H145" s="101">
        <v>140</v>
      </c>
      <c r="I145" s="102" t="str">
        <f t="shared" si="10"/>
        <v/>
      </c>
      <c r="J145" s="101" t="e">
        <f t="shared" si="13"/>
        <v>#NUM!</v>
      </c>
      <c r="K145" s="101" t="e">
        <f t="shared" si="11"/>
        <v>#NUM!</v>
      </c>
      <c r="L145" s="101"/>
      <c r="M145" s="103">
        <f t="shared" si="12"/>
        <v>0</v>
      </c>
    </row>
    <row r="146" spans="1:13" x14ac:dyDescent="0.25">
      <c r="A146" s="117"/>
      <c r="G146" s="84"/>
      <c r="H146" s="101">
        <v>141</v>
      </c>
      <c r="I146" s="102" t="str">
        <f t="shared" si="10"/>
        <v/>
      </c>
      <c r="J146" s="101" t="e">
        <f t="shared" si="13"/>
        <v>#NUM!</v>
      </c>
      <c r="K146" s="101" t="e">
        <f t="shared" si="11"/>
        <v>#NUM!</v>
      </c>
      <c r="L146" s="101"/>
      <c r="M146" s="103">
        <f t="shared" si="12"/>
        <v>0</v>
      </c>
    </row>
    <row r="147" spans="1:13" x14ac:dyDescent="0.25">
      <c r="A147" s="117"/>
      <c r="G147" s="84"/>
      <c r="H147" s="101">
        <v>142</v>
      </c>
      <c r="I147" s="102" t="str">
        <f t="shared" si="10"/>
        <v/>
      </c>
      <c r="J147" s="101" t="e">
        <f t="shared" si="13"/>
        <v>#NUM!</v>
      </c>
      <c r="K147" s="101" t="e">
        <f t="shared" si="11"/>
        <v>#NUM!</v>
      </c>
      <c r="L147" s="101"/>
      <c r="M147" s="103">
        <f t="shared" si="12"/>
        <v>0</v>
      </c>
    </row>
    <row r="148" spans="1:13" x14ac:dyDescent="0.25">
      <c r="A148" s="117"/>
      <c r="G148" s="84"/>
      <c r="H148" s="101">
        <v>143</v>
      </c>
      <c r="I148" s="102" t="str">
        <f t="shared" si="10"/>
        <v/>
      </c>
      <c r="J148" s="101" t="e">
        <f t="shared" si="13"/>
        <v>#NUM!</v>
      </c>
      <c r="K148" s="101" t="e">
        <f t="shared" si="11"/>
        <v>#NUM!</v>
      </c>
      <c r="L148" s="101"/>
      <c r="M148" s="103">
        <f t="shared" si="12"/>
        <v>0</v>
      </c>
    </row>
    <row r="149" spans="1:13" x14ac:dyDescent="0.25">
      <c r="A149" s="117"/>
      <c r="G149" s="84"/>
      <c r="H149" s="101">
        <v>144</v>
      </c>
      <c r="I149" s="102" t="str">
        <f t="shared" si="10"/>
        <v/>
      </c>
      <c r="J149" s="101" t="e">
        <f t="shared" si="13"/>
        <v>#NUM!</v>
      </c>
      <c r="K149" s="101" t="e">
        <f t="shared" si="11"/>
        <v>#NUM!</v>
      </c>
      <c r="L149" s="101"/>
      <c r="M149" s="103">
        <f t="shared" si="12"/>
        <v>0</v>
      </c>
    </row>
    <row r="150" spans="1:13" x14ac:dyDescent="0.25">
      <c r="A150" s="117"/>
      <c r="G150" s="84"/>
      <c r="H150" s="101">
        <v>145</v>
      </c>
      <c r="I150" s="102" t="str">
        <f t="shared" si="10"/>
        <v/>
      </c>
      <c r="J150" s="101" t="e">
        <f t="shared" si="13"/>
        <v>#NUM!</v>
      </c>
      <c r="K150" s="101" t="e">
        <f t="shared" si="11"/>
        <v>#NUM!</v>
      </c>
      <c r="L150" s="101"/>
      <c r="M150" s="103">
        <f t="shared" si="12"/>
        <v>0</v>
      </c>
    </row>
    <row r="151" spans="1:13" x14ac:dyDescent="0.25">
      <c r="A151" s="117"/>
      <c r="G151" s="84"/>
      <c r="H151" s="101">
        <v>146</v>
      </c>
      <c r="I151" s="102" t="str">
        <f t="shared" si="10"/>
        <v/>
      </c>
      <c r="J151" s="101" t="e">
        <f t="shared" si="13"/>
        <v>#NUM!</v>
      </c>
      <c r="K151" s="101" t="e">
        <f t="shared" si="11"/>
        <v>#NUM!</v>
      </c>
      <c r="L151" s="101"/>
      <c r="M151" s="103">
        <f t="shared" si="12"/>
        <v>0</v>
      </c>
    </row>
    <row r="152" spans="1:13" x14ac:dyDescent="0.25">
      <c r="A152" s="117"/>
      <c r="G152" s="84"/>
      <c r="H152" s="101">
        <v>147</v>
      </c>
      <c r="I152" s="102" t="str">
        <f t="shared" si="10"/>
        <v/>
      </c>
      <c r="J152" s="101" t="e">
        <f t="shared" si="13"/>
        <v>#NUM!</v>
      </c>
      <c r="K152" s="101" t="e">
        <f t="shared" si="11"/>
        <v>#NUM!</v>
      </c>
      <c r="L152" s="101"/>
      <c r="M152" s="103">
        <f t="shared" si="12"/>
        <v>0</v>
      </c>
    </row>
    <row r="153" spans="1:13" x14ac:dyDescent="0.25">
      <c r="A153" s="117"/>
      <c r="G153" s="84"/>
      <c r="H153" s="101">
        <v>148</v>
      </c>
      <c r="I153" s="102" t="str">
        <f t="shared" si="10"/>
        <v/>
      </c>
      <c r="J153" s="101" t="e">
        <f t="shared" si="13"/>
        <v>#NUM!</v>
      </c>
      <c r="K153" s="101" t="e">
        <f t="shared" si="11"/>
        <v>#NUM!</v>
      </c>
      <c r="L153" s="101"/>
      <c r="M153" s="103">
        <f t="shared" si="12"/>
        <v>0</v>
      </c>
    </row>
    <row r="154" spans="1:13" x14ac:dyDescent="0.25">
      <c r="A154" s="117"/>
      <c r="G154" s="84"/>
      <c r="H154" s="101">
        <v>149</v>
      </c>
      <c r="I154" s="102" t="str">
        <f t="shared" si="10"/>
        <v/>
      </c>
      <c r="J154" s="101" t="e">
        <f t="shared" si="13"/>
        <v>#NUM!</v>
      </c>
      <c r="K154" s="101" t="e">
        <f t="shared" si="11"/>
        <v>#NUM!</v>
      </c>
      <c r="L154" s="101"/>
      <c r="M154" s="103">
        <f t="shared" si="12"/>
        <v>0</v>
      </c>
    </row>
    <row r="155" spans="1:13" x14ac:dyDescent="0.25">
      <c r="A155" s="117"/>
      <c r="G155" s="84"/>
      <c r="H155" s="101">
        <v>150</v>
      </c>
      <c r="I155" s="102" t="str">
        <f t="shared" si="10"/>
        <v/>
      </c>
      <c r="J155" s="101" t="e">
        <f t="shared" si="13"/>
        <v>#NUM!</v>
      </c>
      <c r="K155" s="101" t="e">
        <f t="shared" si="11"/>
        <v>#NUM!</v>
      </c>
      <c r="L155" s="101"/>
      <c r="M155" s="103">
        <f t="shared" si="12"/>
        <v>0</v>
      </c>
    </row>
    <row r="156" spans="1:13" x14ac:dyDescent="0.25">
      <c r="A156" s="117"/>
      <c r="G156" s="84"/>
      <c r="H156" s="101">
        <v>151</v>
      </c>
      <c r="I156" s="102" t="str">
        <f t="shared" si="10"/>
        <v/>
      </c>
      <c r="J156" s="101" t="e">
        <f t="shared" si="13"/>
        <v>#NUM!</v>
      </c>
      <c r="K156" s="101" t="e">
        <f t="shared" si="11"/>
        <v>#NUM!</v>
      </c>
      <c r="L156" s="101"/>
      <c r="M156" s="103">
        <f t="shared" si="12"/>
        <v>0</v>
      </c>
    </row>
    <row r="157" spans="1:13" x14ac:dyDescent="0.25">
      <c r="A157" s="117"/>
      <c r="G157" s="84"/>
      <c r="H157" s="101">
        <v>152</v>
      </c>
      <c r="I157" s="102" t="str">
        <f t="shared" si="10"/>
        <v/>
      </c>
      <c r="J157" s="101" t="e">
        <f t="shared" si="13"/>
        <v>#NUM!</v>
      </c>
      <c r="K157" s="101" t="e">
        <f t="shared" si="11"/>
        <v>#NUM!</v>
      </c>
      <c r="L157" s="101"/>
      <c r="M157" s="103">
        <f t="shared" si="12"/>
        <v>0</v>
      </c>
    </row>
    <row r="158" spans="1:13" x14ac:dyDescent="0.25">
      <c r="A158" s="117"/>
      <c r="G158" s="84"/>
      <c r="H158" s="101">
        <v>153</v>
      </c>
      <c r="I158" s="102" t="str">
        <f t="shared" si="10"/>
        <v/>
      </c>
      <c r="J158" s="101" t="e">
        <f t="shared" si="13"/>
        <v>#NUM!</v>
      </c>
      <c r="K158" s="101" t="e">
        <f t="shared" si="11"/>
        <v>#NUM!</v>
      </c>
      <c r="L158" s="101"/>
      <c r="M158" s="103">
        <f t="shared" si="12"/>
        <v>0</v>
      </c>
    </row>
    <row r="159" spans="1:13" x14ac:dyDescent="0.25">
      <c r="A159" s="117"/>
      <c r="G159" s="84"/>
      <c r="H159" s="101">
        <v>154</v>
      </c>
      <c r="I159" s="102" t="str">
        <f t="shared" si="10"/>
        <v/>
      </c>
      <c r="J159" s="101" t="e">
        <f t="shared" si="13"/>
        <v>#NUM!</v>
      </c>
      <c r="K159" s="101" t="e">
        <f t="shared" si="11"/>
        <v>#NUM!</v>
      </c>
      <c r="L159" s="101"/>
      <c r="M159" s="103">
        <f t="shared" si="12"/>
        <v>0</v>
      </c>
    </row>
    <row r="160" spans="1:13" x14ac:dyDescent="0.25">
      <c r="A160" s="117"/>
      <c r="G160" s="84"/>
      <c r="H160" s="101">
        <v>155</v>
      </c>
      <c r="I160" s="102" t="str">
        <f t="shared" si="10"/>
        <v/>
      </c>
      <c r="J160" s="101" t="e">
        <f t="shared" si="13"/>
        <v>#NUM!</v>
      </c>
      <c r="K160" s="101" t="e">
        <f t="shared" si="11"/>
        <v>#NUM!</v>
      </c>
      <c r="L160" s="101"/>
      <c r="M160" s="103">
        <f t="shared" si="12"/>
        <v>0</v>
      </c>
    </row>
    <row r="161" spans="1:13" x14ac:dyDescent="0.25">
      <c r="A161" s="117"/>
      <c r="G161" s="84"/>
      <c r="H161" s="101">
        <v>156</v>
      </c>
      <c r="I161" s="102" t="str">
        <f t="shared" si="10"/>
        <v/>
      </c>
      <c r="J161" s="101" t="e">
        <f t="shared" si="13"/>
        <v>#NUM!</v>
      </c>
      <c r="K161" s="101" t="e">
        <f t="shared" si="11"/>
        <v>#NUM!</v>
      </c>
      <c r="L161" s="101"/>
      <c r="M161" s="103">
        <f t="shared" si="12"/>
        <v>0</v>
      </c>
    </row>
    <row r="162" spans="1:13" x14ac:dyDescent="0.25">
      <c r="A162" s="117"/>
      <c r="G162" s="84"/>
      <c r="H162" s="101">
        <v>157</v>
      </c>
      <c r="I162" s="102" t="str">
        <f t="shared" si="10"/>
        <v/>
      </c>
      <c r="J162" s="101" t="e">
        <f t="shared" si="13"/>
        <v>#NUM!</v>
      </c>
      <c r="K162" s="101" t="e">
        <f t="shared" si="11"/>
        <v>#NUM!</v>
      </c>
      <c r="L162" s="101"/>
      <c r="M162" s="103">
        <f t="shared" si="12"/>
        <v>0</v>
      </c>
    </row>
    <row r="163" spans="1:13" x14ac:dyDescent="0.25">
      <c r="A163" s="117"/>
      <c r="G163" s="84"/>
      <c r="H163" s="101">
        <v>158</v>
      </c>
      <c r="I163" s="102" t="str">
        <f t="shared" si="10"/>
        <v/>
      </c>
      <c r="J163" s="101" t="e">
        <f t="shared" si="13"/>
        <v>#NUM!</v>
      </c>
      <c r="K163" s="101" t="e">
        <f t="shared" si="11"/>
        <v>#NUM!</v>
      </c>
      <c r="L163" s="101"/>
      <c r="M163" s="103">
        <f t="shared" si="12"/>
        <v>0</v>
      </c>
    </row>
    <row r="164" spans="1:13" x14ac:dyDescent="0.25">
      <c r="A164" s="117"/>
      <c r="G164" s="84"/>
      <c r="H164" s="101">
        <v>159</v>
      </c>
      <c r="I164" s="102" t="str">
        <f t="shared" si="10"/>
        <v/>
      </c>
      <c r="J164" s="101" t="e">
        <f t="shared" si="13"/>
        <v>#NUM!</v>
      </c>
      <c r="K164" s="101" t="e">
        <f t="shared" si="11"/>
        <v>#NUM!</v>
      </c>
      <c r="L164" s="101"/>
      <c r="M164" s="103">
        <f t="shared" si="12"/>
        <v>0</v>
      </c>
    </row>
    <row r="165" spans="1:13" x14ac:dyDescent="0.25">
      <c r="A165" s="117"/>
      <c r="G165" s="84"/>
      <c r="H165" s="101">
        <v>160</v>
      </c>
      <c r="I165" s="102" t="str">
        <f t="shared" si="10"/>
        <v/>
      </c>
      <c r="J165" s="101" t="e">
        <f t="shared" si="13"/>
        <v>#NUM!</v>
      </c>
      <c r="K165" s="101" t="e">
        <f t="shared" si="11"/>
        <v>#NUM!</v>
      </c>
      <c r="L165" s="101"/>
      <c r="M165" s="103">
        <f t="shared" si="12"/>
        <v>0</v>
      </c>
    </row>
    <row r="166" spans="1:13" x14ac:dyDescent="0.25">
      <c r="A166" s="117"/>
      <c r="G166" s="84"/>
      <c r="H166" s="101">
        <v>161</v>
      </c>
      <c r="I166" s="102" t="str">
        <f t="shared" si="10"/>
        <v/>
      </c>
      <c r="J166" s="101" t="e">
        <f t="shared" si="13"/>
        <v>#NUM!</v>
      </c>
      <c r="K166" s="101" t="e">
        <f t="shared" si="11"/>
        <v>#NUM!</v>
      </c>
      <c r="L166" s="101"/>
      <c r="M166" s="103">
        <f t="shared" si="12"/>
        <v>0</v>
      </c>
    </row>
    <row r="167" spans="1:13" x14ac:dyDescent="0.25">
      <c r="A167" s="117"/>
      <c r="G167" s="84"/>
      <c r="H167" s="101">
        <v>162</v>
      </c>
      <c r="I167" s="102" t="str">
        <f t="shared" si="10"/>
        <v/>
      </c>
      <c r="J167" s="101" t="e">
        <f t="shared" si="13"/>
        <v>#NUM!</v>
      </c>
      <c r="K167" s="101" t="e">
        <f t="shared" si="11"/>
        <v>#NUM!</v>
      </c>
      <c r="L167" s="101"/>
      <c r="M167" s="103">
        <f t="shared" si="12"/>
        <v>0</v>
      </c>
    </row>
    <row r="168" spans="1:13" x14ac:dyDescent="0.25">
      <c r="A168" s="117"/>
      <c r="G168" s="84"/>
      <c r="H168" s="101">
        <v>163</v>
      </c>
      <c r="I168" s="102" t="str">
        <f t="shared" si="10"/>
        <v/>
      </c>
      <c r="J168" s="101" t="e">
        <f t="shared" si="13"/>
        <v>#NUM!</v>
      </c>
      <c r="K168" s="101" t="e">
        <f t="shared" si="11"/>
        <v>#NUM!</v>
      </c>
      <c r="L168" s="101"/>
      <c r="M168" s="103">
        <f t="shared" si="12"/>
        <v>0</v>
      </c>
    </row>
    <row r="169" spans="1:13" x14ac:dyDescent="0.25">
      <c r="A169" s="117"/>
      <c r="G169" s="84"/>
      <c r="H169" s="101">
        <v>164</v>
      </c>
      <c r="I169" s="102" t="str">
        <f t="shared" si="10"/>
        <v/>
      </c>
      <c r="J169" s="101" t="e">
        <f t="shared" si="13"/>
        <v>#NUM!</v>
      </c>
      <c r="K169" s="101" t="e">
        <f t="shared" si="11"/>
        <v>#NUM!</v>
      </c>
      <c r="L169" s="101"/>
      <c r="M169" s="103">
        <f t="shared" si="12"/>
        <v>0</v>
      </c>
    </row>
    <row r="170" spans="1:13" x14ac:dyDescent="0.25">
      <c r="A170" s="117"/>
      <c r="G170" s="84"/>
      <c r="H170" s="101">
        <v>165</v>
      </c>
      <c r="I170" s="102" t="str">
        <f t="shared" si="10"/>
        <v/>
      </c>
      <c r="J170" s="101" t="e">
        <f t="shared" si="13"/>
        <v>#NUM!</v>
      </c>
      <c r="K170" s="101" t="e">
        <f t="shared" si="11"/>
        <v>#NUM!</v>
      </c>
      <c r="L170" s="101"/>
      <c r="M170" s="103">
        <f t="shared" si="12"/>
        <v>0</v>
      </c>
    </row>
    <row r="171" spans="1:13" x14ac:dyDescent="0.25">
      <c r="A171" s="117"/>
      <c r="G171" s="84"/>
      <c r="H171" s="101">
        <v>166</v>
      </c>
      <c r="I171" s="102" t="str">
        <f t="shared" si="10"/>
        <v/>
      </c>
      <c r="J171" s="101" t="e">
        <f t="shared" si="13"/>
        <v>#NUM!</v>
      </c>
      <c r="K171" s="101" t="e">
        <f t="shared" si="11"/>
        <v>#NUM!</v>
      </c>
      <c r="L171" s="101"/>
      <c r="M171" s="103">
        <f t="shared" si="12"/>
        <v>0</v>
      </c>
    </row>
    <row r="172" spans="1:13" x14ac:dyDescent="0.25">
      <c r="A172" s="117"/>
      <c r="G172" s="84"/>
      <c r="H172" s="101">
        <v>167</v>
      </c>
      <c r="I172" s="102" t="str">
        <f t="shared" si="10"/>
        <v/>
      </c>
      <c r="J172" s="101" t="e">
        <f t="shared" si="13"/>
        <v>#NUM!</v>
      </c>
      <c r="K172" s="101" t="e">
        <f t="shared" si="11"/>
        <v>#NUM!</v>
      </c>
      <c r="L172" s="101"/>
      <c r="M172" s="103">
        <f t="shared" si="12"/>
        <v>0</v>
      </c>
    </row>
    <row r="173" spans="1:13" x14ac:dyDescent="0.25">
      <c r="A173" s="117"/>
      <c r="G173" s="84"/>
      <c r="H173" s="101">
        <v>168</v>
      </c>
      <c r="I173" s="102" t="str">
        <f t="shared" si="10"/>
        <v/>
      </c>
      <c r="J173" s="101" t="e">
        <f t="shared" si="13"/>
        <v>#NUM!</v>
      </c>
      <c r="K173" s="101" t="e">
        <f t="shared" si="11"/>
        <v>#NUM!</v>
      </c>
      <c r="L173" s="101"/>
      <c r="M173" s="103">
        <f t="shared" si="12"/>
        <v>0</v>
      </c>
    </row>
    <row r="174" spans="1:13" x14ac:dyDescent="0.25">
      <c r="A174" s="117"/>
      <c r="G174" s="84"/>
      <c r="H174" s="101">
        <v>169</v>
      </c>
      <c r="I174" s="102" t="str">
        <f t="shared" si="10"/>
        <v/>
      </c>
      <c r="J174" s="101" t="e">
        <f t="shared" si="13"/>
        <v>#NUM!</v>
      </c>
      <c r="K174" s="101" t="e">
        <f t="shared" si="11"/>
        <v>#NUM!</v>
      </c>
      <c r="L174" s="101"/>
      <c r="M174" s="103">
        <f t="shared" si="12"/>
        <v>0</v>
      </c>
    </row>
    <row r="175" spans="1:13" x14ac:dyDescent="0.25">
      <c r="A175" s="117"/>
      <c r="G175" s="84"/>
      <c r="H175" s="101">
        <v>170</v>
      </c>
      <c r="I175" s="102" t="str">
        <f t="shared" si="10"/>
        <v/>
      </c>
      <c r="J175" s="101" t="e">
        <f t="shared" si="13"/>
        <v>#NUM!</v>
      </c>
      <c r="K175" s="101" t="e">
        <f t="shared" si="11"/>
        <v>#NUM!</v>
      </c>
      <c r="L175" s="101"/>
      <c r="M175" s="103">
        <f t="shared" si="12"/>
        <v>0</v>
      </c>
    </row>
    <row r="176" spans="1:13" x14ac:dyDescent="0.25">
      <c r="A176" s="117"/>
      <c r="G176" s="84"/>
      <c r="H176" s="101">
        <v>171</v>
      </c>
      <c r="I176" s="102" t="str">
        <f t="shared" si="10"/>
        <v/>
      </c>
      <c r="J176" s="101" t="e">
        <f t="shared" si="13"/>
        <v>#NUM!</v>
      </c>
      <c r="K176" s="101" t="e">
        <f t="shared" si="11"/>
        <v>#NUM!</v>
      </c>
      <c r="L176" s="101"/>
      <c r="M176" s="103">
        <f t="shared" si="12"/>
        <v>0</v>
      </c>
    </row>
    <row r="177" spans="1:13" x14ac:dyDescent="0.25">
      <c r="A177" s="117"/>
      <c r="G177" s="84"/>
      <c r="H177" s="101">
        <v>172</v>
      </c>
      <c r="I177" s="102" t="str">
        <f t="shared" si="10"/>
        <v/>
      </c>
      <c r="J177" s="101" t="e">
        <f t="shared" si="13"/>
        <v>#NUM!</v>
      </c>
      <c r="K177" s="101" t="e">
        <f t="shared" si="11"/>
        <v>#NUM!</v>
      </c>
      <c r="L177" s="101"/>
      <c r="M177" s="103">
        <f t="shared" si="12"/>
        <v>0</v>
      </c>
    </row>
    <row r="178" spans="1:13" x14ac:dyDescent="0.25">
      <c r="A178" s="117"/>
      <c r="G178" s="84"/>
      <c r="H178" s="101">
        <v>173</v>
      </c>
      <c r="I178" s="102" t="str">
        <f t="shared" si="10"/>
        <v/>
      </c>
      <c r="J178" s="101" t="e">
        <f t="shared" si="13"/>
        <v>#NUM!</v>
      </c>
      <c r="K178" s="101" t="e">
        <f t="shared" si="11"/>
        <v>#NUM!</v>
      </c>
      <c r="L178" s="101"/>
      <c r="M178" s="103">
        <f t="shared" si="12"/>
        <v>0</v>
      </c>
    </row>
    <row r="179" spans="1:13" x14ac:dyDescent="0.25">
      <c r="A179" s="117"/>
      <c r="G179" s="84"/>
      <c r="H179" s="101">
        <v>174</v>
      </c>
      <c r="I179" s="102" t="str">
        <f t="shared" si="10"/>
        <v/>
      </c>
      <c r="J179" s="101" t="e">
        <f t="shared" si="13"/>
        <v>#NUM!</v>
      </c>
      <c r="K179" s="101" t="e">
        <f t="shared" si="11"/>
        <v>#NUM!</v>
      </c>
      <c r="L179" s="101"/>
      <c r="M179" s="103">
        <f t="shared" si="12"/>
        <v>0</v>
      </c>
    </row>
    <row r="180" spans="1:13" x14ac:dyDescent="0.25">
      <c r="A180" s="117"/>
      <c r="G180" s="84"/>
      <c r="H180" s="101">
        <v>175</v>
      </c>
      <c r="I180" s="102" t="str">
        <f t="shared" si="10"/>
        <v/>
      </c>
      <c r="J180" s="101" t="e">
        <f t="shared" si="13"/>
        <v>#NUM!</v>
      </c>
      <c r="K180" s="101" t="e">
        <f t="shared" si="11"/>
        <v>#NUM!</v>
      </c>
      <c r="L180" s="101"/>
      <c r="M180" s="103">
        <f t="shared" si="12"/>
        <v>0</v>
      </c>
    </row>
    <row r="181" spans="1:13" x14ac:dyDescent="0.25">
      <c r="A181" s="117"/>
      <c r="G181" s="84"/>
      <c r="H181" s="101">
        <v>176</v>
      </c>
      <c r="I181" s="102" t="str">
        <f t="shared" si="10"/>
        <v/>
      </c>
      <c r="J181" s="101" t="e">
        <f t="shared" si="13"/>
        <v>#NUM!</v>
      </c>
      <c r="K181" s="101" t="e">
        <f t="shared" si="11"/>
        <v>#NUM!</v>
      </c>
      <c r="L181" s="101"/>
      <c r="M181" s="103">
        <f t="shared" si="12"/>
        <v>0</v>
      </c>
    </row>
    <row r="182" spans="1:13" x14ac:dyDescent="0.25">
      <c r="A182" s="117"/>
      <c r="G182" s="84"/>
      <c r="H182" s="101">
        <v>177</v>
      </c>
      <c r="I182" s="102" t="str">
        <f t="shared" si="10"/>
        <v/>
      </c>
      <c r="J182" s="101" t="e">
        <f t="shared" si="13"/>
        <v>#NUM!</v>
      </c>
      <c r="K182" s="101" t="e">
        <f t="shared" si="11"/>
        <v>#NUM!</v>
      </c>
      <c r="L182" s="101"/>
      <c r="M182" s="103">
        <f t="shared" si="12"/>
        <v>0</v>
      </c>
    </row>
    <row r="183" spans="1:13" x14ac:dyDescent="0.25">
      <c r="A183" s="117"/>
      <c r="G183" s="84"/>
      <c r="H183" s="101">
        <v>178</v>
      </c>
      <c r="I183" s="102" t="str">
        <f t="shared" si="10"/>
        <v/>
      </c>
      <c r="J183" s="101" t="e">
        <f t="shared" si="13"/>
        <v>#NUM!</v>
      </c>
      <c r="K183" s="101" t="e">
        <f t="shared" si="11"/>
        <v>#NUM!</v>
      </c>
      <c r="L183" s="101"/>
      <c r="M183" s="103">
        <f t="shared" si="12"/>
        <v>0</v>
      </c>
    </row>
    <row r="184" spans="1:13" x14ac:dyDescent="0.25">
      <c r="A184" s="117"/>
      <c r="G184" s="84"/>
      <c r="H184" s="101">
        <v>179</v>
      </c>
      <c r="I184" s="102" t="str">
        <f t="shared" si="10"/>
        <v/>
      </c>
      <c r="J184" s="101" t="e">
        <f t="shared" si="13"/>
        <v>#NUM!</v>
      </c>
      <c r="K184" s="101" t="e">
        <f t="shared" si="11"/>
        <v>#NUM!</v>
      </c>
      <c r="L184" s="101"/>
      <c r="M184" s="103">
        <f t="shared" si="12"/>
        <v>0</v>
      </c>
    </row>
    <row r="185" spans="1:13" x14ac:dyDescent="0.25">
      <c r="A185" s="117"/>
      <c r="G185" s="84"/>
      <c r="H185" s="101">
        <v>180</v>
      </c>
      <c r="I185" s="102" t="str">
        <f t="shared" si="10"/>
        <v/>
      </c>
      <c r="J185" s="101" t="e">
        <f t="shared" si="13"/>
        <v>#NUM!</v>
      </c>
      <c r="K185" s="101" t="e">
        <f t="shared" si="11"/>
        <v>#NUM!</v>
      </c>
      <c r="L185" s="101"/>
      <c r="M185" s="103">
        <f t="shared" si="12"/>
        <v>0</v>
      </c>
    </row>
    <row r="186" spans="1:13" x14ac:dyDescent="0.25">
      <c r="A186" s="117"/>
      <c r="G186" s="84"/>
      <c r="H186" s="101">
        <v>181</v>
      </c>
      <c r="I186" s="102" t="str">
        <f t="shared" si="10"/>
        <v/>
      </c>
      <c r="J186" s="101" t="e">
        <f t="shared" si="13"/>
        <v>#NUM!</v>
      </c>
      <c r="K186" s="101" t="e">
        <f t="shared" si="11"/>
        <v>#NUM!</v>
      </c>
      <c r="L186" s="101"/>
      <c r="M186" s="103">
        <f t="shared" si="12"/>
        <v>0</v>
      </c>
    </row>
    <row r="187" spans="1:13" x14ac:dyDescent="0.25">
      <c r="A187" s="117"/>
      <c r="G187" s="84"/>
      <c r="H187" s="101">
        <v>182</v>
      </c>
      <c r="I187" s="102" t="str">
        <f t="shared" si="10"/>
        <v/>
      </c>
      <c r="J187" s="101" t="e">
        <f t="shared" si="13"/>
        <v>#NUM!</v>
      </c>
      <c r="K187" s="101" t="e">
        <f t="shared" si="11"/>
        <v>#NUM!</v>
      </c>
      <c r="L187" s="101"/>
      <c r="M187" s="103">
        <f t="shared" si="12"/>
        <v>0</v>
      </c>
    </row>
    <row r="188" spans="1:13" x14ac:dyDescent="0.25">
      <c r="A188" s="117"/>
      <c r="G188" s="84"/>
      <c r="H188" s="101">
        <v>183</v>
      </c>
      <c r="I188" s="102" t="str">
        <f t="shared" si="10"/>
        <v/>
      </c>
      <c r="J188" s="101" t="e">
        <f t="shared" si="13"/>
        <v>#NUM!</v>
      </c>
      <c r="K188" s="101" t="e">
        <f t="shared" si="11"/>
        <v>#NUM!</v>
      </c>
      <c r="L188" s="101"/>
      <c r="M188" s="103">
        <f t="shared" si="12"/>
        <v>0</v>
      </c>
    </row>
    <row r="189" spans="1:13" x14ac:dyDescent="0.25">
      <c r="A189" s="117"/>
      <c r="G189" s="84"/>
      <c r="H189" s="101">
        <v>184</v>
      </c>
      <c r="I189" s="102" t="str">
        <f t="shared" si="10"/>
        <v/>
      </c>
      <c r="J189" s="101" t="e">
        <f t="shared" si="13"/>
        <v>#NUM!</v>
      </c>
      <c r="K189" s="101" t="e">
        <f t="shared" si="11"/>
        <v>#NUM!</v>
      </c>
      <c r="L189" s="101"/>
      <c r="M189" s="103">
        <f t="shared" si="12"/>
        <v>0</v>
      </c>
    </row>
    <row r="190" spans="1:13" x14ac:dyDescent="0.25">
      <c r="A190" s="117"/>
      <c r="G190" s="84"/>
      <c r="H190" s="101">
        <v>185</v>
      </c>
      <c r="I190" s="102" t="str">
        <f t="shared" si="10"/>
        <v/>
      </c>
      <c r="J190" s="101" t="e">
        <f t="shared" si="13"/>
        <v>#NUM!</v>
      </c>
      <c r="K190" s="101" t="e">
        <f t="shared" si="11"/>
        <v>#NUM!</v>
      </c>
      <c r="L190" s="101"/>
      <c r="M190" s="103">
        <f t="shared" si="12"/>
        <v>0</v>
      </c>
    </row>
    <row r="191" spans="1:13" x14ac:dyDescent="0.25">
      <c r="A191" s="117"/>
      <c r="G191" s="84"/>
      <c r="H191" s="101">
        <v>186</v>
      </c>
      <c r="I191" s="102" t="str">
        <f t="shared" si="10"/>
        <v/>
      </c>
      <c r="J191" s="101" t="e">
        <f t="shared" si="13"/>
        <v>#NUM!</v>
      </c>
      <c r="K191" s="101" t="e">
        <f t="shared" si="11"/>
        <v>#NUM!</v>
      </c>
      <c r="L191" s="101"/>
      <c r="M191" s="103">
        <f t="shared" si="12"/>
        <v>0</v>
      </c>
    </row>
    <row r="192" spans="1:13" x14ac:dyDescent="0.25">
      <c r="A192" s="117"/>
      <c r="G192" s="84"/>
      <c r="H192" s="101">
        <v>187</v>
      </c>
      <c r="I192" s="102" t="str">
        <f t="shared" si="10"/>
        <v/>
      </c>
      <c r="J192" s="101" t="e">
        <f t="shared" si="13"/>
        <v>#NUM!</v>
      </c>
      <c r="K192" s="101" t="e">
        <f t="shared" si="11"/>
        <v>#NUM!</v>
      </c>
      <c r="L192" s="101"/>
      <c r="M192" s="103">
        <f t="shared" si="12"/>
        <v>0</v>
      </c>
    </row>
    <row r="193" spans="1:13" x14ac:dyDescent="0.25">
      <c r="A193" s="117"/>
      <c r="G193" s="84"/>
      <c r="H193" s="101">
        <v>188</v>
      </c>
      <c r="I193" s="102" t="str">
        <f t="shared" si="10"/>
        <v/>
      </c>
      <c r="J193" s="101" t="e">
        <f t="shared" si="13"/>
        <v>#NUM!</v>
      </c>
      <c r="K193" s="101" t="e">
        <f t="shared" si="11"/>
        <v>#NUM!</v>
      </c>
      <c r="L193" s="101"/>
      <c r="M193" s="103">
        <f t="shared" si="12"/>
        <v>0</v>
      </c>
    </row>
    <row r="194" spans="1:13" x14ac:dyDescent="0.25">
      <c r="A194" s="117"/>
      <c r="G194" s="84"/>
      <c r="H194" s="101">
        <v>189</v>
      </c>
      <c r="I194" s="102" t="str">
        <f t="shared" si="10"/>
        <v/>
      </c>
      <c r="J194" s="101" t="e">
        <f t="shared" si="13"/>
        <v>#NUM!</v>
      </c>
      <c r="K194" s="101" t="e">
        <f t="shared" si="11"/>
        <v>#NUM!</v>
      </c>
      <c r="L194" s="101"/>
      <c r="M194" s="103">
        <f t="shared" si="12"/>
        <v>0</v>
      </c>
    </row>
    <row r="195" spans="1:13" x14ac:dyDescent="0.25">
      <c r="A195" s="117"/>
      <c r="G195" s="84"/>
      <c r="H195" s="101">
        <v>190</v>
      </c>
      <c r="I195" s="102" t="str">
        <f t="shared" si="10"/>
        <v/>
      </c>
      <c r="J195" s="101" t="e">
        <f t="shared" si="13"/>
        <v>#NUM!</v>
      </c>
      <c r="K195" s="101" t="e">
        <f t="shared" si="11"/>
        <v>#NUM!</v>
      </c>
      <c r="L195" s="101"/>
      <c r="M195" s="103">
        <f t="shared" si="12"/>
        <v>0</v>
      </c>
    </row>
    <row r="196" spans="1:13" x14ac:dyDescent="0.25">
      <c r="A196" s="117"/>
      <c r="G196" s="84"/>
      <c r="H196" s="101">
        <v>191</v>
      </c>
      <c r="I196" s="102" t="str">
        <f t="shared" si="10"/>
        <v/>
      </c>
      <c r="J196" s="101" t="e">
        <f t="shared" si="13"/>
        <v>#NUM!</v>
      </c>
      <c r="K196" s="101" t="e">
        <f t="shared" si="11"/>
        <v>#NUM!</v>
      </c>
      <c r="L196" s="101"/>
      <c r="M196" s="103">
        <f t="shared" si="12"/>
        <v>0</v>
      </c>
    </row>
    <row r="197" spans="1:13" x14ac:dyDescent="0.25">
      <c r="A197" s="117"/>
      <c r="G197" s="84"/>
      <c r="H197" s="101">
        <v>192</v>
      </c>
      <c r="I197" s="102" t="str">
        <f t="shared" si="10"/>
        <v/>
      </c>
      <c r="J197" s="101" t="e">
        <f t="shared" si="13"/>
        <v>#NUM!</v>
      </c>
      <c r="K197" s="101" t="e">
        <f t="shared" si="11"/>
        <v>#NUM!</v>
      </c>
      <c r="L197" s="101"/>
      <c r="M197" s="103">
        <f t="shared" si="12"/>
        <v>0</v>
      </c>
    </row>
    <row r="198" spans="1:13" x14ac:dyDescent="0.25">
      <c r="A198" s="117"/>
      <c r="G198" s="84"/>
      <c r="H198" s="101">
        <v>193</v>
      </c>
      <c r="I198" s="102" t="str">
        <f t="shared" ref="I198:I261" si="14">IF(H198&lt;$H$2+1,($I$2-($I$2-1)*(LOG(H198)/LOG($H$2))),"")</f>
        <v/>
      </c>
      <c r="J198" s="101" t="e">
        <f t="shared" si="13"/>
        <v>#NUM!</v>
      </c>
      <c r="K198" s="101" t="e">
        <f t="shared" ref="K198:K261" si="15">J198*$J$2</f>
        <v>#NUM!</v>
      </c>
      <c r="L198" s="101"/>
      <c r="M198" s="103">
        <f t="shared" ref="M198:M261" si="16">IF(I198&lt;&gt;"",K198+I198+L198,0)</f>
        <v>0</v>
      </c>
    </row>
    <row r="199" spans="1:13" x14ac:dyDescent="0.25">
      <c r="A199" s="117"/>
      <c r="G199" s="84"/>
      <c r="H199" s="101">
        <v>194</v>
      </c>
      <c r="I199" s="102" t="str">
        <f t="shared" si="14"/>
        <v/>
      </c>
      <c r="J199" s="101" t="e">
        <f t="shared" ref="J199:J262" si="17">INT(LOG($H$2,2))-ROUNDUP(LOG(H199,2),0)+IF(OR($H$2=1,$H$2=2,$H$2=4,$H$2=8,$H$2=16,$H$2=32,$H$2=64,$H$2=128,$H$2=256),0,1)</f>
        <v>#NUM!</v>
      </c>
      <c r="K199" s="101" t="e">
        <f t="shared" si="15"/>
        <v>#NUM!</v>
      </c>
      <c r="L199" s="101"/>
      <c r="M199" s="103">
        <f t="shared" si="16"/>
        <v>0</v>
      </c>
    </row>
    <row r="200" spans="1:13" x14ac:dyDescent="0.25">
      <c r="A200" s="117"/>
      <c r="G200" s="84"/>
      <c r="H200" s="101">
        <v>195</v>
      </c>
      <c r="I200" s="102" t="str">
        <f t="shared" si="14"/>
        <v/>
      </c>
      <c r="J200" s="101" t="e">
        <f t="shared" si="17"/>
        <v>#NUM!</v>
      </c>
      <c r="K200" s="101" t="e">
        <f t="shared" si="15"/>
        <v>#NUM!</v>
      </c>
      <c r="L200" s="101"/>
      <c r="M200" s="103">
        <f t="shared" si="16"/>
        <v>0</v>
      </c>
    </row>
    <row r="201" spans="1:13" x14ac:dyDescent="0.25">
      <c r="A201" s="117"/>
      <c r="G201" s="84"/>
      <c r="H201" s="101">
        <v>196</v>
      </c>
      <c r="I201" s="102" t="str">
        <f t="shared" si="14"/>
        <v/>
      </c>
      <c r="J201" s="101" t="e">
        <f t="shared" si="17"/>
        <v>#NUM!</v>
      </c>
      <c r="K201" s="101" t="e">
        <f t="shared" si="15"/>
        <v>#NUM!</v>
      </c>
      <c r="L201" s="101"/>
      <c r="M201" s="103">
        <f t="shared" si="16"/>
        <v>0</v>
      </c>
    </row>
    <row r="202" spans="1:13" x14ac:dyDescent="0.25">
      <c r="A202" s="117"/>
      <c r="G202" s="84"/>
      <c r="H202" s="101">
        <v>197</v>
      </c>
      <c r="I202" s="102" t="str">
        <f t="shared" si="14"/>
        <v/>
      </c>
      <c r="J202" s="101" t="e">
        <f t="shared" si="17"/>
        <v>#NUM!</v>
      </c>
      <c r="K202" s="101" t="e">
        <f t="shared" si="15"/>
        <v>#NUM!</v>
      </c>
      <c r="L202" s="101"/>
      <c r="M202" s="103">
        <f t="shared" si="16"/>
        <v>0</v>
      </c>
    </row>
    <row r="203" spans="1:13" x14ac:dyDescent="0.25">
      <c r="A203" s="117"/>
      <c r="G203" s="84"/>
      <c r="H203" s="101">
        <v>198</v>
      </c>
      <c r="I203" s="102" t="str">
        <f t="shared" si="14"/>
        <v/>
      </c>
      <c r="J203" s="101" t="e">
        <f t="shared" si="17"/>
        <v>#NUM!</v>
      </c>
      <c r="K203" s="101" t="e">
        <f t="shared" si="15"/>
        <v>#NUM!</v>
      </c>
      <c r="L203" s="101"/>
      <c r="M203" s="103">
        <f t="shared" si="16"/>
        <v>0</v>
      </c>
    </row>
    <row r="204" spans="1:13" x14ac:dyDescent="0.25">
      <c r="A204" s="117"/>
      <c r="G204" s="84"/>
      <c r="H204" s="101">
        <v>199</v>
      </c>
      <c r="I204" s="102" t="str">
        <f t="shared" si="14"/>
        <v/>
      </c>
      <c r="J204" s="101" t="e">
        <f t="shared" si="17"/>
        <v>#NUM!</v>
      </c>
      <c r="K204" s="101" t="e">
        <f t="shared" si="15"/>
        <v>#NUM!</v>
      </c>
      <c r="L204" s="101"/>
      <c r="M204" s="103">
        <f t="shared" si="16"/>
        <v>0</v>
      </c>
    </row>
    <row r="205" spans="1:13" x14ac:dyDescent="0.25">
      <c r="A205" s="117"/>
      <c r="G205" s="84"/>
      <c r="H205" s="101">
        <v>200</v>
      </c>
      <c r="I205" s="102" t="str">
        <f t="shared" si="14"/>
        <v/>
      </c>
      <c r="J205" s="101" t="e">
        <f t="shared" si="17"/>
        <v>#NUM!</v>
      </c>
      <c r="K205" s="101" t="e">
        <f t="shared" si="15"/>
        <v>#NUM!</v>
      </c>
      <c r="L205" s="101"/>
      <c r="M205" s="103">
        <f t="shared" si="16"/>
        <v>0</v>
      </c>
    </row>
    <row r="206" spans="1:13" x14ac:dyDescent="0.25">
      <c r="A206" s="117"/>
      <c r="G206" s="84"/>
      <c r="H206" s="101">
        <v>201</v>
      </c>
      <c r="I206" s="102" t="str">
        <f t="shared" si="14"/>
        <v/>
      </c>
      <c r="J206" s="101" t="e">
        <f t="shared" si="17"/>
        <v>#NUM!</v>
      </c>
      <c r="K206" s="101" t="e">
        <f t="shared" si="15"/>
        <v>#NUM!</v>
      </c>
      <c r="L206" s="101"/>
      <c r="M206" s="103">
        <f t="shared" si="16"/>
        <v>0</v>
      </c>
    </row>
    <row r="207" spans="1:13" x14ac:dyDescent="0.25">
      <c r="A207" s="117"/>
      <c r="G207" s="84"/>
      <c r="H207" s="101">
        <v>202</v>
      </c>
      <c r="I207" s="102" t="str">
        <f t="shared" si="14"/>
        <v/>
      </c>
      <c r="J207" s="101" t="e">
        <f t="shared" si="17"/>
        <v>#NUM!</v>
      </c>
      <c r="K207" s="101" t="e">
        <f t="shared" si="15"/>
        <v>#NUM!</v>
      </c>
      <c r="L207" s="101"/>
      <c r="M207" s="103">
        <f t="shared" si="16"/>
        <v>0</v>
      </c>
    </row>
    <row r="208" spans="1:13" x14ac:dyDescent="0.25">
      <c r="A208" s="117"/>
      <c r="G208" s="84"/>
      <c r="H208" s="101">
        <v>203</v>
      </c>
      <c r="I208" s="102" t="str">
        <f t="shared" si="14"/>
        <v/>
      </c>
      <c r="J208" s="101" t="e">
        <f t="shared" si="17"/>
        <v>#NUM!</v>
      </c>
      <c r="K208" s="101" t="e">
        <f t="shared" si="15"/>
        <v>#NUM!</v>
      </c>
      <c r="L208" s="101"/>
      <c r="M208" s="103">
        <f t="shared" si="16"/>
        <v>0</v>
      </c>
    </row>
    <row r="209" spans="1:13" x14ac:dyDescent="0.25">
      <c r="A209" s="117"/>
      <c r="G209" s="84"/>
      <c r="H209" s="101">
        <v>204</v>
      </c>
      <c r="I209" s="102" t="str">
        <f t="shared" si="14"/>
        <v/>
      </c>
      <c r="J209" s="101" t="e">
        <f t="shared" si="17"/>
        <v>#NUM!</v>
      </c>
      <c r="K209" s="101" t="e">
        <f t="shared" si="15"/>
        <v>#NUM!</v>
      </c>
      <c r="L209" s="101"/>
      <c r="M209" s="103">
        <f t="shared" si="16"/>
        <v>0</v>
      </c>
    </row>
    <row r="210" spans="1:13" x14ac:dyDescent="0.25">
      <c r="A210" s="117"/>
      <c r="G210" s="84"/>
      <c r="H210" s="101">
        <v>205</v>
      </c>
      <c r="I210" s="102" t="str">
        <f t="shared" si="14"/>
        <v/>
      </c>
      <c r="J210" s="101" t="e">
        <f t="shared" si="17"/>
        <v>#NUM!</v>
      </c>
      <c r="K210" s="101" t="e">
        <f t="shared" si="15"/>
        <v>#NUM!</v>
      </c>
      <c r="L210" s="101"/>
      <c r="M210" s="103">
        <f t="shared" si="16"/>
        <v>0</v>
      </c>
    </row>
    <row r="211" spans="1:13" x14ac:dyDescent="0.25">
      <c r="A211" s="117"/>
      <c r="G211" s="84"/>
      <c r="H211" s="101">
        <v>206</v>
      </c>
      <c r="I211" s="102" t="str">
        <f t="shared" si="14"/>
        <v/>
      </c>
      <c r="J211" s="101" t="e">
        <f t="shared" si="17"/>
        <v>#NUM!</v>
      </c>
      <c r="K211" s="101" t="e">
        <f t="shared" si="15"/>
        <v>#NUM!</v>
      </c>
      <c r="L211" s="101"/>
      <c r="M211" s="103">
        <f t="shared" si="16"/>
        <v>0</v>
      </c>
    </row>
    <row r="212" spans="1:13" x14ac:dyDescent="0.25">
      <c r="A212" s="117"/>
      <c r="G212" s="84"/>
      <c r="H212" s="101">
        <v>207</v>
      </c>
      <c r="I212" s="102" t="str">
        <f t="shared" si="14"/>
        <v/>
      </c>
      <c r="J212" s="101" t="e">
        <f t="shared" si="17"/>
        <v>#NUM!</v>
      </c>
      <c r="K212" s="101" t="e">
        <f t="shared" si="15"/>
        <v>#NUM!</v>
      </c>
      <c r="L212" s="101"/>
      <c r="M212" s="103">
        <f t="shared" si="16"/>
        <v>0</v>
      </c>
    </row>
    <row r="213" spans="1:13" x14ac:dyDescent="0.25">
      <c r="A213" s="117"/>
      <c r="G213" s="84"/>
      <c r="H213" s="101">
        <v>208</v>
      </c>
      <c r="I213" s="102" t="str">
        <f t="shared" si="14"/>
        <v/>
      </c>
      <c r="J213" s="101" t="e">
        <f t="shared" si="17"/>
        <v>#NUM!</v>
      </c>
      <c r="K213" s="101" t="e">
        <f t="shared" si="15"/>
        <v>#NUM!</v>
      </c>
      <c r="L213" s="101"/>
      <c r="M213" s="103">
        <f t="shared" si="16"/>
        <v>0</v>
      </c>
    </row>
    <row r="214" spans="1:13" x14ac:dyDescent="0.25">
      <c r="A214" s="117"/>
      <c r="G214" s="84"/>
      <c r="H214" s="101">
        <v>209</v>
      </c>
      <c r="I214" s="102" t="str">
        <f t="shared" si="14"/>
        <v/>
      </c>
      <c r="J214" s="101" t="e">
        <f t="shared" si="17"/>
        <v>#NUM!</v>
      </c>
      <c r="K214" s="101" t="e">
        <f t="shared" si="15"/>
        <v>#NUM!</v>
      </c>
      <c r="L214" s="101"/>
      <c r="M214" s="103">
        <f t="shared" si="16"/>
        <v>0</v>
      </c>
    </row>
    <row r="215" spans="1:13" x14ac:dyDescent="0.25">
      <c r="A215" s="117"/>
      <c r="G215" s="84"/>
      <c r="H215" s="101">
        <v>210</v>
      </c>
      <c r="I215" s="102" t="str">
        <f t="shared" si="14"/>
        <v/>
      </c>
      <c r="J215" s="101" t="e">
        <f t="shared" si="17"/>
        <v>#NUM!</v>
      </c>
      <c r="K215" s="101" t="e">
        <f t="shared" si="15"/>
        <v>#NUM!</v>
      </c>
      <c r="L215" s="101"/>
      <c r="M215" s="103">
        <f t="shared" si="16"/>
        <v>0</v>
      </c>
    </row>
    <row r="216" spans="1:13" x14ac:dyDescent="0.25">
      <c r="A216" s="117"/>
      <c r="G216" s="84"/>
      <c r="H216" s="101">
        <v>211</v>
      </c>
      <c r="I216" s="102" t="str">
        <f t="shared" si="14"/>
        <v/>
      </c>
      <c r="J216" s="101" t="e">
        <f t="shared" si="17"/>
        <v>#NUM!</v>
      </c>
      <c r="K216" s="101" t="e">
        <f t="shared" si="15"/>
        <v>#NUM!</v>
      </c>
      <c r="L216" s="101"/>
      <c r="M216" s="103">
        <f t="shared" si="16"/>
        <v>0</v>
      </c>
    </row>
    <row r="217" spans="1:13" x14ac:dyDescent="0.25">
      <c r="A217" s="117"/>
      <c r="G217" s="84"/>
      <c r="H217" s="101">
        <v>212</v>
      </c>
      <c r="I217" s="102" t="str">
        <f t="shared" si="14"/>
        <v/>
      </c>
      <c r="J217" s="101" t="e">
        <f t="shared" si="17"/>
        <v>#NUM!</v>
      </c>
      <c r="K217" s="101" t="e">
        <f t="shared" si="15"/>
        <v>#NUM!</v>
      </c>
      <c r="L217" s="101"/>
      <c r="M217" s="103">
        <f t="shared" si="16"/>
        <v>0</v>
      </c>
    </row>
    <row r="218" spans="1:13" x14ac:dyDescent="0.25">
      <c r="A218" s="117"/>
      <c r="G218" s="84"/>
      <c r="H218" s="101">
        <v>213</v>
      </c>
      <c r="I218" s="102" t="str">
        <f t="shared" si="14"/>
        <v/>
      </c>
      <c r="J218" s="101" t="e">
        <f t="shared" si="17"/>
        <v>#NUM!</v>
      </c>
      <c r="K218" s="101" t="e">
        <f t="shared" si="15"/>
        <v>#NUM!</v>
      </c>
      <c r="L218" s="101"/>
      <c r="M218" s="103">
        <f t="shared" si="16"/>
        <v>0</v>
      </c>
    </row>
    <row r="219" spans="1:13" x14ac:dyDescent="0.25">
      <c r="A219" s="117"/>
      <c r="G219" s="84"/>
      <c r="H219" s="101">
        <v>214</v>
      </c>
      <c r="I219" s="102" t="str">
        <f t="shared" si="14"/>
        <v/>
      </c>
      <c r="J219" s="101" t="e">
        <f t="shared" si="17"/>
        <v>#NUM!</v>
      </c>
      <c r="K219" s="101" t="e">
        <f t="shared" si="15"/>
        <v>#NUM!</v>
      </c>
      <c r="L219" s="101"/>
      <c r="M219" s="103">
        <f t="shared" si="16"/>
        <v>0</v>
      </c>
    </row>
    <row r="220" spans="1:13" x14ac:dyDescent="0.25">
      <c r="A220" s="117"/>
      <c r="G220" s="84"/>
      <c r="H220" s="101">
        <v>215</v>
      </c>
      <c r="I220" s="102" t="str">
        <f t="shared" si="14"/>
        <v/>
      </c>
      <c r="J220" s="101" t="e">
        <f t="shared" si="17"/>
        <v>#NUM!</v>
      </c>
      <c r="K220" s="101" t="e">
        <f t="shared" si="15"/>
        <v>#NUM!</v>
      </c>
      <c r="L220" s="101"/>
      <c r="M220" s="103">
        <f t="shared" si="16"/>
        <v>0</v>
      </c>
    </row>
    <row r="221" spans="1:13" x14ac:dyDescent="0.25">
      <c r="A221" s="117"/>
      <c r="G221" s="84"/>
      <c r="H221" s="101">
        <v>216</v>
      </c>
      <c r="I221" s="102" t="str">
        <f t="shared" si="14"/>
        <v/>
      </c>
      <c r="J221" s="101" t="e">
        <f t="shared" si="17"/>
        <v>#NUM!</v>
      </c>
      <c r="K221" s="101" t="e">
        <f t="shared" si="15"/>
        <v>#NUM!</v>
      </c>
      <c r="L221" s="101"/>
      <c r="M221" s="103">
        <f t="shared" si="16"/>
        <v>0</v>
      </c>
    </row>
    <row r="222" spans="1:13" x14ac:dyDescent="0.25">
      <c r="A222" s="117"/>
      <c r="G222" s="84"/>
      <c r="H222" s="101">
        <v>217</v>
      </c>
      <c r="I222" s="102" t="str">
        <f t="shared" si="14"/>
        <v/>
      </c>
      <c r="J222" s="101" t="e">
        <f t="shared" si="17"/>
        <v>#NUM!</v>
      </c>
      <c r="K222" s="101" t="e">
        <f t="shared" si="15"/>
        <v>#NUM!</v>
      </c>
      <c r="L222" s="101"/>
      <c r="M222" s="103">
        <f t="shared" si="16"/>
        <v>0</v>
      </c>
    </row>
    <row r="223" spans="1:13" x14ac:dyDescent="0.25">
      <c r="A223" s="117"/>
      <c r="G223" s="84"/>
      <c r="H223" s="101">
        <v>218</v>
      </c>
      <c r="I223" s="102" t="str">
        <f t="shared" si="14"/>
        <v/>
      </c>
      <c r="J223" s="101" t="e">
        <f t="shared" si="17"/>
        <v>#NUM!</v>
      </c>
      <c r="K223" s="101" t="e">
        <f t="shared" si="15"/>
        <v>#NUM!</v>
      </c>
      <c r="L223" s="101"/>
      <c r="M223" s="103">
        <f t="shared" si="16"/>
        <v>0</v>
      </c>
    </row>
    <row r="224" spans="1:13" x14ac:dyDescent="0.25">
      <c r="A224" s="117"/>
      <c r="G224" s="84"/>
      <c r="H224" s="101">
        <v>219</v>
      </c>
      <c r="I224" s="102" t="str">
        <f t="shared" si="14"/>
        <v/>
      </c>
      <c r="J224" s="101" t="e">
        <f t="shared" si="17"/>
        <v>#NUM!</v>
      </c>
      <c r="K224" s="101" t="e">
        <f t="shared" si="15"/>
        <v>#NUM!</v>
      </c>
      <c r="L224" s="101"/>
      <c r="M224" s="103">
        <f t="shared" si="16"/>
        <v>0</v>
      </c>
    </row>
    <row r="225" spans="1:13" x14ac:dyDescent="0.25">
      <c r="A225" s="117"/>
      <c r="G225" s="84"/>
      <c r="H225" s="101">
        <v>220</v>
      </c>
      <c r="I225" s="102" t="str">
        <f t="shared" si="14"/>
        <v/>
      </c>
      <c r="J225" s="101" t="e">
        <f t="shared" si="17"/>
        <v>#NUM!</v>
      </c>
      <c r="K225" s="101" t="e">
        <f t="shared" si="15"/>
        <v>#NUM!</v>
      </c>
      <c r="L225" s="101"/>
      <c r="M225" s="103">
        <f t="shared" si="16"/>
        <v>0</v>
      </c>
    </row>
    <row r="226" spans="1:13" x14ac:dyDescent="0.25">
      <c r="A226" s="117"/>
      <c r="G226" s="84"/>
      <c r="H226" s="101">
        <v>221</v>
      </c>
      <c r="I226" s="102" t="str">
        <f t="shared" si="14"/>
        <v/>
      </c>
      <c r="J226" s="101" t="e">
        <f t="shared" si="17"/>
        <v>#NUM!</v>
      </c>
      <c r="K226" s="101" t="e">
        <f t="shared" si="15"/>
        <v>#NUM!</v>
      </c>
      <c r="L226" s="101"/>
      <c r="M226" s="103">
        <f t="shared" si="16"/>
        <v>0</v>
      </c>
    </row>
    <row r="227" spans="1:13" x14ac:dyDescent="0.25">
      <c r="A227" s="117"/>
      <c r="G227" s="84"/>
      <c r="H227" s="101">
        <v>222</v>
      </c>
      <c r="I227" s="102" t="str">
        <f t="shared" si="14"/>
        <v/>
      </c>
      <c r="J227" s="101" t="e">
        <f t="shared" si="17"/>
        <v>#NUM!</v>
      </c>
      <c r="K227" s="101" t="e">
        <f t="shared" si="15"/>
        <v>#NUM!</v>
      </c>
      <c r="L227" s="101"/>
      <c r="M227" s="103">
        <f t="shared" si="16"/>
        <v>0</v>
      </c>
    </row>
    <row r="228" spans="1:13" x14ac:dyDescent="0.25">
      <c r="A228" s="117"/>
      <c r="G228" s="84"/>
      <c r="H228" s="101">
        <v>223</v>
      </c>
      <c r="I228" s="102" t="str">
        <f t="shared" si="14"/>
        <v/>
      </c>
      <c r="J228" s="101" t="e">
        <f t="shared" si="17"/>
        <v>#NUM!</v>
      </c>
      <c r="K228" s="101" t="e">
        <f t="shared" si="15"/>
        <v>#NUM!</v>
      </c>
      <c r="L228" s="101"/>
      <c r="M228" s="103">
        <f t="shared" si="16"/>
        <v>0</v>
      </c>
    </row>
    <row r="229" spans="1:13" x14ac:dyDescent="0.25">
      <c r="A229" s="117"/>
      <c r="G229" s="84"/>
      <c r="H229" s="101">
        <v>224</v>
      </c>
      <c r="I229" s="102" t="str">
        <f t="shared" si="14"/>
        <v/>
      </c>
      <c r="J229" s="101" t="e">
        <f t="shared" si="17"/>
        <v>#NUM!</v>
      </c>
      <c r="K229" s="101" t="e">
        <f t="shared" si="15"/>
        <v>#NUM!</v>
      </c>
      <c r="L229" s="101"/>
      <c r="M229" s="103">
        <f t="shared" si="16"/>
        <v>0</v>
      </c>
    </row>
    <row r="230" spans="1:13" x14ac:dyDescent="0.25">
      <c r="A230" s="117"/>
      <c r="G230" s="84"/>
      <c r="H230" s="101">
        <v>225</v>
      </c>
      <c r="I230" s="102" t="str">
        <f t="shared" si="14"/>
        <v/>
      </c>
      <c r="J230" s="101" t="e">
        <f t="shared" si="17"/>
        <v>#NUM!</v>
      </c>
      <c r="K230" s="101" t="e">
        <f t="shared" si="15"/>
        <v>#NUM!</v>
      </c>
      <c r="L230" s="101"/>
      <c r="M230" s="103">
        <f t="shared" si="16"/>
        <v>0</v>
      </c>
    </row>
    <row r="231" spans="1:13" x14ac:dyDescent="0.25">
      <c r="A231" s="117"/>
      <c r="G231" s="84"/>
      <c r="H231" s="101">
        <v>226</v>
      </c>
      <c r="I231" s="102" t="str">
        <f t="shared" si="14"/>
        <v/>
      </c>
      <c r="J231" s="101" t="e">
        <f t="shared" si="17"/>
        <v>#NUM!</v>
      </c>
      <c r="K231" s="101" t="e">
        <f t="shared" si="15"/>
        <v>#NUM!</v>
      </c>
      <c r="L231" s="101"/>
      <c r="M231" s="103">
        <f t="shared" si="16"/>
        <v>0</v>
      </c>
    </row>
    <row r="232" spans="1:13" x14ac:dyDescent="0.25">
      <c r="A232" s="117"/>
      <c r="G232" s="84"/>
      <c r="H232" s="101">
        <v>227</v>
      </c>
      <c r="I232" s="102" t="str">
        <f t="shared" si="14"/>
        <v/>
      </c>
      <c r="J232" s="101" t="e">
        <f t="shared" si="17"/>
        <v>#NUM!</v>
      </c>
      <c r="K232" s="101" t="e">
        <f t="shared" si="15"/>
        <v>#NUM!</v>
      </c>
      <c r="L232" s="101"/>
      <c r="M232" s="103">
        <f t="shared" si="16"/>
        <v>0</v>
      </c>
    </row>
    <row r="233" spans="1:13" x14ac:dyDescent="0.25">
      <c r="A233" s="117"/>
      <c r="G233" s="84"/>
      <c r="H233" s="101">
        <v>228</v>
      </c>
      <c r="I233" s="102" t="str">
        <f t="shared" si="14"/>
        <v/>
      </c>
      <c r="J233" s="101" t="e">
        <f t="shared" si="17"/>
        <v>#NUM!</v>
      </c>
      <c r="K233" s="101" t="e">
        <f t="shared" si="15"/>
        <v>#NUM!</v>
      </c>
      <c r="L233" s="101"/>
      <c r="M233" s="103">
        <f t="shared" si="16"/>
        <v>0</v>
      </c>
    </row>
    <row r="234" spans="1:13" x14ac:dyDescent="0.25">
      <c r="A234" s="117"/>
      <c r="G234" s="84"/>
      <c r="H234" s="101">
        <v>229</v>
      </c>
      <c r="I234" s="102" t="str">
        <f t="shared" si="14"/>
        <v/>
      </c>
      <c r="J234" s="101" t="e">
        <f t="shared" si="17"/>
        <v>#NUM!</v>
      </c>
      <c r="K234" s="101" t="e">
        <f t="shared" si="15"/>
        <v>#NUM!</v>
      </c>
      <c r="L234" s="101"/>
      <c r="M234" s="103">
        <f t="shared" si="16"/>
        <v>0</v>
      </c>
    </row>
    <row r="235" spans="1:13" x14ac:dyDescent="0.25">
      <c r="A235" s="117"/>
      <c r="G235" s="84"/>
      <c r="H235" s="101">
        <v>230</v>
      </c>
      <c r="I235" s="102" t="str">
        <f t="shared" si="14"/>
        <v/>
      </c>
      <c r="J235" s="101" t="e">
        <f t="shared" si="17"/>
        <v>#NUM!</v>
      </c>
      <c r="K235" s="101" t="e">
        <f t="shared" si="15"/>
        <v>#NUM!</v>
      </c>
      <c r="L235" s="101"/>
      <c r="M235" s="103">
        <f t="shared" si="16"/>
        <v>0</v>
      </c>
    </row>
    <row r="236" spans="1:13" x14ac:dyDescent="0.25">
      <c r="A236" s="117"/>
      <c r="G236" s="84"/>
      <c r="H236" s="101">
        <v>231</v>
      </c>
      <c r="I236" s="102" t="str">
        <f t="shared" si="14"/>
        <v/>
      </c>
      <c r="J236" s="101" t="e">
        <f t="shared" si="17"/>
        <v>#NUM!</v>
      </c>
      <c r="K236" s="101" t="e">
        <f t="shared" si="15"/>
        <v>#NUM!</v>
      </c>
      <c r="L236" s="101"/>
      <c r="M236" s="103">
        <f t="shared" si="16"/>
        <v>0</v>
      </c>
    </row>
    <row r="237" spans="1:13" x14ac:dyDescent="0.25">
      <c r="A237" s="117"/>
      <c r="G237" s="84"/>
      <c r="H237" s="101">
        <v>232</v>
      </c>
      <c r="I237" s="102" t="str">
        <f t="shared" si="14"/>
        <v/>
      </c>
      <c r="J237" s="101" t="e">
        <f t="shared" si="17"/>
        <v>#NUM!</v>
      </c>
      <c r="K237" s="101" t="e">
        <f t="shared" si="15"/>
        <v>#NUM!</v>
      </c>
      <c r="L237" s="101"/>
      <c r="M237" s="103">
        <f t="shared" si="16"/>
        <v>0</v>
      </c>
    </row>
    <row r="238" spans="1:13" x14ac:dyDescent="0.25">
      <c r="A238" s="117"/>
      <c r="G238" s="84"/>
      <c r="H238" s="101">
        <v>233</v>
      </c>
      <c r="I238" s="102" t="str">
        <f t="shared" si="14"/>
        <v/>
      </c>
      <c r="J238" s="101" t="e">
        <f t="shared" si="17"/>
        <v>#NUM!</v>
      </c>
      <c r="K238" s="101" t="e">
        <f t="shared" si="15"/>
        <v>#NUM!</v>
      </c>
      <c r="L238" s="101"/>
      <c r="M238" s="103">
        <f t="shared" si="16"/>
        <v>0</v>
      </c>
    </row>
    <row r="239" spans="1:13" x14ac:dyDescent="0.25">
      <c r="A239" s="117"/>
      <c r="G239" s="84"/>
      <c r="H239" s="101">
        <v>234</v>
      </c>
      <c r="I239" s="102" t="str">
        <f t="shared" si="14"/>
        <v/>
      </c>
      <c r="J239" s="101" t="e">
        <f t="shared" si="17"/>
        <v>#NUM!</v>
      </c>
      <c r="K239" s="101" t="e">
        <f t="shared" si="15"/>
        <v>#NUM!</v>
      </c>
      <c r="L239" s="101"/>
      <c r="M239" s="103">
        <f t="shared" si="16"/>
        <v>0</v>
      </c>
    </row>
    <row r="240" spans="1:13" x14ac:dyDescent="0.25">
      <c r="A240" s="117"/>
      <c r="G240" s="84"/>
      <c r="H240" s="101">
        <v>235</v>
      </c>
      <c r="I240" s="102" t="str">
        <f t="shared" si="14"/>
        <v/>
      </c>
      <c r="J240" s="101" t="e">
        <f t="shared" si="17"/>
        <v>#NUM!</v>
      </c>
      <c r="K240" s="101" t="e">
        <f t="shared" si="15"/>
        <v>#NUM!</v>
      </c>
      <c r="L240" s="101"/>
      <c r="M240" s="103">
        <f t="shared" si="16"/>
        <v>0</v>
      </c>
    </row>
    <row r="241" spans="1:13" x14ac:dyDescent="0.25">
      <c r="A241" s="117"/>
      <c r="G241" s="84"/>
      <c r="H241" s="101">
        <v>236</v>
      </c>
      <c r="I241" s="102" t="str">
        <f t="shared" si="14"/>
        <v/>
      </c>
      <c r="J241" s="101" t="e">
        <f t="shared" si="17"/>
        <v>#NUM!</v>
      </c>
      <c r="K241" s="101" t="e">
        <f t="shared" si="15"/>
        <v>#NUM!</v>
      </c>
      <c r="L241" s="101"/>
      <c r="M241" s="103">
        <f t="shared" si="16"/>
        <v>0</v>
      </c>
    </row>
    <row r="242" spans="1:13" x14ac:dyDescent="0.25">
      <c r="A242" s="117"/>
      <c r="G242" s="84"/>
      <c r="H242" s="101">
        <v>237</v>
      </c>
      <c r="I242" s="102" t="str">
        <f t="shared" si="14"/>
        <v/>
      </c>
      <c r="J242" s="101" t="e">
        <f t="shared" si="17"/>
        <v>#NUM!</v>
      </c>
      <c r="K242" s="101" t="e">
        <f t="shared" si="15"/>
        <v>#NUM!</v>
      </c>
      <c r="L242" s="101"/>
      <c r="M242" s="103">
        <f t="shared" si="16"/>
        <v>0</v>
      </c>
    </row>
    <row r="243" spans="1:13" x14ac:dyDescent="0.25">
      <c r="A243" s="117"/>
      <c r="G243" s="84"/>
      <c r="H243" s="101">
        <v>238</v>
      </c>
      <c r="I243" s="102" t="str">
        <f t="shared" si="14"/>
        <v/>
      </c>
      <c r="J243" s="101" t="e">
        <f t="shared" si="17"/>
        <v>#NUM!</v>
      </c>
      <c r="K243" s="101" t="e">
        <f t="shared" si="15"/>
        <v>#NUM!</v>
      </c>
      <c r="L243" s="101"/>
      <c r="M243" s="103">
        <f t="shared" si="16"/>
        <v>0</v>
      </c>
    </row>
    <row r="244" spans="1:13" x14ac:dyDescent="0.25">
      <c r="A244" s="117"/>
      <c r="G244" s="84"/>
      <c r="H244" s="101">
        <v>239</v>
      </c>
      <c r="I244" s="102" t="str">
        <f t="shared" si="14"/>
        <v/>
      </c>
      <c r="J244" s="101" t="e">
        <f t="shared" si="17"/>
        <v>#NUM!</v>
      </c>
      <c r="K244" s="101" t="e">
        <f t="shared" si="15"/>
        <v>#NUM!</v>
      </c>
      <c r="L244" s="101"/>
      <c r="M244" s="103">
        <f t="shared" si="16"/>
        <v>0</v>
      </c>
    </row>
    <row r="245" spans="1:13" x14ac:dyDescent="0.25">
      <c r="A245" s="117"/>
      <c r="G245" s="84"/>
      <c r="H245" s="101">
        <v>240</v>
      </c>
      <c r="I245" s="102" t="str">
        <f t="shared" si="14"/>
        <v/>
      </c>
      <c r="J245" s="101" t="e">
        <f t="shared" si="17"/>
        <v>#NUM!</v>
      </c>
      <c r="K245" s="101" t="e">
        <f t="shared" si="15"/>
        <v>#NUM!</v>
      </c>
      <c r="L245" s="101"/>
      <c r="M245" s="103">
        <f t="shared" si="16"/>
        <v>0</v>
      </c>
    </row>
    <row r="246" spans="1:13" x14ac:dyDescent="0.25">
      <c r="A246" s="117"/>
      <c r="G246" s="84"/>
      <c r="H246" s="101">
        <v>241</v>
      </c>
      <c r="I246" s="102" t="str">
        <f t="shared" si="14"/>
        <v/>
      </c>
      <c r="J246" s="101" t="e">
        <f t="shared" si="17"/>
        <v>#NUM!</v>
      </c>
      <c r="K246" s="101" t="e">
        <f t="shared" si="15"/>
        <v>#NUM!</v>
      </c>
      <c r="L246" s="101"/>
      <c r="M246" s="103">
        <f t="shared" si="16"/>
        <v>0</v>
      </c>
    </row>
    <row r="247" spans="1:13" x14ac:dyDescent="0.25">
      <c r="A247" s="117"/>
      <c r="G247" s="84"/>
      <c r="H247" s="101">
        <v>242</v>
      </c>
      <c r="I247" s="102" t="str">
        <f t="shared" si="14"/>
        <v/>
      </c>
      <c r="J247" s="101" t="e">
        <f t="shared" si="17"/>
        <v>#NUM!</v>
      </c>
      <c r="K247" s="101" t="e">
        <f t="shared" si="15"/>
        <v>#NUM!</v>
      </c>
      <c r="L247" s="101"/>
      <c r="M247" s="103">
        <f t="shared" si="16"/>
        <v>0</v>
      </c>
    </row>
    <row r="248" spans="1:13" x14ac:dyDescent="0.25">
      <c r="A248" s="117"/>
      <c r="G248" s="84"/>
      <c r="H248" s="101">
        <v>243</v>
      </c>
      <c r="I248" s="102" t="str">
        <f t="shared" si="14"/>
        <v/>
      </c>
      <c r="J248" s="101" t="e">
        <f t="shared" si="17"/>
        <v>#NUM!</v>
      </c>
      <c r="K248" s="101" t="e">
        <f t="shared" si="15"/>
        <v>#NUM!</v>
      </c>
      <c r="L248" s="101"/>
      <c r="M248" s="103">
        <f t="shared" si="16"/>
        <v>0</v>
      </c>
    </row>
    <row r="249" spans="1:13" x14ac:dyDescent="0.25">
      <c r="A249" s="117"/>
      <c r="G249" s="84"/>
      <c r="H249" s="101">
        <v>244</v>
      </c>
      <c r="I249" s="102" t="str">
        <f t="shared" si="14"/>
        <v/>
      </c>
      <c r="J249" s="101" t="e">
        <f t="shared" si="17"/>
        <v>#NUM!</v>
      </c>
      <c r="K249" s="101" t="e">
        <f t="shared" si="15"/>
        <v>#NUM!</v>
      </c>
      <c r="L249" s="101"/>
      <c r="M249" s="103">
        <f t="shared" si="16"/>
        <v>0</v>
      </c>
    </row>
    <row r="250" spans="1:13" x14ac:dyDescent="0.25">
      <c r="A250" s="117"/>
      <c r="G250" s="84"/>
      <c r="H250" s="101">
        <v>245</v>
      </c>
      <c r="I250" s="102" t="str">
        <f t="shared" si="14"/>
        <v/>
      </c>
      <c r="J250" s="101" t="e">
        <f t="shared" si="17"/>
        <v>#NUM!</v>
      </c>
      <c r="K250" s="101" t="e">
        <f t="shared" si="15"/>
        <v>#NUM!</v>
      </c>
      <c r="L250" s="101"/>
      <c r="M250" s="103">
        <f t="shared" si="16"/>
        <v>0</v>
      </c>
    </row>
    <row r="251" spans="1:13" x14ac:dyDescent="0.25">
      <c r="A251" s="117"/>
      <c r="G251" s="84"/>
      <c r="H251" s="101">
        <v>246</v>
      </c>
      <c r="I251" s="102" t="str">
        <f t="shared" si="14"/>
        <v/>
      </c>
      <c r="J251" s="101" t="e">
        <f t="shared" si="17"/>
        <v>#NUM!</v>
      </c>
      <c r="K251" s="101" t="e">
        <f t="shared" si="15"/>
        <v>#NUM!</v>
      </c>
      <c r="L251" s="101"/>
      <c r="M251" s="103">
        <f t="shared" si="16"/>
        <v>0</v>
      </c>
    </row>
    <row r="252" spans="1:13" x14ac:dyDescent="0.25">
      <c r="A252" s="117"/>
      <c r="G252" s="84"/>
      <c r="H252" s="101">
        <v>247</v>
      </c>
      <c r="I252" s="102" t="str">
        <f t="shared" si="14"/>
        <v/>
      </c>
      <c r="J252" s="101" t="e">
        <f t="shared" si="17"/>
        <v>#NUM!</v>
      </c>
      <c r="K252" s="101" t="e">
        <f t="shared" si="15"/>
        <v>#NUM!</v>
      </c>
      <c r="L252" s="101"/>
      <c r="M252" s="103">
        <f t="shared" si="16"/>
        <v>0</v>
      </c>
    </row>
    <row r="253" spans="1:13" x14ac:dyDescent="0.25">
      <c r="A253" s="117"/>
      <c r="G253" s="84"/>
      <c r="H253" s="101">
        <v>248</v>
      </c>
      <c r="I253" s="102" t="str">
        <f t="shared" si="14"/>
        <v/>
      </c>
      <c r="J253" s="101" t="e">
        <f t="shared" si="17"/>
        <v>#NUM!</v>
      </c>
      <c r="K253" s="101" t="e">
        <f t="shared" si="15"/>
        <v>#NUM!</v>
      </c>
      <c r="L253" s="101"/>
      <c r="M253" s="103">
        <f t="shared" si="16"/>
        <v>0</v>
      </c>
    </row>
    <row r="254" spans="1:13" x14ac:dyDescent="0.25">
      <c r="A254" s="117"/>
      <c r="G254" s="84"/>
      <c r="H254" s="101">
        <v>249</v>
      </c>
      <c r="I254" s="102" t="str">
        <f t="shared" si="14"/>
        <v/>
      </c>
      <c r="J254" s="101" t="e">
        <f t="shared" si="17"/>
        <v>#NUM!</v>
      </c>
      <c r="K254" s="101" t="e">
        <f t="shared" si="15"/>
        <v>#NUM!</v>
      </c>
      <c r="L254" s="101"/>
      <c r="M254" s="103">
        <f t="shared" si="16"/>
        <v>0</v>
      </c>
    </row>
    <row r="255" spans="1:13" x14ac:dyDescent="0.25">
      <c r="A255" s="117"/>
      <c r="G255" s="84"/>
      <c r="H255" s="101">
        <v>250</v>
      </c>
      <c r="I255" s="102" t="str">
        <f t="shared" si="14"/>
        <v/>
      </c>
      <c r="J255" s="101" t="e">
        <f t="shared" si="17"/>
        <v>#NUM!</v>
      </c>
      <c r="K255" s="101" t="e">
        <f t="shared" si="15"/>
        <v>#NUM!</v>
      </c>
      <c r="L255" s="101"/>
      <c r="M255" s="103">
        <f t="shared" si="16"/>
        <v>0</v>
      </c>
    </row>
    <row r="256" spans="1:13" x14ac:dyDescent="0.25">
      <c r="A256" s="117"/>
      <c r="G256" s="84"/>
      <c r="H256" s="101">
        <v>251</v>
      </c>
      <c r="I256" s="102" t="str">
        <f t="shared" si="14"/>
        <v/>
      </c>
      <c r="J256" s="101" t="e">
        <f t="shared" si="17"/>
        <v>#NUM!</v>
      </c>
      <c r="K256" s="101" t="e">
        <f t="shared" si="15"/>
        <v>#NUM!</v>
      </c>
      <c r="L256" s="101"/>
      <c r="M256" s="103">
        <f t="shared" si="16"/>
        <v>0</v>
      </c>
    </row>
    <row r="257" spans="1:13" x14ac:dyDescent="0.25">
      <c r="A257" s="117"/>
      <c r="G257" s="84"/>
      <c r="H257" s="101">
        <v>252</v>
      </c>
      <c r="I257" s="102" t="str">
        <f t="shared" si="14"/>
        <v/>
      </c>
      <c r="J257" s="101" t="e">
        <f t="shared" si="17"/>
        <v>#NUM!</v>
      </c>
      <c r="K257" s="101" t="e">
        <f t="shared" si="15"/>
        <v>#NUM!</v>
      </c>
      <c r="L257" s="101"/>
      <c r="M257" s="103">
        <f t="shared" si="16"/>
        <v>0</v>
      </c>
    </row>
    <row r="258" spans="1:13" x14ac:dyDescent="0.25">
      <c r="A258" s="117"/>
      <c r="G258" s="84"/>
      <c r="H258" s="101">
        <v>253</v>
      </c>
      <c r="I258" s="102" t="str">
        <f t="shared" si="14"/>
        <v/>
      </c>
      <c r="J258" s="101" t="e">
        <f t="shared" si="17"/>
        <v>#NUM!</v>
      </c>
      <c r="K258" s="101" t="e">
        <f t="shared" si="15"/>
        <v>#NUM!</v>
      </c>
      <c r="L258" s="101"/>
      <c r="M258" s="103">
        <f t="shared" si="16"/>
        <v>0</v>
      </c>
    </row>
    <row r="259" spans="1:13" x14ac:dyDescent="0.25">
      <c r="A259" s="117"/>
      <c r="G259" s="84"/>
      <c r="H259" s="101">
        <v>254</v>
      </c>
      <c r="I259" s="102" t="str">
        <f t="shared" si="14"/>
        <v/>
      </c>
      <c r="J259" s="101" t="e">
        <f t="shared" si="17"/>
        <v>#NUM!</v>
      </c>
      <c r="K259" s="101" t="e">
        <f t="shared" si="15"/>
        <v>#NUM!</v>
      </c>
      <c r="L259" s="101"/>
      <c r="M259" s="103">
        <f t="shared" si="16"/>
        <v>0</v>
      </c>
    </row>
    <row r="260" spans="1:13" x14ac:dyDescent="0.25">
      <c r="A260" s="117"/>
      <c r="G260" s="84"/>
      <c r="H260" s="101">
        <v>255</v>
      </c>
      <c r="I260" s="102" t="str">
        <f t="shared" si="14"/>
        <v/>
      </c>
      <c r="J260" s="101" t="e">
        <f t="shared" si="17"/>
        <v>#NUM!</v>
      </c>
      <c r="K260" s="101" t="e">
        <f t="shared" si="15"/>
        <v>#NUM!</v>
      </c>
      <c r="L260" s="101"/>
      <c r="M260" s="103">
        <f t="shared" si="16"/>
        <v>0</v>
      </c>
    </row>
    <row r="261" spans="1:13" x14ac:dyDescent="0.25">
      <c r="A261" s="117"/>
      <c r="G261" s="84"/>
      <c r="H261" s="101">
        <v>256</v>
      </c>
      <c r="I261" s="102" t="str">
        <f t="shared" si="14"/>
        <v/>
      </c>
      <c r="J261" s="101" t="e">
        <f t="shared" si="17"/>
        <v>#NUM!</v>
      </c>
      <c r="K261" s="101" t="e">
        <f t="shared" si="15"/>
        <v>#NUM!</v>
      </c>
      <c r="L261" s="101"/>
      <c r="M261" s="103">
        <f t="shared" si="16"/>
        <v>0</v>
      </c>
    </row>
    <row r="262" spans="1:13" x14ac:dyDescent="0.25">
      <c r="A262" s="117"/>
      <c r="G262" s="84"/>
      <c r="H262" s="101">
        <v>257</v>
      </c>
      <c r="I262" s="102" t="str">
        <f t="shared" ref="I262:I305" si="18">IF(H262&lt;$H$2+1,($I$2-($I$2-1)*(LOG(H262)/LOG($H$2))),"")</f>
        <v/>
      </c>
      <c r="J262" s="101" t="e">
        <f t="shared" si="17"/>
        <v>#NUM!</v>
      </c>
      <c r="K262" s="101" t="e">
        <f t="shared" ref="K262:K305" si="19">J262*$J$2</f>
        <v>#NUM!</v>
      </c>
      <c r="L262" s="101"/>
      <c r="M262" s="103">
        <f t="shared" ref="M262:M305" si="20">IF(I262&lt;&gt;"",K262+I262+L262,0)</f>
        <v>0</v>
      </c>
    </row>
    <row r="263" spans="1:13" x14ac:dyDescent="0.25">
      <c r="A263" s="117"/>
      <c r="G263" s="84"/>
      <c r="H263" s="101">
        <v>258</v>
      </c>
      <c r="I263" s="102" t="str">
        <f t="shared" si="18"/>
        <v/>
      </c>
      <c r="J263" s="101" t="e">
        <f t="shared" ref="J263:J326" si="21">INT(LOG($H$2,2))-ROUNDUP(LOG(H263,2),0)+IF(OR($H$2=1,$H$2=2,$H$2=4,$H$2=8,$H$2=16,$H$2=32,$H$2=64,$H$2=128,$H$2=256),0,1)</f>
        <v>#NUM!</v>
      </c>
      <c r="K263" s="101" t="e">
        <f t="shared" si="19"/>
        <v>#NUM!</v>
      </c>
      <c r="L263" s="101"/>
      <c r="M263" s="103">
        <f t="shared" si="20"/>
        <v>0</v>
      </c>
    </row>
    <row r="264" spans="1:13" x14ac:dyDescent="0.25">
      <c r="A264" s="117"/>
      <c r="G264" s="84"/>
      <c r="H264" s="101">
        <v>259</v>
      </c>
      <c r="I264" s="102" t="str">
        <f t="shared" si="18"/>
        <v/>
      </c>
      <c r="J264" s="101" t="e">
        <f t="shared" si="21"/>
        <v>#NUM!</v>
      </c>
      <c r="K264" s="101" t="e">
        <f t="shared" si="19"/>
        <v>#NUM!</v>
      </c>
      <c r="L264" s="101"/>
      <c r="M264" s="103">
        <f t="shared" si="20"/>
        <v>0</v>
      </c>
    </row>
    <row r="265" spans="1:13" x14ac:dyDescent="0.25">
      <c r="A265" s="117"/>
      <c r="G265" s="84"/>
      <c r="H265" s="101">
        <v>260</v>
      </c>
      <c r="I265" s="102" t="str">
        <f t="shared" si="18"/>
        <v/>
      </c>
      <c r="J265" s="101" t="e">
        <f t="shared" si="21"/>
        <v>#NUM!</v>
      </c>
      <c r="K265" s="101" t="e">
        <f t="shared" si="19"/>
        <v>#NUM!</v>
      </c>
      <c r="L265" s="101"/>
      <c r="M265" s="103">
        <f t="shared" si="20"/>
        <v>0</v>
      </c>
    </row>
    <row r="266" spans="1:13" x14ac:dyDescent="0.25">
      <c r="A266" s="117"/>
      <c r="G266" s="84"/>
      <c r="H266" s="101">
        <v>261</v>
      </c>
      <c r="I266" s="102" t="str">
        <f t="shared" si="18"/>
        <v/>
      </c>
      <c r="J266" s="101" t="e">
        <f t="shared" si="21"/>
        <v>#NUM!</v>
      </c>
      <c r="K266" s="101" t="e">
        <f t="shared" si="19"/>
        <v>#NUM!</v>
      </c>
      <c r="L266" s="101"/>
      <c r="M266" s="103">
        <f t="shared" si="20"/>
        <v>0</v>
      </c>
    </row>
    <row r="267" spans="1:13" x14ac:dyDescent="0.25">
      <c r="A267" s="117"/>
      <c r="G267" s="84"/>
      <c r="H267" s="101">
        <v>262</v>
      </c>
      <c r="I267" s="102" t="str">
        <f t="shared" si="18"/>
        <v/>
      </c>
      <c r="J267" s="101" t="e">
        <f t="shared" si="21"/>
        <v>#NUM!</v>
      </c>
      <c r="K267" s="101" t="e">
        <f t="shared" si="19"/>
        <v>#NUM!</v>
      </c>
      <c r="L267" s="101"/>
      <c r="M267" s="103">
        <f t="shared" si="20"/>
        <v>0</v>
      </c>
    </row>
    <row r="268" spans="1:13" x14ac:dyDescent="0.25">
      <c r="A268" s="117"/>
      <c r="G268" s="84"/>
      <c r="H268" s="101">
        <v>263</v>
      </c>
      <c r="I268" s="102" t="str">
        <f t="shared" si="18"/>
        <v/>
      </c>
      <c r="J268" s="101" t="e">
        <f t="shared" si="21"/>
        <v>#NUM!</v>
      </c>
      <c r="K268" s="101" t="e">
        <f t="shared" si="19"/>
        <v>#NUM!</v>
      </c>
      <c r="L268" s="101"/>
      <c r="M268" s="103">
        <f t="shared" si="20"/>
        <v>0</v>
      </c>
    </row>
    <row r="269" spans="1:13" x14ac:dyDescent="0.25">
      <c r="A269" s="117"/>
      <c r="G269" s="84"/>
      <c r="H269" s="101">
        <v>264</v>
      </c>
      <c r="I269" s="102" t="str">
        <f t="shared" si="18"/>
        <v/>
      </c>
      <c r="J269" s="101" t="e">
        <f t="shared" si="21"/>
        <v>#NUM!</v>
      </c>
      <c r="K269" s="101" t="e">
        <f t="shared" si="19"/>
        <v>#NUM!</v>
      </c>
      <c r="L269" s="101"/>
      <c r="M269" s="103">
        <f t="shared" si="20"/>
        <v>0</v>
      </c>
    </row>
    <row r="270" spans="1:13" x14ac:dyDescent="0.25">
      <c r="A270" s="117"/>
      <c r="G270" s="84"/>
      <c r="H270" s="101">
        <v>265</v>
      </c>
      <c r="I270" s="102" t="str">
        <f t="shared" si="18"/>
        <v/>
      </c>
      <c r="J270" s="101" t="e">
        <f t="shared" si="21"/>
        <v>#NUM!</v>
      </c>
      <c r="K270" s="101" t="e">
        <f t="shared" si="19"/>
        <v>#NUM!</v>
      </c>
      <c r="L270" s="101"/>
      <c r="M270" s="103">
        <f t="shared" si="20"/>
        <v>0</v>
      </c>
    </row>
    <row r="271" spans="1:13" x14ac:dyDescent="0.25">
      <c r="A271" s="117"/>
      <c r="G271" s="84"/>
      <c r="H271" s="101">
        <v>266</v>
      </c>
      <c r="I271" s="102" t="str">
        <f t="shared" si="18"/>
        <v/>
      </c>
      <c r="J271" s="101" t="e">
        <f t="shared" si="21"/>
        <v>#NUM!</v>
      </c>
      <c r="K271" s="101" t="e">
        <f t="shared" si="19"/>
        <v>#NUM!</v>
      </c>
      <c r="L271" s="101"/>
      <c r="M271" s="103">
        <f t="shared" si="20"/>
        <v>0</v>
      </c>
    </row>
    <row r="272" spans="1:13" x14ac:dyDescent="0.25">
      <c r="A272" s="117"/>
      <c r="G272" s="84"/>
      <c r="H272" s="101">
        <v>267</v>
      </c>
      <c r="I272" s="102" t="str">
        <f t="shared" si="18"/>
        <v/>
      </c>
      <c r="J272" s="101" t="e">
        <f t="shared" si="21"/>
        <v>#NUM!</v>
      </c>
      <c r="K272" s="101" t="e">
        <f t="shared" si="19"/>
        <v>#NUM!</v>
      </c>
      <c r="L272" s="101"/>
      <c r="M272" s="103">
        <f t="shared" si="20"/>
        <v>0</v>
      </c>
    </row>
    <row r="273" spans="1:13" x14ac:dyDescent="0.25">
      <c r="A273" s="117"/>
      <c r="G273" s="84"/>
      <c r="H273" s="101">
        <v>268</v>
      </c>
      <c r="I273" s="102" t="str">
        <f t="shared" si="18"/>
        <v/>
      </c>
      <c r="J273" s="101" t="e">
        <f t="shared" si="21"/>
        <v>#NUM!</v>
      </c>
      <c r="K273" s="101" t="e">
        <f t="shared" si="19"/>
        <v>#NUM!</v>
      </c>
      <c r="L273" s="101"/>
      <c r="M273" s="103">
        <f t="shared" si="20"/>
        <v>0</v>
      </c>
    </row>
    <row r="274" spans="1:13" x14ac:dyDescent="0.25">
      <c r="A274" s="117"/>
      <c r="G274" s="84"/>
      <c r="H274" s="101">
        <v>269</v>
      </c>
      <c r="I274" s="102" t="str">
        <f t="shared" si="18"/>
        <v/>
      </c>
      <c r="J274" s="101" t="e">
        <f t="shared" si="21"/>
        <v>#NUM!</v>
      </c>
      <c r="K274" s="101" t="e">
        <f t="shared" si="19"/>
        <v>#NUM!</v>
      </c>
      <c r="L274" s="101"/>
      <c r="M274" s="103">
        <f t="shared" si="20"/>
        <v>0</v>
      </c>
    </row>
    <row r="275" spans="1:13" x14ac:dyDescent="0.25">
      <c r="A275" s="117"/>
      <c r="G275" s="84"/>
      <c r="H275" s="101">
        <v>270</v>
      </c>
      <c r="I275" s="102" t="str">
        <f t="shared" si="18"/>
        <v/>
      </c>
      <c r="J275" s="101" t="e">
        <f t="shared" si="21"/>
        <v>#NUM!</v>
      </c>
      <c r="K275" s="101" t="e">
        <f t="shared" si="19"/>
        <v>#NUM!</v>
      </c>
      <c r="L275" s="101"/>
      <c r="M275" s="103">
        <f t="shared" si="20"/>
        <v>0</v>
      </c>
    </row>
    <row r="276" spans="1:13" x14ac:dyDescent="0.25">
      <c r="A276" s="117"/>
      <c r="G276" s="84"/>
      <c r="H276" s="101">
        <v>271</v>
      </c>
      <c r="I276" s="102" t="str">
        <f t="shared" si="18"/>
        <v/>
      </c>
      <c r="J276" s="101" t="e">
        <f t="shared" si="21"/>
        <v>#NUM!</v>
      </c>
      <c r="K276" s="101" t="e">
        <f t="shared" si="19"/>
        <v>#NUM!</v>
      </c>
      <c r="L276" s="101"/>
      <c r="M276" s="103">
        <f t="shared" si="20"/>
        <v>0</v>
      </c>
    </row>
    <row r="277" spans="1:13" x14ac:dyDescent="0.25">
      <c r="A277" s="117"/>
      <c r="G277" s="84"/>
      <c r="H277" s="101">
        <v>272</v>
      </c>
      <c r="I277" s="102" t="str">
        <f t="shared" si="18"/>
        <v/>
      </c>
      <c r="J277" s="101" t="e">
        <f t="shared" si="21"/>
        <v>#NUM!</v>
      </c>
      <c r="K277" s="101" t="e">
        <f t="shared" si="19"/>
        <v>#NUM!</v>
      </c>
      <c r="L277" s="101"/>
      <c r="M277" s="103">
        <f t="shared" si="20"/>
        <v>0</v>
      </c>
    </row>
    <row r="278" spans="1:13" x14ac:dyDescent="0.25">
      <c r="A278" s="117"/>
      <c r="G278" s="84"/>
      <c r="H278" s="101">
        <v>273</v>
      </c>
      <c r="I278" s="102" t="str">
        <f t="shared" si="18"/>
        <v/>
      </c>
      <c r="J278" s="101" t="e">
        <f t="shared" si="21"/>
        <v>#NUM!</v>
      </c>
      <c r="K278" s="101" t="e">
        <f t="shared" si="19"/>
        <v>#NUM!</v>
      </c>
      <c r="L278" s="101"/>
      <c r="M278" s="103">
        <f t="shared" si="20"/>
        <v>0</v>
      </c>
    </row>
    <row r="279" spans="1:13" x14ac:dyDescent="0.25">
      <c r="A279" s="117"/>
      <c r="G279" s="84"/>
      <c r="H279" s="101">
        <v>274</v>
      </c>
      <c r="I279" s="102" t="str">
        <f t="shared" si="18"/>
        <v/>
      </c>
      <c r="J279" s="101" t="e">
        <f t="shared" si="21"/>
        <v>#NUM!</v>
      </c>
      <c r="K279" s="101" t="e">
        <f t="shared" si="19"/>
        <v>#NUM!</v>
      </c>
      <c r="L279" s="101"/>
      <c r="M279" s="103">
        <f t="shared" si="20"/>
        <v>0</v>
      </c>
    </row>
    <row r="280" spans="1:13" x14ac:dyDescent="0.25">
      <c r="A280" s="117"/>
      <c r="G280" s="84"/>
      <c r="H280" s="101">
        <v>275</v>
      </c>
      <c r="I280" s="102" t="str">
        <f t="shared" si="18"/>
        <v/>
      </c>
      <c r="J280" s="101" t="e">
        <f t="shared" si="21"/>
        <v>#NUM!</v>
      </c>
      <c r="K280" s="101" t="e">
        <f t="shared" si="19"/>
        <v>#NUM!</v>
      </c>
      <c r="L280" s="101"/>
      <c r="M280" s="103">
        <f t="shared" si="20"/>
        <v>0</v>
      </c>
    </row>
    <row r="281" spans="1:13" x14ac:dyDescent="0.25">
      <c r="A281" s="117"/>
      <c r="G281" s="84"/>
      <c r="H281" s="101">
        <v>276</v>
      </c>
      <c r="I281" s="102" t="str">
        <f t="shared" si="18"/>
        <v/>
      </c>
      <c r="J281" s="101" t="e">
        <f t="shared" si="21"/>
        <v>#NUM!</v>
      </c>
      <c r="K281" s="101" t="e">
        <f t="shared" si="19"/>
        <v>#NUM!</v>
      </c>
      <c r="L281" s="101"/>
      <c r="M281" s="103">
        <f t="shared" si="20"/>
        <v>0</v>
      </c>
    </row>
    <row r="282" spans="1:13" x14ac:dyDescent="0.25">
      <c r="A282" s="117"/>
      <c r="G282" s="84"/>
      <c r="H282" s="101">
        <v>277</v>
      </c>
      <c r="I282" s="102" t="str">
        <f t="shared" si="18"/>
        <v/>
      </c>
      <c r="J282" s="101" t="e">
        <f t="shared" si="21"/>
        <v>#NUM!</v>
      </c>
      <c r="K282" s="101" t="e">
        <f t="shared" si="19"/>
        <v>#NUM!</v>
      </c>
      <c r="L282" s="101"/>
      <c r="M282" s="103">
        <f t="shared" si="20"/>
        <v>0</v>
      </c>
    </row>
    <row r="283" spans="1:13" x14ac:dyDescent="0.25">
      <c r="A283" s="117"/>
      <c r="G283" s="84"/>
      <c r="H283" s="101">
        <v>278</v>
      </c>
      <c r="I283" s="102" t="str">
        <f t="shared" si="18"/>
        <v/>
      </c>
      <c r="J283" s="101" t="e">
        <f t="shared" si="21"/>
        <v>#NUM!</v>
      </c>
      <c r="K283" s="101" t="e">
        <f t="shared" si="19"/>
        <v>#NUM!</v>
      </c>
      <c r="L283" s="101"/>
      <c r="M283" s="103">
        <f t="shared" si="20"/>
        <v>0</v>
      </c>
    </row>
    <row r="284" spans="1:13" x14ac:dyDescent="0.25">
      <c r="A284" s="117"/>
      <c r="G284" s="84"/>
      <c r="H284" s="101">
        <v>279</v>
      </c>
      <c r="I284" s="102" t="str">
        <f t="shared" si="18"/>
        <v/>
      </c>
      <c r="J284" s="101" t="e">
        <f t="shared" si="21"/>
        <v>#NUM!</v>
      </c>
      <c r="K284" s="101" t="e">
        <f t="shared" si="19"/>
        <v>#NUM!</v>
      </c>
      <c r="L284" s="101"/>
      <c r="M284" s="103">
        <f t="shared" si="20"/>
        <v>0</v>
      </c>
    </row>
    <row r="285" spans="1:13" x14ac:dyDescent="0.25">
      <c r="A285" s="117"/>
      <c r="G285" s="84"/>
      <c r="H285" s="101">
        <v>280</v>
      </c>
      <c r="I285" s="102" t="str">
        <f t="shared" si="18"/>
        <v/>
      </c>
      <c r="J285" s="101" t="e">
        <f t="shared" si="21"/>
        <v>#NUM!</v>
      </c>
      <c r="K285" s="101" t="e">
        <f t="shared" si="19"/>
        <v>#NUM!</v>
      </c>
      <c r="L285" s="101"/>
      <c r="M285" s="103">
        <f t="shared" si="20"/>
        <v>0</v>
      </c>
    </row>
    <row r="286" spans="1:13" x14ac:dyDescent="0.25">
      <c r="A286" s="117"/>
      <c r="G286" s="84"/>
      <c r="H286" s="101">
        <v>281</v>
      </c>
      <c r="I286" s="102" t="str">
        <f t="shared" si="18"/>
        <v/>
      </c>
      <c r="J286" s="101" t="e">
        <f t="shared" si="21"/>
        <v>#NUM!</v>
      </c>
      <c r="K286" s="101" t="e">
        <f t="shared" si="19"/>
        <v>#NUM!</v>
      </c>
      <c r="L286" s="101"/>
      <c r="M286" s="103">
        <f t="shared" si="20"/>
        <v>0</v>
      </c>
    </row>
    <row r="287" spans="1:13" x14ac:dyDescent="0.25">
      <c r="A287" s="117"/>
      <c r="G287" s="84"/>
      <c r="H287" s="101">
        <v>282</v>
      </c>
      <c r="I287" s="102" t="str">
        <f t="shared" si="18"/>
        <v/>
      </c>
      <c r="J287" s="101" t="e">
        <f t="shared" si="21"/>
        <v>#NUM!</v>
      </c>
      <c r="K287" s="101" t="e">
        <f t="shared" si="19"/>
        <v>#NUM!</v>
      </c>
      <c r="L287" s="101"/>
      <c r="M287" s="103">
        <f t="shared" si="20"/>
        <v>0</v>
      </c>
    </row>
    <row r="288" spans="1:13" x14ac:dyDescent="0.25">
      <c r="A288" s="117"/>
      <c r="G288" s="84"/>
      <c r="H288" s="101">
        <v>283</v>
      </c>
      <c r="I288" s="102" t="str">
        <f t="shared" si="18"/>
        <v/>
      </c>
      <c r="J288" s="101" t="e">
        <f t="shared" si="21"/>
        <v>#NUM!</v>
      </c>
      <c r="K288" s="101" t="e">
        <f t="shared" si="19"/>
        <v>#NUM!</v>
      </c>
      <c r="L288" s="101"/>
      <c r="M288" s="103">
        <f t="shared" si="20"/>
        <v>0</v>
      </c>
    </row>
    <row r="289" spans="1:13" x14ac:dyDescent="0.25">
      <c r="A289" s="117"/>
      <c r="G289" s="84"/>
      <c r="H289" s="101">
        <v>284</v>
      </c>
      <c r="I289" s="102" t="str">
        <f t="shared" si="18"/>
        <v/>
      </c>
      <c r="J289" s="101" t="e">
        <f t="shared" si="21"/>
        <v>#NUM!</v>
      </c>
      <c r="K289" s="101" t="e">
        <f t="shared" si="19"/>
        <v>#NUM!</v>
      </c>
      <c r="L289" s="101"/>
      <c r="M289" s="103">
        <f t="shared" si="20"/>
        <v>0</v>
      </c>
    </row>
    <row r="290" spans="1:13" x14ac:dyDescent="0.25">
      <c r="A290" s="117"/>
      <c r="G290" s="84"/>
      <c r="H290" s="101">
        <v>285</v>
      </c>
      <c r="I290" s="102" t="str">
        <f t="shared" si="18"/>
        <v/>
      </c>
      <c r="J290" s="101" t="e">
        <f t="shared" si="21"/>
        <v>#NUM!</v>
      </c>
      <c r="K290" s="101" t="e">
        <f t="shared" si="19"/>
        <v>#NUM!</v>
      </c>
      <c r="L290" s="101"/>
      <c r="M290" s="103">
        <f t="shared" si="20"/>
        <v>0</v>
      </c>
    </row>
    <row r="291" spans="1:13" x14ac:dyDescent="0.25">
      <c r="A291" s="117"/>
      <c r="G291" s="84"/>
      <c r="H291" s="101">
        <v>286</v>
      </c>
      <c r="I291" s="102" t="str">
        <f t="shared" si="18"/>
        <v/>
      </c>
      <c r="J291" s="101" t="e">
        <f t="shared" si="21"/>
        <v>#NUM!</v>
      </c>
      <c r="K291" s="101" t="e">
        <f t="shared" si="19"/>
        <v>#NUM!</v>
      </c>
      <c r="L291" s="101"/>
      <c r="M291" s="103">
        <f t="shared" si="20"/>
        <v>0</v>
      </c>
    </row>
    <row r="292" spans="1:13" x14ac:dyDescent="0.25">
      <c r="A292" s="117"/>
      <c r="G292" s="84"/>
      <c r="H292" s="101">
        <v>287</v>
      </c>
      <c r="I292" s="102" t="str">
        <f t="shared" si="18"/>
        <v/>
      </c>
      <c r="J292" s="101" t="e">
        <f t="shared" si="21"/>
        <v>#NUM!</v>
      </c>
      <c r="K292" s="101" t="e">
        <f t="shared" si="19"/>
        <v>#NUM!</v>
      </c>
      <c r="L292" s="101"/>
      <c r="M292" s="103">
        <f t="shared" si="20"/>
        <v>0</v>
      </c>
    </row>
    <row r="293" spans="1:13" x14ac:dyDescent="0.25">
      <c r="A293" s="117"/>
      <c r="G293" s="84"/>
      <c r="H293" s="101">
        <v>288</v>
      </c>
      <c r="I293" s="102" t="str">
        <f t="shared" si="18"/>
        <v/>
      </c>
      <c r="J293" s="101" t="e">
        <f t="shared" si="21"/>
        <v>#NUM!</v>
      </c>
      <c r="K293" s="101" t="e">
        <f t="shared" si="19"/>
        <v>#NUM!</v>
      </c>
      <c r="L293" s="101"/>
      <c r="M293" s="103">
        <f t="shared" si="20"/>
        <v>0</v>
      </c>
    </row>
    <row r="294" spans="1:13" x14ac:dyDescent="0.25">
      <c r="A294" s="117"/>
      <c r="G294" s="84"/>
      <c r="H294" s="101">
        <v>289</v>
      </c>
      <c r="I294" s="102" t="str">
        <f t="shared" si="18"/>
        <v/>
      </c>
      <c r="J294" s="101" t="e">
        <f t="shared" si="21"/>
        <v>#NUM!</v>
      </c>
      <c r="K294" s="101" t="e">
        <f t="shared" si="19"/>
        <v>#NUM!</v>
      </c>
      <c r="L294" s="101"/>
      <c r="M294" s="103">
        <f t="shared" si="20"/>
        <v>0</v>
      </c>
    </row>
    <row r="295" spans="1:13" x14ac:dyDescent="0.25">
      <c r="A295" s="117"/>
      <c r="G295" s="84"/>
      <c r="H295" s="101">
        <v>290</v>
      </c>
      <c r="I295" s="102" t="str">
        <f t="shared" si="18"/>
        <v/>
      </c>
      <c r="J295" s="101" t="e">
        <f t="shared" si="21"/>
        <v>#NUM!</v>
      </c>
      <c r="K295" s="101" t="e">
        <f t="shared" si="19"/>
        <v>#NUM!</v>
      </c>
      <c r="L295" s="101"/>
      <c r="M295" s="103">
        <f t="shared" si="20"/>
        <v>0</v>
      </c>
    </row>
    <row r="296" spans="1:13" x14ac:dyDescent="0.25">
      <c r="A296" s="117"/>
      <c r="G296" s="84"/>
      <c r="H296" s="101">
        <v>291</v>
      </c>
      <c r="I296" s="102" t="str">
        <f t="shared" si="18"/>
        <v/>
      </c>
      <c r="J296" s="101" t="e">
        <f t="shared" si="21"/>
        <v>#NUM!</v>
      </c>
      <c r="K296" s="101" t="e">
        <f t="shared" si="19"/>
        <v>#NUM!</v>
      </c>
      <c r="L296" s="101"/>
      <c r="M296" s="103">
        <f t="shared" si="20"/>
        <v>0</v>
      </c>
    </row>
    <row r="297" spans="1:13" x14ac:dyDescent="0.25">
      <c r="A297" s="117"/>
      <c r="G297" s="84"/>
      <c r="H297" s="101">
        <v>292</v>
      </c>
      <c r="I297" s="102" t="str">
        <f t="shared" si="18"/>
        <v/>
      </c>
      <c r="J297" s="101" t="e">
        <f t="shared" si="21"/>
        <v>#NUM!</v>
      </c>
      <c r="K297" s="101" t="e">
        <f t="shared" si="19"/>
        <v>#NUM!</v>
      </c>
      <c r="L297" s="101"/>
      <c r="M297" s="103">
        <f t="shared" si="20"/>
        <v>0</v>
      </c>
    </row>
    <row r="298" spans="1:13" x14ac:dyDescent="0.25">
      <c r="A298" s="117"/>
      <c r="G298" s="84"/>
      <c r="H298" s="101">
        <v>293</v>
      </c>
      <c r="I298" s="102" t="str">
        <f t="shared" si="18"/>
        <v/>
      </c>
      <c r="J298" s="101" t="e">
        <f t="shared" si="21"/>
        <v>#NUM!</v>
      </c>
      <c r="K298" s="101" t="e">
        <f t="shared" si="19"/>
        <v>#NUM!</v>
      </c>
      <c r="L298" s="101"/>
      <c r="M298" s="103">
        <f t="shared" si="20"/>
        <v>0</v>
      </c>
    </row>
    <row r="299" spans="1:13" x14ac:dyDescent="0.25">
      <c r="A299" s="117"/>
      <c r="G299" s="84"/>
      <c r="H299" s="101">
        <v>294</v>
      </c>
      <c r="I299" s="102" t="str">
        <f t="shared" si="18"/>
        <v/>
      </c>
      <c r="J299" s="101" t="e">
        <f t="shared" si="21"/>
        <v>#NUM!</v>
      </c>
      <c r="K299" s="101" t="e">
        <f t="shared" si="19"/>
        <v>#NUM!</v>
      </c>
      <c r="L299" s="101"/>
      <c r="M299" s="103">
        <f t="shared" si="20"/>
        <v>0</v>
      </c>
    </row>
    <row r="300" spans="1:13" x14ac:dyDescent="0.25">
      <c r="A300" s="117"/>
      <c r="G300" s="84"/>
      <c r="H300" s="101">
        <v>295</v>
      </c>
      <c r="I300" s="102" t="str">
        <f t="shared" si="18"/>
        <v/>
      </c>
      <c r="J300" s="101" t="e">
        <f t="shared" si="21"/>
        <v>#NUM!</v>
      </c>
      <c r="K300" s="101" t="e">
        <f t="shared" si="19"/>
        <v>#NUM!</v>
      </c>
      <c r="L300" s="101"/>
      <c r="M300" s="103">
        <f t="shared" si="20"/>
        <v>0</v>
      </c>
    </row>
    <row r="301" spans="1:13" x14ac:dyDescent="0.25">
      <c r="A301" s="117"/>
      <c r="G301" s="84"/>
      <c r="H301" s="101">
        <v>296</v>
      </c>
      <c r="I301" s="102" t="str">
        <f t="shared" si="18"/>
        <v/>
      </c>
      <c r="J301" s="101" t="e">
        <f t="shared" si="21"/>
        <v>#NUM!</v>
      </c>
      <c r="K301" s="101" t="e">
        <f t="shared" si="19"/>
        <v>#NUM!</v>
      </c>
      <c r="L301" s="101"/>
      <c r="M301" s="103">
        <f t="shared" si="20"/>
        <v>0</v>
      </c>
    </row>
    <row r="302" spans="1:13" x14ac:dyDescent="0.25">
      <c r="A302" s="117"/>
      <c r="G302" s="84"/>
      <c r="H302" s="101">
        <v>297</v>
      </c>
      <c r="I302" s="102" t="str">
        <f t="shared" si="18"/>
        <v/>
      </c>
      <c r="J302" s="101" t="e">
        <f t="shared" si="21"/>
        <v>#NUM!</v>
      </c>
      <c r="K302" s="101" t="e">
        <f t="shared" si="19"/>
        <v>#NUM!</v>
      </c>
      <c r="L302" s="101"/>
      <c r="M302" s="103">
        <f t="shared" si="20"/>
        <v>0</v>
      </c>
    </row>
    <row r="303" spans="1:13" x14ac:dyDescent="0.25">
      <c r="A303" s="117"/>
      <c r="G303" s="84"/>
      <c r="H303" s="101">
        <v>298</v>
      </c>
      <c r="I303" s="102" t="str">
        <f t="shared" si="18"/>
        <v/>
      </c>
      <c r="J303" s="101" t="e">
        <f t="shared" si="21"/>
        <v>#NUM!</v>
      </c>
      <c r="K303" s="101" t="e">
        <f t="shared" si="19"/>
        <v>#NUM!</v>
      </c>
      <c r="L303" s="101"/>
      <c r="M303" s="103">
        <f t="shared" si="20"/>
        <v>0</v>
      </c>
    </row>
    <row r="304" spans="1:13" x14ac:dyDescent="0.25">
      <c r="A304" s="117"/>
      <c r="G304" s="84"/>
      <c r="H304" s="101">
        <v>299</v>
      </c>
      <c r="I304" s="102" t="str">
        <f t="shared" si="18"/>
        <v/>
      </c>
      <c r="J304" s="101" t="e">
        <f t="shared" si="21"/>
        <v>#NUM!</v>
      </c>
      <c r="K304" s="101" t="e">
        <f t="shared" si="19"/>
        <v>#NUM!</v>
      </c>
      <c r="L304" s="101"/>
      <c r="M304" s="103">
        <f t="shared" si="20"/>
        <v>0</v>
      </c>
    </row>
    <row r="305" spans="1:16" x14ac:dyDescent="0.25">
      <c r="A305" s="117"/>
      <c r="G305" s="84"/>
      <c r="H305" s="101">
        <v>300</v>
      </c>
      <c r="I305" s="102" t="str">
        <f t="shared" si="18"/>
        <v/>
      </c>
      <c r="J305" s="101" t="e">
        <f t="shared" si="21"/>
        <v>#NUM!</v>
      </c>
      <c r="K305" s="101" t="e">
        <f t="shared" si="19"/>
        <v>#NUM!</v>
      </c>
      <c r="L305" s="101"/>
      <c r="M305" s="103">
        <f t="shared" si="20"/>
        <v>0</v>
      </c>
    </row>
    <row r="306" spans="1:16" x14ac:dyDescent="0.25">
      <c r="A306" s="119"/>
      <c r="J306" s="120" t="e">
        <f t="shared" si="21"/>
        <v>#NUM!</v>
      </c>
    </row>
    <row r="307" spans="1:16" x14ac:dyDescent="0.25">
      <c r="J307" s="120" t="e">
        <f t="shared" si="21"/>
        <v>#NUM!</v>
      </c>
    </row>
    <row r="308" spans="1:16" x14ac:dyDescent="0.25">
      <c r="J308" s="120" t="e">
        <f t="shared" si="21"/>
        <v>#NUM!</v>
      </c>
    </row>
    <row r="309" spans="1:16" x14ac:dyDescent="0.25">
      <c r="J309" s="120" t="e">
        <f t="shared" si="21"/>
        <v>#NUM!</v>
      </c>
    </row>
    <row r="310" spans="1:16" x14ac:dyDescent="0.25">
      <c r="J310" s="120" t="e">
        <f t="shared" si="21"/>
        <v>#NUM!</v>
      </c>
    </row>
    <row r="311" spans="1:16" x14ac:dyDescent="0.25">
      <c r="J311" s="120" t="e">
        <f t="shared" si="21"/>
        <v>#NUM!</v>
      </c>
    </row>
    <row r="312" spans="1:16" x14ac:dyDescent="0.25">
      <c r="J312" s="120" t="e">
        <f t="shared" si="21"/>
        <v>#NUM!</v>
      </c>
    </row>
    <row r="313" spans="1:16" x14ac:dyDescent="0.25">
      <c r="J313" s="120" t="e">
        <f t="shared" si="21"/>
        <v>#NUM!</v>
      </c>
    </row>
    <row r="314" spans="1:16" x14ac:dyDescent="0.25">
      <c r="J314" s="120" t="e">
        <f t="shared" si="21"/>
        <v>#NUM!</v>
      </c>
      <c r="L314" s="122"/>
      <c r="P314" s="112"/>
    </row>
    <row r="315" spans="1:16" x14ac:dyDescent="0.25">
      <c r="J315" s="120" t="e">
        <f t="shared" si="21"/>
        <v>#NUM!</v>
      </c>
      <c r="L315" s="122"/>
      <c r="P315" s="112"/>
    </row>
    <row r="316" spans="1:16" x14ac:dyDescent="0.25">
      <c r="J316" s="120" t="e">
        <f t="shared" si="21"/>
        <v>#NUM!</v>
      </c>
      <c r="L316" s="122"/>
      <c r="P316" s="112"/>
    </row>
    <row r="317" spans="1:16" x14ac:dyDescent="0.25">
      <c r="J317" s="120" t="e">
        <f t="shared" si="21"/>
        <v>#NUM!</v>
      </c>
      <c r="L317" s="122"/>
      <c r="P317" s="112"/>
    </row>
    <row r="318" spans="1:16" x14ac:dyDescent="0.25">
      <c r="J318" s="120" t="e">
        <f t="shared" si="21"/>
        <v>#NUM!</v>
      </c>
    </row>
    <row r="319" spans="1:16" x14ac:dyDescent="0.25">
      <c r="J319" s="120" t="e">
        <f t="shared" si="21"/>
        <v>#NUM!</v>
      </c>
    </row>
    <row r="320" spans="1:16" x14ac:dyDescent="0.25">
      <c r="J320" s="120" t="e">
        <f t="shared" si="21"/>
        <v>#NUM!</v>
      </c>
    </row>
    <row r="321" spans="10:10" x14ac:dyDescent="0.25">
      <c r="J321" s="120" t="e">
        <f t="shared" si="21"/>
        <v>#NUM!</v>
      </c>
    </row>
    <row r="322" spans="10:10" x14ac:dyDescent="0.25">
      <c r="J322" s="120" t="e">
        <f t="shared" si="21"/>
        <v>#NUM!</v>
      </c>
    </row>
    <row r="323" spans="10:10" x14ac:dyDescent="0.25">
      <c r="J323" s="120" t="e">
        <f t="shared" si="21"/>
        <v>#NUM!</v>
      </c>
    </row>
    <row r="324" spans="10:10" x14ac:dyDescent="0.25">
      <c r="J324" s="120" t="e">
        <f t="shared" si="21"/>
        <v>#NUM!</v>
      </c>
    </row>
    <row r="325" spans="10:10" x14ac:dyDescent="0.25">
      <c r="J325" s="120" t="e">
        <f t="shared" si="21"/>
        <v>#NUM!</v>
      </c>
    </row>
    <row r="326" spans="10:10" x14ac:dyDescent="0.25">
      <c r="J326" s="120" t="e">
        <f t="shared" si="21"/>
        <v>#NUM!</v>
      </c>
    </row>
    <row r="327" spans="10:10" x14ac:dyDescent="0.25">
      <c r="J327" s="120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20" t="e">
        <f t="shared" si="22"/>
        <v>#NUM!</v>
      </c>
    </row>
    <row r="329" spans="10:10" x14ac:dyDescent="0.25">
      <c r="J329" s="120" t="e">
        <f t="shared" si="22"/>
        <v>#NUM!</v>
      </c>
    </row>
    <row r="330" spans="10:10" x14ac:dyDescent="0.25">
      <c r="J330" s="120" t="e">
        <f t="shared" si="22"/>
        <v>#NUM!</v>
      </c>
    </row>
    <row r="331" spans="10:10" x14ac:dyDescent="0.25">
      <c r="J331" s="120" t="e">
        <f t="shared" si="22"/>
        <v>#NUM!</v>
      </c>
    </row>
    <row r="332" spans="10:10" x14ac:dyDescent="0.25">
      <c r="J332" s="120" t="e">
        <f t="shared" si="22"/>
        <v>#NUM!</v>
      </c>
    </row>
    <row r="333" spans="10:10" x14ac:dyDescent="0.25">
      <c r="J333" s="120" t="e">
        <f t="shared" si="22"/>
        <v>#NUM!</v>
      </c>
    </row>
    <row r="334" spans="10:10" x14ac:dyDescent="0.25">
      <c r="J334" s="120" t="e">
        <f t="shared" si="22"/>
        <v>#NUM!</v>
      </c>
    </row>
    <row r="335" spans="10:10" x14ac:dyDescent="0.25">
      <c r="J335" s="120" t="e">
        <f t="shared" si="22"/>
        <v>#NUM!</v>
      </c>
    </row>
    <row r="336" spans="10:10" x14ac:dyDescent="0.25">
      <c r="J336" s="120" t="e">
        <f t="shared" si="22"/>
        <v>#NUM!</v>
      </c>
    </row>
    <row r="337" spans="10:10" x14ac:dyDescent="0.25">
      <c r="J337" s="120" t="e">
        <f t="shared" si="22"/>
        <v>#NUM!</v>
      </c>
    </row>
    <row r="338" spans="10:10" x14ac:dyDescent="0.25">
      <c r="J338" s="120" t="e">
        <f t="shared" si="22"/>
        <v>#NUM!</v>
      </c>
    </row>
    <row r="339" spans="10:10" x14ac:dyDescent="0.25">
      <c r="J339" s="120" t="e">
        <f t="shared" si="22"/>
        <v>#NUM!</v>
      </c>
    </row>
    <row r="340" spans="10:10" x14ac:dyDescent="0.25">
      <c r="J340" s="120" t="e">
        <f t="shared" si="22"/>
        <v>#NUM!</v>
      </c>
    </row>
    <row r="341" spans="10:10" x14ac:dyDescent="0.25">
      <c r="J341" s="120" t="e">
        <f t="shared" si="22"/>
        <v>#NUM!</v>
      </c>
    </row>
    <row r="342" spans="10:10" x14ac:dyDescent="0.25">
      <c r="J342" s="120" t="e">
        <f t="shared" si="22"/>
        <v>#NUM!</v>
      </c>
    </row>
    <row r="343" spans="10:10" x14ac:dyDescent="0.25">
      <c r="J343" s="120" t="e">
        <f t="shared" si="22"/>
        <v>#NUM!</v>
      </c>
    </row>
    <row r="344" spans="10:10" x14ac:dyDescent="0.25">
      <c r="J344" s="120" t="e">
        <f t="shared" si="22"/>
        <v>#NUM!</v>
      </c>
    </row>
    <row r="345" spans="10:10" x14ac:dyDescent="0.25">
      <c r="J345" s="120" t="e">
        <f t="shared" si="22"/>
        <v>#NUM!</v>
      </c>
    </row>
    <row r="346" spans="10:10" x14ac:dyDescent="0.25">
      <c r="J346" s="120" t="e">
        <f t="shared" si="22"/>
        <v>#NUM!</v>
      </c>
    </row>
    <row r="347" spans="10:10" x14ac:dyDescent="0.25">
      <c r="J347" s="120" t="e">
        <f t="shared" si="22"/>
        <v>#NUM!</v>
      </c>
    </row>
    <row r="348" spans="10:10" x14ac:dyDescent="0.25">
      <c r="J348" s="120" t="e">
        <f t="shared" si="22"/>
        <v>#NUM!</v>
      </c>
    </row>
    <row r="349" spans="10:10" x14ac:dyDescent="0.25">
      <c r="J349" s="120" t="e">
        <f t="shared" si="22"/>
        <v>#NUM!</v>
      </c>
    </row>
    <row r="350" spans="10:10" x14ac:dyDescent="0.25">
      <c r="J350" s="120" t="e">
        <f t="shared" si="22"/>
        <v>#NUM!</v>
      </c>
    </row>
    <row r="351" spans="10:10" x14ac:dyDescent="0.25">
      <c r="J351" s="120" t="e">
        <f t="shared" si="22"/>
        <v>#NUM!</v>
      </c>
    </row>
    <row r="352" spans="10:10" x14ac:dyDescent="0.25">
      <c r="J352" s="120" t="e">
        <f t="shared" si="22"/>
        <v>#NUM!</v>
      </c>
    </row>
    <row r="353" spans="10:10" x14ac:dyDescent="0.25">
      <c r="J353" s="120" t="e">
        <f t="shared" si="22"/>
        <v>#NUM!</v>
      </c>
    </row>
    <row r="354" spans="10:10" x14ac:dyDescent="0.25">
      <c r="J354" s="120" t="e">
        <f t="shared" si="22"/>
        <v>#NUM!</v>
      </c>
    </row>
    <row r="355" spans="10:10" x14ac:dyDescent="0.25">
      <c r="J355" s="120" t="e">
        <f t="shared" si="22"/>
        <v>#NUM!</v>
      </c>
    </row>
    <row r="356" spans="10:10" x14ac:dyDescent="0.25">
      <c r="J356" s="120" t="e">
        <f t="shared" si="22"/>
        <v>#NUM!</v>
      </c>
    </row>
    <row r="357" spans="10:10" x14ac:dyDescent="0.25">
      <c r="J357" s="120" t="e">
        <f t="shared" si="22"/>
        <v>#NUM!</v>
      </c>
    </row>
    <row r="358" spans="10:10" x14ac:dyDescent="0.25">
      <c r="J358" s="120" t="e">
        <f t="shared" si="22"/>
        <v>#NUM!</v>
      </c>
    </row>
    <row r="359" spans="10:10" x14ac:dyDescent="0.25">
      <c r="J359" s="120" t="e">
        <f t="shared" si="22"/>
        <v>#NUM!</v>
      </c>
    </row>
    <row r="360" spans="10:10" x14ac:dyDescent="0.25">
      <c r="J360" s="120" t="e">
        <f t="shared" si="22"/>
        <v>#NUM!</v>
      </c>
    </row>
    <row r="361" spans="10:10" x14ac:dyDescent="0.25">
      <c r="J361" s="120" t="e">
        <f t="shared" si="22"/>
        <v>#NUM!</v>
      </c>
    </row>
    <row r="362" spans="10:10" x14ac:dyDescent="0.25">
      <c r="J362" s="120" t="e">
        <f t="shared" si="22"/>
        <v>#NUM!</v>
      </c>
    </row>
    <row r="363" spans="10:10" x14ac:dyDescent="0.25">
      <c r="J363" s="120" t="e">
        <f t="shared" si="22"/>
        <v>#NUM!</v>
      </c>
    </row>
    <row r="364" spans="10:10" x14ac:dyDescent="0.25">
      <c r="J364" s="120" t="e">
        <f t="shared" si="22"/>
        <v>#NUM!</v>
      </c>
    </row>
    <row r="365" spans="10:10" x14ac:dyDescent="0.25">
      <c r="J365" s="120" t="e">
        <f t="shared" si="22"/>
        <v>#NUM!</v>
      </c>
    </row>
    <row r="366" spans="10:10" x14ac:dyDescent="0.25">
      <c r="J366" s="120" t="e">
        <f t="shared" si="22"/>
        <v>#NUM!</v>
      </c>
    </row>
    <row r="367" spans="10:10" x14ac:dyDescent="0.25">
      <c r="J367" s="120" t="e">
        <f t="shared" si="22"/>
        <v>#NUM!</v>
      </c>
    </row>
    <row r="368" spans="10:10" x14ac:dyDescent="0.25">
      <c r="J368" s="120" t="e">
        <f t="shared" si="22"/>
        <v>#NUM!</v>
      </c>
    </row>
    <row r="369" spans="10:10" x14ac:dyDescent="0.25">
      <c r="J369" s="120" t="e">
        <f t="shared" si="22"/>
        <v>#NUM!</v>
      </c>
    </row>
    <row r="370" spans="10:10" x14ac:dyDescent="0.25">
      <c r="J370" s="120" t="e">
        <f t="shared" si="22"/>
        <v>#NUM!</v>
      </c>
    </row>
    <row r="371" spans="10:10" x14ac:dyDescent="0.25">
      <c r="J371" s="120" t="e">
        <f t="shared" si="22"/>
        <v>#NUM!</v>
      </c>
    </row>
    <row r="372" spans="10:10" x14ac:dyDescent="0.25">
      <c r="J372" s="120" t="e">
        <f t="shared" si="22"/>
        <v>#NUM!</v>
      </c>
    </row>
    <row r="373" spans="10:10" x14ac:dyDescent="0.25">
      <c r="J373" s="120" t="e">
        <f t="shared" si="22"/>
        <v>#NUM!</v>
      </c>
    </row>
    <row r="374" spans="10:10" x14ac:dyDescent="0.25">
      <c r="J374" s="120" t="e">
        <f t="shared" si="22"/>
        <v>#NUM!</v>
      </c>
    </row>
  </sheetData>
  <conditionalFormatting sqref="J9:K305">
    <cfRule type="cellIs" dxfId="10" priority="1" operator="lessThanOrEqual">
      <formula>0</formula>
    </cfRule>
  </conditionalFormatting>
  <hyperlinks>
    <hyperlink ref="C2" r:id="rId1" xr:uid="{70DFCD6E-41A0-41D2-BE83-5F0977BD7363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99B1-204B-47A2-9715-77AECF3B3751}">
  <sheetPr>
    <tabColor rgb="FF92D050"/>
  </sheetPr>
  <dimension ref="A1:AL317"/>
  <sheetViews>
    <sheetView workbookViewId="0">
      <selection activeCell="D17" sqref="D17"/>
    </sheetView>
  </sheetViews>
  <sheetFormatPr defaultColWidth="8.85546875" defaultRowHeight="15" x14ac:dyDescent="0.25"/>
  <cols>
    <col min="1" max="1" width="8" style="118" customWidth="1"/>
    <col min="2" max="2" width="8.28515625" style="118" customWidth="1"/>
    <col min="3" max="3" width="34.7109375" style="118" customWidth="1"/>
    <col min="4" max="4" width="43.7109375" style="118" customWidth="1"/>
    <col min="5" max="6" width="8.85546875" style="118"/>
    <col min="7" max="7" width="0.85546875" style="118" customWidth="1"/>
    <col min="8" max="8" width="8.85546875" style="120"/>
    <col min="9" max="9" width="11" style="120" customWidth="1"/>
    <col min="10" max="10" width="15.28515625" style="120" customWidth="1"/>
    <col min="11" max="11" width="8.7109375" style="120" customWidth="1"/>
    <col min="12" max="12" width="11" style="120" customWidth="1"/>
    <col min="13" max="13" width="12.28515625" style="121" customWidth="1"/>
    <col min="14" max="15" width="13.85546875" style="84" customWidth="1"/>
    <col min="16" max="18" width="8.85546875" style="84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18"/>
  </cols>
  <sheetData>
    <row r="1" spans="1:36" x14ac:dyDescent="0.25">
      <c r="A1" s="84"/>
      <c r="B1" s="84"/>
      <c r="C1" s="84"/>
      <c r="D1" s="84"/>
      <c r="E1" s="84"/>
      <c r="F1" s="84"/>
      <c r="G1" s="84"/>
      <c r="H1" s="85" t="s">
        <v>26</v>
      </c>
      <c r="I1" s="86" t="s">
        <v>27</v>
      </c>
      <c r="J1" s="86" t="s">
        <v>28</v>
      </c>
      <c r="K1" s="87" t="s">
        <v>29</v>
      </c>
      <c r="L1" s="90"/>
      <c r="M1" s="90"/>
    </row>
    <row r="2" spans="1:36" x14ac:dyDescent="0.25">
      <c r="A2" s="84"/>
      <c r="B2" s="24" t="s">
        <v>32</v>
      </c>
      <c r="C2" s="83" t="s">
        <v>96</v>
      </c>
      <c r="D2" s="82"/>
      <c r="E2" s="25"/>
      <c r="F2" s="25"/>
      <c r="G2" s="25"/>
      <c r="H2" s="92">
        <v>5</v>
      </c>
      <c r="I2" s="93">
        <v>50</v>
      </c>
      <c r="J2" s="93">
        <v>10</v>
      </c>
      <c r="K2" s="94">
        <f>3*H2^(1/3)</f>
        <v>5.1299278400300903</v>
      </c>
      <c r="L2" s="90"/>
      <c r="M2" s="90"/>
    </row>
    <row r="3" spans="1:36" x14ac:dyDescent="0.25">
      <c r="A3" s="84"/>
      <c r="B3" s="96" t="s">
        <v>34</v>
      </c>
      <c r="C3" s="83" t="s">
        <v>97</v>
      </c>
      <c r="D3" s="83"/>
      <c r="E3" s="30"/>
      <c r="F3" s="30"/>
      <c r="G3" s="30"/>
      <c r="H3" s="90"/>
      <c r="I3" s="90"/>
      <c r="J3" s="97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7"/>
      <c r="K4" s="90"/>
      <c r="L4" s="90"/>
      <c r="M4" s="90"/>
    </row>
    <row r="5" spans="1:36" ht="36" x14ac:dyDescent="0.25">
      <c r="A5" s="1" t="s">
        <v>36</v>
      </c>
      <c r="B5" s="33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32"/>
      <c r="H5" s="98" t="s">
        <v>42</v>
      </c>
      <c r="I5" s="99" t="s">
        <v>43</v>
      </c>
      <c r="J5" s="100" t="s">
        <v>44</v>
      </c>
      <c r="K5" s="99" t="s">
        <v>45</v>
      </c>
      <c r="L5" s="99" t="s">
        <v>46</v>
      </c>
      <c r="M5" s="98" t="s">
        <v>47</v>
      </c>
    </row>
    <row r="6" spans="1:36" ht="14.45" customHeight="1" x14ac:dyDescent="0.25">
      <c r="A6" s="137">
        <f>M6</f>
        <v>95.389783520090276</v>
      </c>
      <c r="B6" s="38">
        <f t="shared" ref="B6:B13" si="0">IF(H6&gt;$H$2,"",(ROW()-5))</f>
        <v>1</v>
      </c>
      <c r="C6" s="39" t="s">
        <v>54</v>
      </c>
      <c r="D6" s="39"/>
      <c r="E6" s="39"/>
      <c r="F6" s="39"/>
      <c r="G6" s="32"/>
      <c r="H6" s="101">
        <v>1</v>
      </c>
      <c r="I6" s="102">
        <f t="shared" ref="I6:I69" si="1">IF(H6&lt;$H$2+1,($I$2-($I$2-1)*(LOG(H6)/LOG($H$2))),"")</f>
        <v>50</v>
      </c>
      <c r="J6" s="101">
        <f>INT(LOG($H$2,2))-ROUNDUP(LOG(H6,2),0)+IF(OR($H$2=1,$H$2=2,$H$2=4,$H$2=8,$H$2=16,$H$2=32,$H$2=64,$H$2=128,$H$2=256),0,1)</f>
        <v>3</v>
      </c>
      <c r="K6" s="101">
        <f t="shared" ref="K6:K69" si="2">J6*$J$2</f>
        <v>30</v>
      </c>
      <c r="L6" s="103">
        <f>3*K2</f>
        <v>15.389783520090271</v>
      </c>
      <c r="M6" s="103">
        <f t="shared" ref="M6:M69" si="3">IF(I6&lt;&gt;"",K6+I6+L6,0)</f>
        <v>95.389783520090276</v>
      </c>
    </row>
    <row r="7" spans="1:36" ht="14.45" customHeight="1" x14ac:dyDescent="0.25">
      <c r="A7" s="138">
        <f t="shared" ref="A7:A37" si="4">M7</f>
        <v>59.156704334463925</v>
      </c>
      <c r="B7" s="44">
        <f t="shared" si="0"/>
        <v>2</v>
      </c>
      <c r="C7" s="45" t="s">
        <v>54</v>
      </c>
      <c r="D7" s="45"/>
      <c r="E7" s="45"/>
      <c r="F7" s="45"/>
      <c r="G7" s="32"/>
      <c r="H7" s="104">
        <v>2</v>
      </c>
      <c r="I7" s="105">
        <f t="shared" si="1"/>
        <v>28.896848654403744</v>
      </c>
      <c r="J7" s="104">
        <f t="shared" ref="J7:J70" si="5">INT(LOG($H$2,2))-ROUNDUP(LOG(H7,2),0)+IF(OR($H$2=1,$H$2=2,$H$2=4,$H$2=8,$H$2=16,$H$2=32,$H$2=64,$H$2=128,$H$2=256),0,1)</f>
        <v>2</v>
      </c>
      <c r="K7" s="104">
        <f t="shared" si="2"/>
        <v>20</v>
      </c>
      <c r="L7" s="106">
        <f>2*K2</f>
        <v>10.259855680060181</v>
      </c>
      <c r="M7" s="106">
        <f t="shared" si="3"/>
        <v>59.156704334463925</v>
      </c>
    </row>
    <row r="8" spans="1:36" ht="14.45" customHeight="1" x14ac:dyDescent="0.25">
      <c r="A8" s="137">
        <f t="shared" si="4"/>
        <v>31.682224310216817</v>
      </c>
      <c r="B8" s="38">
        <f t="shared" si="0"/>
        <v>3</v>
      </c>
      <c r="C8" s="39" t="s">
        <v>17</v>
      </c>
      <c r="D8" s="39"/>
      <c r="E8" s="39"/>
      <c r="F8" s="39"/>
      <c r="G8" s="32"/>
      <c r="H8" s="101">
        <v>3</v>
      </c>
      <c r="I8" s="102">
        <f t="shared" si="1"/>
        <v>16.552296470186725</v>
      </c>
      <c r="J8" s="101">
        <f t="shared" si="5"/>
        <v>1</v>
      </c>
      <c r="K8" s="101">
        <f t="shared" si="2"/>
        <v>10</v>
      </c>
      <c r="L8" s="103">
        <f>K2</f>
        <v>5.1299278400300903</v>
      </c>
      <c r="M8" s="103">
        <f t="shared" si="3"/>
        <v>31.682224310216817</v>
      </c>
    </row>
    <row r="9" spans="1:36" s="91" customFormat="1" ht="14.45" customHeight="1" x14ac:dyDescent="0.25">
      <c r="A9" s="138">
        <f t="shared" si="4"/>
        <v>31.682224310216817</v>
      </c>
      <c r="B9" s="44">
        <f>IF(H9&gt;$H$2,"",3)</f>
        <v>3</v>
      </c>
      <c r="C9" s="45" t="s">
        <v>16</v>
      </c>
      <c r="D9" s="45"/>
      <c r="E9" s="45"/>
      <c r="F9" s="45"/>
      <c r="G9" s="32"/>
      <c r="H9" s="104">
        <v>3</v>
      </c>
      <c r="I9" s="105">
        <f t="shared" si="1"/>
        <v>16.552296470186725</v>
      </c>
      <c r="J9" s="104">
        <f t="shared" si="5"/>
        <v>1</v>
      </c>
      <c r="K9" s="104">
        <f t="shared" si="2"/>
        <v>10</v>
      </c>
      <c r="L9" s="106">
        <f>K2</f>
        <v>5.1299278400300903</v>
      </c>
      <c r="M9" s="106">
        <f t="shared" si="3"/>
        <v>31.682224310216817</v>
      </c>
      <c r="N9" s="84"/>
      <c r="O9" s="84"/>
      <c r="P9" s="84"/>
      <c r="Q9" s="84"/>
      <c r="R9" s="84"/>
      <c r="V9" s="107"/>
      <c r="Z9" s="108"/>
      <c r="AA9" s="108"/>
      <c r="AG9" s="109"/>
      <c r="AH9" s="91" t="s">
        <v>54</v>
      </c>
      <c r="AI9" s="91">
        <v>23</v>
      </c>
    </row>
    <row r="10" spans="1:36" ht="14.45" customHeight="1" x14ac:dyDescent="0.25">
      <c r="A10" s="137">
        <f t="shared" si="4"/>
        <v>1</v>
      </c>
      <c r="B10" s="38">
        <f t="shared" si="0"/>
        <v>5</v>
      </c>
      <c r="C10" s="39" t="s">
        <v>20</v>
      </c>
      <c r="D10" s="39"/>
      <c r="E10" s="39"/>
      <c r="F10" s="39"/>
      <c r="G10" s="32"/>
      <c r="H10" s="101">
        <v>5</v>
      </c>
      <c r="I10" s="102">
        <f t="shared" si="1"/>
        <v>1</v>
      </c>
      <c r="J10" s="101">
        <f t="shared" si="5"/>
        <v>0</v>
      </c>
      <c r="K10" s="101">
        <f t="shared" si="2"/>
        <v>0</v>
      </c>
      <c r="L10" s="101"/>
      <c r="M10" s="103">
        <f t="shared" si="3"/>
        <v>1</v>
      </c>
      <c r="V10" s="107"/>
      <c r="Z10" s="108"/>
      <c r="AA10" s="108"/>
      <c r="AG10" s="109"/>
      <c r="AH10" s="91" t="s">
        <v>55</v>
      </c>
      <c r="AI10" s="91">
        <v>45</v>
      </c>
    </row>
    <row r="11" spans="1:36" ht="14.45" customHeight="1" x14ac:dyDescent="0.25">
      <c r="A11" s="138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4">
        <v>6</v>
      </c>
      <c r="I11" s="105" t="str">
        <f t="shared" si="1"/>
        <v/>
      </c>
      <c r="J11" s="104">
        <f t="shared" si="5"/>
        <v>0</v>
      </c>
      <c r="K11" s="104">
        <f t="shared" si="2"/>
        <v>0</v>
      </c>
      <c r="L11" s="104"/>
      <c r="M11" s="106">
        <f t="shared" si="3"/>
        <v>0</v>
      </c>
      <c r="V11" s="110"/>
      <c r="Z11" s="108"/>
      <c r="AA11" s="108"/>
      <c r="AG11" s="109"/>
      <c r="AH11" s="91" t="s">
        <v>56</v>
      </c>
      <c r="AI11" s="91">
        <v>50</v>
      </c>
    </row>
    <row r="12" spans="1:36" ht="14.45" customHeight="1" x14ac:dyDescent="0.25">
      <c r="A12" s="137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101">
        <v>7</v>
      </c>
      <c r="I12" s="102" t="str">
        <f t="shared" si="1"/>
        <v/>
      </c>
      <c r="J12" s="101">
        <f t="shared" si="5"/>
        <v>0</v>
      </c>
      <c r="K12" s="101">
        <f t="shared" si="2"/>
        <v>0</v>
      </c>
      <c r="L12" s="101"/>
      <c r="M12" s="103">
        <f t="shared" si="3"/>
        <v>0</v>
      </c>
      <c r="Z12" s="108"/>
      <c r="AA12" s="108"/>
      <c r="AG12" s="109"/>
      <c r="AH12" s="91" t="s">
        <v>57</v>
      </c>
      <c r="AI12" s="91">
        <f>AI11-1</f>
        <v>49</v>
      </c>
    </row>
    <row r="13" spans="1:36" ht="14.45" customHeight="1" x14ac:dyDescent="0.25">
      <c r="A13" s="138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4">
        <v>8</v>
      </c>
      <c r="I13" s="105" t="str">
        <f t="shared" si="1"/>
        <v/>
      </c>
      <c r="J13" s="104">
        <f t="shared" si="5"/>
        <v>0</v>
      </c>
      <c r="K13" s="104">
        <f t="shared" si="2"/>
        <v>0</v>
      </c>
      <c r="L13" s="104"/>
      <c r="M13" s="106">
        <f t="shared" si="3"/>
        <v>0</v>
      </c>
      <c r="X13" s="107"/>
      <c r="AG13" s="109"/>
      <c r="AH13" s="91" t="s">
        <v>58</v>
      </c>
      <c r="AI13" s="91">
        <f>LOG(AI9)</f>
        <v>1.3617278360175928</v>
      </c>
    </row>
    <row r="14" spans="1:36" x14ac:dyDescent="0.25">
      <c r="A14" s="137">
        <f t="shared" si="4"/>
        <v>0</v>
      </c>
      <c r="B14" s="38"/>
      <c r="C14" s="78"/>
      <c r="D14" s="39"/>
      <c r="E14" s="39"/>
      <c r="F14" s="39"/>
      <c r="G14" s="32"/>
      <c r="H14" s="101">
        <v>9</v>
      </c>
      <c r="I14" s="102" t="str">
        <f t="shared" si="1"/>
        <v/>
      </c>
      <c r="J14" s="101">
        <f t="shared" si="5"/>
        <v>-1</v>
      </c>
      <c r="K14" s="101">
        <f t="shared" si="2"/>
        <v>-10</v>
      </c>
      <c r="L14" s="101"/>
      <c r="M14" s="103">
        <f t="shared" si="3"/>
        <v>0</v>
      </c>
      <c r="X14" s="111"/>
      <c r="Z14" s="108"/>
      <c r="AA14" s="108"/>
      <c r="AG14" s="109"/>
      <c r="AH14" s="91" t="s">
        <v>59</v>
      </c>
      <c r="AI14" s="91">
        <f>LOG(AI10)</f>
        <v>1.6532125137753437</v>
      </c>
    </row>
    <row r="15" spans="1:36" x14ac:dyDescent="0.25">
      <c r="A15" s="138">
        <f t="shared" si="4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104">
        <v>10</v>
      </c>
      <c r="I15" s="105" t="str">
        <f t="shared" si="1"/>
        <v/>
      </c>
      <c r="J15" s="104">
        <f t="shared" si="5"/>
        <v>-1</v>
      </c>
      <c r="K15" s="104">
        <f t="shared" si="2"/>
        <v>-10</v>
      </c>
      <c r="L15" s="104"/>
      <c r="M15" s="106">
        <f t="shared" si="3"/>
        <v>0</v>
      </c>
      <c r="X15" s="107"/>
      <c r="Z15" s="108"/>
      <c r="AA15" s="108"/>
    </row>
    <row r="16" spans="1:36" x14ac:dyDescent="0.25">
      <c r="A16" s="137">
        <f t="shared" si="4"/>
        <v>0</v>
      </c>
      <c r="B16" s="38" t="str">
        <f t="shared" si="6"/>
        <v/>
      </c>
      <c r="C16" s="39"/>
      <c r="D16" s="39"/>
      <c r="E16" s="39"/>
      <c r="F16" s="39"/>
      <c r="G16" s="32"/>
      <c r="H16" s="101">
        <v>11</v>
      </c>
      <c r="I16" s="102" t="str">
        <f t="shared" si="1"/>
        <v/>
      </c>
      <c r="J16" s="101">
        <f t="shared" si="5"/>
        <v>-1</v>
      </c>
      <c r="K16" s="101">
        <f t="shared" si="2"/>
        <v>-10</v>
      </c>
      <c r="L16" s="101"/>
      <c r="M16" s="103">
        <f t="shared" si="3"/>
        <v>0</v>
      </c>
      <c r="R16" s="112"/>
      <c r="Z16" s="108"/>
      <c r="AA16" s="108"/>
      <c r="AH16" s="113" t="s">
        <v>60</v>
      </c>
      <c r="AI16" s="91">
        <f>AI11-AI12*AI13/AI14</f>
        <v>9.6393909380186855</v>
      </c>
      <c r="AJ16" s="91" t="s">
        <v>61</v>
      </c>
    </row>
    <row r="17" spans="1:19" x14ac:dyDescent="0.25">
      <c r="A17" s="138">
        <f t="shared" si="4"/>
        <v>0</v>
      </c>
      <c r="B17" s="44" t="str">
        <f t="shared" si="6"/>
        <v/>
      </c>
      <c r="C17" s="45"/>
      <c r="D17" s="45"/>
      <c r="E17" s="45"/>
      <c r="F17" s="45"/>
      <c r="G17" s="32"/>
      <c r="H17" s="104">
        <v>12</v>
      </c>
      <c r="I17" s="105" t="str">
        <f t="shared" si="1"/>
        <v/>
      </c>
      <c r="J17" s="104">
        <f t="shared" si="5"/>
        <v>-1</v>
      </c>
      <c r="K17" s="104">
        <f t="shared" si="2"/>
        <v>-10</v>
      </c>
      <c r="L17" s="104"/>
      <c r="M17" s="106">
        <f t="shared" si="3"/>
        <v>0</v>
      </c>
    </row>
    <row r="18" spans="1:19" x14ac:dyDescent="0.25">
      <c r="A18" s="137">
        <f t="shared" si="4"/>
        <v>0</v>
      </c>
      <c r="B18" s="38" t="str">
        <f t="shared" si="6"/>
        <v/>
      </c>
      <c r="C18" s="39"/>
      <c r="D18" s="39"/>
      <c r="E18" s="39"/>
      <c r="F18" s="39"/>
      <c r="G18" s="32"/>
      <c r="H18" s="101">
        <v>13</v>
      </c>
      <c r="I18" s="102" t="str">
        <f t="shared" si="1"/>
        <v/>
      </c>
      <c r="J18" s="101">
        <f t="shared" si="5"/>
        <v>-1</v>
      </c>
      <c r="K18" s="101">
        <f t="shared" si="2"/>
        <v>-10</v>
      </c>
      <c r="L18" s="101"/>
      <c r="M18" s="103">
        <f t="shared" si="3"/>
        <v>0</v>
      </c>
    </row>
    <row r="19" spans="1:19" x14ac:dyDescent="0.25">
      <c r="A19" s="138">
        <f t="shared" si="4"/>
        <v>0</v>
      </c>
      <c r="B19" s="44" t="str">
        <f t="shared" si="6"/>
        <v/>
      </c>
      <c r="C19" s="45"/>
      <c r="D19" s="45"/>
      <c r="E19" s="45"/>
      <c r="F19" s="45"/>
      <c r="G19" s="32"/>
      <c r="H19" s="104">
        <v>14</v>
      </c>
      <c r="I19" s="105" t="str">
        <f t="shared" si="1"/>
        <v/>
      </c>
      <c r="J19" s="104">
        <f t="shared" si="5"/>
        <v>-1</v>
      </c>
      <c r="K19" s="104">
        <f t="shared" si="2"/>
        <v>-10</v>
      </c>
      <c r="L19" s="104"/>
      <c r="M19" s="106">
        <f t="shared" si="3"/>
        <v>0</v>
      </c>
    </row>
    <row r="20" spans="1:19" x14ac:dyDescent="0.25">
      <c r="A20" s="137">
        <f t="shared" si="4"/>
        <v>0</v>
      </c>
      <c r="B20" s="38" t="str">
        <f t="shared" si="6"/>
        <v/>
      </c>
      <c r="C20" s="39"/>
      <c r="D20" s="39"/>
      <c r="E20" s="39"/>
      <c r="F20" s="39"/>
      <c r="G20" s="32"/>
      <c r="H20" s="101">
        <v>15</v>
      </c>
      <c r="I20" s="102" t="str">
        <f t="shared" si="1"/>
        <v/>
      </c>
      <c r="J20" s="101">
        <f t="shared" si="5"/>
        <v>-1</v>
      </c>
      <c r="K20" s="101">
        <f t="shared" si="2"/>
        <v>-10</v>
      </c>
      <c r="L20" s="101"/>
      <c r="M20" s="103">
        <f t="shared" si="3"/>
        <v>0</v>
      </c>
      <c r="R20" s="114"/>
      <c r="S20" s="115"/>
    </row>
    <row r="21" spans="1:19" x14ac:dyDescent="0.25">
      <c r="A21" s="138">
        <f t="shared" si="4"/>
        <v>0</v>
      </c>
      <c r="B21" s="44" t="str">
        <f t="shared" si="6"/>
        <v/>
      </c>
      <c r="C21" s="45"/>
      <c r="D21" s="45"/>
      <c r="E21" s="45"/>
      <c r="F21" s="45"/>
      <c r="G21" s="32"/>
      <c r="H21" s="104">
        <v>16</v>
      </c>
      <c r="I21" s="105" t="str">
        <f t="shared" si="1"/>
        <v/>
      </c>
      <c r="J21" s="104">
        <f t="shared" si="5"/>
        <v>-1</v>
      </c>
      <c r="K21" s="104">
        <f t="shared" si="2"/>
        <v>-10</v>
      </c>
      <c r="L21" s="104"/>
      <c r="M21" s="106">
        <f t="shared" si="3"/>
        <v>0</v>
      </c>
    </row>
    <row r="22" spans="1:19" x14ac:dyDescent="0.25">
      <c r="A22" s="137">
        <f t="shared" si="4"/>
        <v>0</v>
      </c>
      <c r="B22" s="38" t="str">
        <f t="shared" si="6"/>
        <v/>
      </c>
      <c r="C22" s="39"/>
      <c r="D22" s="39"/>
      <c r="E22" s="39"/>
      <c r="F22" s="39"/>
      <c r="G22" s="32"/>
      <c r="H22" s="101">
        <v>17</v>
      </c>
      <c r="I22" s="102" t="str">
        <f t="shared" si="1"/>
        <v/>
      </c>
      <c r="J22" s="101">
        <f t="shared" si="5"/>
        <v>-2</v>
      </c>
      <c r="K22" s="101">
        <f t="shared" si="2"/>
        <v>-20</v>
      </c>
      <c r="L22" s="101"/>
      <c r="M22" s="103">
        <f t="shared" si="3"/>
        <v>0</v>
      </c>
    </row>
    <row r="23" spans="1:19" x14ac:dyDescent="0.25">
      <c r="A23" s="138">
        <f t="shared" si="4"/>
        <v>0</v>
      </c>
      <c r="B23" s="44" t="str">
        <f t="shared" si="6"/>
        <v/>
      </c>
      <c r="C23" s="45"/>
      <c r="D23" s="45"/>
      <c r="E23" s="45"/>
      <c r="F23" s="45"/>
      <c r="G23" s="32"/>
      <c r="H23" s="104">
        <v>18</v>
      </c>
      <c r="I23" s="105" t="str">
        <f t="shared" si="1"/>
        <v/>
      </c>
      <c r="J23" s="104">
        <f t="shared" si="5"/>
        <v>-2</v>
      </c>
      <c r="K23" s="104">
        <f t="shared" si="2"/>
        <v>-20</v>
      </c>
      <c r="L23" s="104"/>
      <c r="M23" s="106">
        <f t="shared" si="3"/>
        <v>0</v>
      </c>
    </row>
    <row r="24" spans="1:19" x14ac:dyDescent="0.25">
      <c r="A24" s="137">
        <f t="shared" si="4"/>
        <v>0</v>
      </c>
      <c r="B24" s="38" t="str">
        <f t="shared" si="6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1">
        <f t="shared" si="5"/>
        <v>-2</v>
      </c>
      <c r="K24" s="101">
        <f t="shared" si="2"/>
        <v>-20</v>
      </c>
      <c r="L24" s="101"/>
      <c r="M24" s="103">
        <f t="shared" si="3"/>
        <v>0</v>
      </c>
      <c r="R24" s="114"/>
      <c r="S24" s="115"/>
    </row>
    <row r="25" spans="1:19" x14ac:dyDescent="0.25">
      <c r="A25" s="138">
        <f t="shared" si="4"/>
        <v>0</v>
      </c>
      <c r="B25" s="44" t="str">
        <f t="shared" si="6"/>
        <v/>
      </c>
      <c r="C25" s="45"/>
      <c r="D25" s="45"/>
      <c r="E25" s="45"/>
      <c r="F25" s="45"/>
      <c r="G25" s="32"/>
      <c r="H25" s="104">
        <v>20</v>
      </c>
      <c r="I25" s="105" t="str">
        <f t="shared" si="1"/>
        <v/>
      </c>
      <c r="J25" s="104">
        <f t="shared" si="5"/>
        <v>-2</v>
      </c>
      <c r="K25" s="104">
        <f t="shared" si="2"/>
        <v>-20</v>
      </c>
      <c r="L25" s="104"/>
      <c r="M25" s="106">
        <f t="shared" si="3"/>
        <v>0</v>
      </c>
    </row>
    <row r="26" spans="1:19" x14ac:dyDescent="0.25">
      <c r="A26" s="137">
        <f t="shared" si="4"/>
        <v>0</v>
      </c>
      <c r="B26" s="38" t="str">
        <f t="shared" si="6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1">
        <f t="shared" si="5"/>
        <v>-2</v>
      </c>
      <c r="K26" s="101">
        <f t="shared" si="2"/>
        <v>-20</v>
      </c>
      <c r="L26" s="101"/>
      <c r="M26" s="103">
        <f t="shared" si="3"/>
        <v>0</v>
      </c>
    </row>
    <row r="27" spans="1:19" x14ac:dyDescent="0.25">
      <c r="A27" s="138">
        <f t="shared" si="4"/>
        <v>0</v>
      </c>
      <c r="B27" s="44" t="str">
        <f t="shared" si="6"/>
        <v/>
      </c>
      <c r="C27" s="45"/>
      <c r="D27" s="45"/>
      <c r="E27" s="45"/>
      <c r="F27" s="45"/>
      <c r="G27" s="32"/>
      <c r="H27" s="104">
        <v>22</v>
      </c>
      <c r="I27" s="105" t="str">
        <f t="shared" si="1"/>
        <v/>
      </c>
      <c r="J27" s="104">
        <f t="shared" si="5"/>
        <v>-2</v>
      </c>
      <c r="K27" s="104">
        <f t="shared" si="2"/>
        <v>-20</v>
      </c>
      <c r="L27" s="104"/>
      <c r="M27" s="106">
        <f t="shared" si="3"/>
        <v>0</v>
      </c>
    </row>
    <row r="28" spans="1:19" x14ac:dyDescent="0.25">
      <c r="A28" s="137">
        <f t="shared" si="4"/>
        <v>0</v>
      </c>
      <c r="B28" s="38" t="str">
        <f t="shared" si="6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1">
        <f t="shared" si="5"/>
        <v>-2</v>
      </c>
      <c r="K28" s="101">
        <f t="shared" si="2"/>
        <v>-20</v>
      </c>
      <c r="L28" s="101"/>
      <c r="M28" s="103">
        <f t="shared" si="3"/>
        <v>0</v>
      </c>
      <c r="R28" s="114"/>
      <c r="S28" s="115"/>
    </row>
    <row r="29" spans="1:19" x14ac:dyDescent="0.25">
      <c r="A29" s="138">
        <f t="shared" si="4"/>
        <v>0</v>
      </c>
      <c r="B29" s="44" t="str">
        <f t="shared" si="6"/>
        <v/>
      </c>
      <c r="C29" s="45"/>
      <c r="D29" s="45"/>
      <c r="E29" s="45"/>
      <c r="F29" s="45"/>
      <c r="G29" s="84"/>
      <c r="H29" s="104">
        <v>24</v>
      </c>
      <c r="I29" s="105" t="str">
        <f t="shared" si="1"/>
        <v/>
      </c>
      <c r="J29" s="104">
        <f t="shared" si="5"/>
        <v>-2</v>
      </c>
      <c r="K29" s="104">
        <f t="shared" si="2"/>
        <v>-20</v>
      </c>
      <c r="L29" s="104"/>
      <c r="M29" s="106">
        <f t="shared" si="3"/>
        <v>0</v>
      </c>
    </row>
    <row r="30" spans="1:19" x14ac:dyDescent="0.25">
      <c r="A30" s="137">
        <f t="shared" si="4"/>
        <v>0</v>
      </c>
      <c r="B30" s="38" t="str">
        <f t="shared" si="6"/>
        <v/>
      </c>
      <c r="C30" s="39"/>
      <c r="D30" s="39"/>
      <c r="E30" s="39"/>
      <c r="F30" s="39"/>
      <c r="G30" s="84"/>
      <c r="H30" s="101">
        <v>25</v>
      </c>
      <c r="I30" s="102" t="str">
        <f t="shared" si="1"/>
        <v/>
      </c>
      <c r="J30" s="101">
        <f t="shared" si="5"/>
        <v>-2</v>
      </c>
      <c r="K30" s="101">
        <f t="shared" si="2"/>
        <v>-20</v>
      </c>
      <c r="L30" s="101"/>
      <c r="M30" s="103">
        <f t="shared" si="3"/>
        <v>0</v>
      </c>
    </row>
    <row r="31" spans="1:19" x14ac:dyDescent="0.25">
      <c r="A31" s="138">
        <f t="shared" si="4"/>
        <v>0</v>
      </c>
      <c r="B31" s="44" t="str">
        <f t="shared" si="6"/>
        <v/>
      </c>
      <c r="C31" s="45"/>
      <c r="D31" s="45"/>
      <c r="E31" s="45"/>
      <c r="F31" s="45"/>
      <c r="G31" s="84"/>
      <c r="H31" s="104">
        <v>26</v>
      </c>
      <c r="I31" s="105" t="str">
        <f t="shared" si="1"/>
        <v/>
      </c>
      <c r="J31" s="104">
        <f t="shared" si="5"/>
        <v>-2</v>
      </c>
      <c r="K31" s="104">
        <f t="shared" si="2"/>
        <v>-20</v>
      </c>
      <c r="L31" s="104"/>
      <c r="M31" s="106">
        <f t="shared" si="3"/>
        <v>0</v>
      </c>
    </row>
    <row r="32" spans="1:19" x14ac:dyDescent="0.25">
      <c r="A32" s="137">
        <f t="shared" si="4"/>
        <v>0</v>
      </c>
      <c r="B32" s="38" t="str">
        <f t="shared" si="6"/>
        <v/>
      </c>
      <c r="C32" s="39"/>
      <c r="D32" s="39"/>
      <c r="E32" s="39"/>
      <c r="F32" s="39"/>
      <c r="G32" s="84"/>
      <c r="H32" s="101">
        <v>27</v>
      </c>
      <c r="I32" s="102" t="str">
        <f t="shared" si="1"/>
        <v/>
      </c>
      <c r="J32" s="101">
        <f t="shared" si="5"/>
        <v>-2</v>
      </c>
      <c r="K32" s="101">
        <f t="shared" si="2"/>
        <v>-20</v>
      </c>
      <c r="L32" s="101"/>
      <c r="M32" s="103">
        <f t="shared" si="3"/>
        <v>0</v>
      </c>
      <c r="R32" s="114"/>
      <c r="S32" s="115"/>
    </row>
    <row r="33" spans="1:21" x14ac:dyDescent="0.25">
      <c r="A33" s="138">
        <f t="shared" si="4"/>
        <v>0</v>
      </c>
      <c r="B33" s="44" t="str">
        <f t="shared" si="6"/>
        <v/>
      </c>
      <c r="C33" s="45"/>
      <c r="D33" s="45"/>
      <c r="E33" s="45"/>
      <c r="F33" s="45"/>
      <c r="G33" s="84"/>
      <c r="H33" s="104">
        <v>28</v>
      </c>
      <c r="I33" s="105" t="str">
        <f t="shared" si="1"/>
        <v/>
      </c>
      <c r="J33" s="104">
        <f t="shared" si="5"/>
        <v>-2</v>
      </c>
      <c r="K33" s="104">
        <f t="shared" si="2"/>
        <v>-20</v>
      </c>
      <c r="L33" s="104"/>
      <c r="M33" s="106">
        <f t="shared" si="3"/>
        <v>0</v>
      </c>
    </row>
    <row r="34" spans="1:21" x14ac:dyDescent="0.25">
      <c r="A34" s="137">
        <f t="shared" si="4"/>
        <v>0</v>
      </c>
      <c r="B34" s="38" t="str">
        <f t="shared" si="6"/>
        <v/>
      </c>
      <c r="C34" s="39"/>
      <c r="D34" s="39"/>
      <c r="E34" s="39"/>
      <c r="F34" s="39"/>
      <c r="G34" s="84"/>
      <c r="H34" s="101">
        <v>29</v>
      </c>
      <c r="I34" s="102" t="str">
        <f t="shared" si="1"/>
        <v/>
      </c>
      <c r="J34" s="101">
        <f t="shared" si="5"/>
        <v>-2</v>
      </c>
      <c r="K34" s="101">
        <f t="shared" si="2"/>
        <v>-20</v>
      </c>
      <c r="L34" s="101"/>
      <c r="M34" s="103">
        <f t="shared" si="3"/>
        <v>0</v>
      </c>
    </row>
    <row r="35" spans="1:21" x14ac:dyDescent="0.25">
      <c r="A35" s="138">
        <f t="shared" si="4"/>
        <v>0</v>
      </c>
      <c r="B35" s="44" t="str">
        <f t="shared" si="6"/>
        <v/>
      </c>
      <c r="C35" s="45"/>
      <c r="D35" s="45"/>
      <c r="E35" s="45"/>
      <c r="F35" s="45"/>
      <c r="G35" s="84"/>
      <c r="H35" s="104">
        <v>30</v>
      </c>
      <c r="I35" s="105" t="str">
        <f t="shared" si="1"/>
        <v/>
      </c>
      <c r="J35" s="104">
        <f t="shared" si="5"/>
        <v>-2</v>
      </c>
      <c r="K35" s="104">
        <f t="shared" si="2"/>
        <v>-20</v>
      </c>
      <c r="L35" s="104"/>
      <c r="M35" s="106">
        <f t="shared" si="3"/>
        <v>0</v>
      </c>
    </row>
    <row r="36" spans="1:21" x14ac:dyDescent="0.25">
      <c r="A36" s="137">
        <f t="shared" si="4"/>
        <v>0</v>
      </c>
      <c r="B36" s="38" t="str">
        <f t="shared" si="6"/>
        <v/>
      </c>
      <c r="C36" s="39"/>
      <c r="D36" s="39"/>
      <c r="E36" s="39"/>
      <c r="F36" s="39"/>
      <c r="G36" s="84"/>
      <c r="H36" s="101">
        <v>31</v>
      </c>
      <c r="I36" s="102" t="str">
        <f t="shared" si="1"/>
        <v/>
      </c>
      <c r="J36" s="101">
        <f t="shared" si="5"/>
        <v>-2</v>
      </c>
      <c r="K36" s="101">
        <f t="shared" si="2"/>
        <v>-20</v>
      </c>
      <c r="L36" s="101"/>
      <c r="M36" s="103">
        <f t="shared" si="3"/>
        <v>0</v>
      </c>
      <c r="R36" s="114"/>
      <c r="S36" s="115"/>
    </row>
    <row r="37" spans="1:21" x14ac:dyDescent="0.25">
      <c r="A37" s="138">
        <f t="shared" si="4"/>
        <v>0</v>
      </c>
      <c r="B37" s="44" t="str">
        <f t="shared" si="6"/>
        <v/>
      </c>
      <c r="C37" s="45"/>
      <c r="D37" s="45"/>
      <c r="E37" s="45"/>
      <c r="F37" s="45"/>
      <c r="G37" s="84"/>
      <c r="H37" s="104">
        <v>32</v>
      </c>
      <c r="I37" s="105" t="str">
        <f t="shared" si="1"/>
        <v/>
      </c>
      <c r="J37" s="104">
        <f t="shared" si="5"/>
        <v>-2</v>
      </c>
      <c r="K37" s="104">
        <f t="shared" si="2"/>
        <v>-20</v>
      </c>
      <c r="L37" s="104"/>
      <c r="M37" s="106">
        <f t="shared" si="3"/>
        <v>0</v>
      </c>
    </row>
    <row r="38" spans="1:21" x14ac:dyDescent="0.25">
      <c r="A38" s="137"/>
      <c r="B38" s="38" t="str">
        <f t="shared" si="6"/>
        <v/>
      </c>
      <c r="C38" s="39"/>
      <c r="D38" s="39"/>
      <c r="E38" s="39"/>
      <c r="F38" s="39"/>
      <c r="G38" s="84"/>
      <c r="H38" s="101">
        <v>33</v>
      </c>
      <c r="I38" s="102" t="str">
        <f t="shared" si="1"/>
        <v/>
      </c>
      <c r="J38" s="101">
        <f t="shared" si="5"/>
        <v>-3</v>
      </c>
      <c r="K38" s="101">
        <f t="shared" si="2"/>
        <v>-30</v>
      </c>
      <c r="L38" s="101"/>
      <c r="M38" s="103">
        <f t="shared" si="3"/>
        <v>0</v>
      </c>
    </row>
    <row r="39" spans="1:21" x14ac:dyDescent="0.25">
      <c r="A39" s="138"/>
      <c r="B39" s="44" t="str">
        <f t="shared" si="6"/>
        <v/>
      </c>
      <c r="C39" s="45"/>
      <c r="D39" s="45"/>
      <c r="E39" s="45"/>
      <c r="F39" s="45"/>
      <c r="G39" s="84"/>
      <c r="H39" s="104">
        <v>34</v>
      </c>
      <c r="I39" s="105" t="str">
        <f t="shared" si="1"/>
        <v/>
      </c>
      <c r="J39" s="104">
        <f t="shared" si="5"/>
        <v>-3</v>
      </c>
      <c r="K39" s="104">
        <f t="shared" si="2"/>
        <v>-30</v>
      </c>
      <c r="L39" s="104"/>
      <c r="M39" s="106">
        <f t="shared" si="3"/>
        <v>0</v>
      </c>
    </row>
    <row r="40" spans="1:21" x14ac:dyDescent="0.25">
      <c r="A40" s="137"/>
      <c r="B40" s="38" t="str">
        <f t="shared" si="6"/>
        <v/>
      </c>
      <c r="C40" s="39"/>
      <c r="D40" s="39"/>
      <c r="E40" s="39"/>
      <c r="F40" s="39"/>
      <c r="G40" s="84"/>
      <c r="H40" s="101">
        <v>35</v>
      </c>
      <c r="I40" s="102" t="str">
        <f t="shared" si="1"/>
        <v/>
      </c>
      <c r="J40" s="101">
        <f t="shared" si="5"/>
        <v>-3</v>
      </c>
      <c r="K40" s="101">
        <f t="shared" si="2"/>
        <v>-30</v>
      </c>
      <c r="L40" s="101"/>
      <c r="M40" s="103">
        <f t="shared" si="3"/>
        <v>0</v>
      </c>
    </row>
    <row r="41" spans="1:21" x14ac:dyDescent="0.25">
      <c r="A41" s="138"/>
      <c r="B41" s="44" t="str">
        <f t="shared" si="6"/>
        <v/>
      </c>
      <c r="C41" s="45"/>
      <c r="D41" s="45"/>
      <c r="E41" s="45"/>
      <c r="F41" s="45"/>
      <c r="G41" s="84"/>
      <c r="H41" s="104">
        <v>36</v>
      </c>
      <c r="I41" s="105" t="str">
        <f t="shared" si="1"/>
        <v/>
      </c>
      <c r="J41" s="104">
        <f t="shared" si="5"/>
        <v>-3</v>
      </c>
      <c r="K41" s="104">
        <f t="shared" si="2"/>
        <v>-30</v>
      </c>
      <c r="L41" s="104"/>
      <c r="M41" s="106">
        <f t="shared" si="3"/>
        <v>0</v>
      </c>
      <c r="S41" s="116"/>
    </row>
    <row r="42" spans="1:21" x14ac:dyDescent="0.25">
      <c r="A42" s="137"/>
      <c r="B42" s="38" t="str">
        <f t="shared" si="6"/>
        <v/>
      </c>
      <c r="C42" s="39"/>
      <c r="D42" s="39"/>
      <c r="E42" s="39"/>
      <c r="F42" s="39"/>
      <c r="G42" s="84"/>
      <c r="H42" s="101">
        <v>37</v>
      </c>
      <c r="I42" s="102" t="str">
        <f t="shared" si="1"/>
        <v/>
      </c>
      <c r="J42" s="101">
        <f t="shared" si="5"/>
        <v>-3</v>
      </c>
      <c r="K42" s="101">
        <f t="shared" si="2"/>
        <v>-30</v>
      </c>
      <c r="L42" s="101"/>
      <c r="M42" s="103">
        <f t="shared" si="3"/>
        <v>0</v>
      </c>
    </row>
    <row r="43" spans="1:21" x14ac:dyDescent="0.25">
      <c r="A43" s="138"/>
      <c r="B43" s="44" t="str">
        <f t="shared" si="6"/>
        <v/>
      </c>
      <c r="C43" s="45"/>
      <c r="D43" s="45"/>
      <c r="E43" s="45"/>
      <c r="F43" s="45"/>
      <c r="G43" s="84"/>
      <c r="H43" s="104">
        <v>38</v>
      </c>
      <c r="I43" s="105" t="str">
        <f t="shared" si="1"/>
        <v/>
      </c>
      <c r="J43" s="104">
        <f t="shared" si="5"/>
        <v>-3</v>
      </c>
      <c r="K43" s="104">
        <f t="shared" si="2"/>
        <v>-30</v>
      </c>
      <c r="L43" s="104"/>
      <c r="M43" s="106">
        <f t="shared" si="3"/>
        <v>0</v>
      </c>
    </row>
    <row r="44" spans="1:21" x14ac:dyDescent="0.25">
      <c r="A44" s="137"/>
      <c r="B44" s="38" t="str">
        <f t="shared" si="6"/>
        <v/>
      </c>
      <c r="C44" s="39"/>
      <c r="D44" s="39"/>
      <c r="E44" s="39"/>
      <c r="F44" s="39"/>
      <c r="G44" s="84"/>
      <c r="H44" s="101">
        <v>39</v>
      </c>
      <c r="I44" s="102" t="str">
        <f t="shared" si="1"/>
        <v/>
      </c>
      <c r="J44" s="101">
        <f t="shared" si="5"/>
        <v>-3</v>
      </c>
      <c r="K44" s="101">
        <f t="shared" si="2"/>
        <v>-30</v>
      </c>
      <c r="L44" s="101"/>
      <c r="M44" s="103">
        <f t="shared" si="3"/>
        <v>0</v>
      </c>
    </row>
    <row r="45" spans="1:21" x14ac:dyDescent="0.25">
      <c r="A45" s="138"/>
      <c r="B45" s="44" t="str">
        <f t="shared" si="6"/>
        <v/>
      </c>
      <c r="C45" s="45"/>
      <c r="D45" s="45"/>
      <c r="E45" s="45"/>
      <c r="F45" s="45"/>
      <c r="G45" s="84"/>
      <c r="H45" s="104">
        <v>40</v>
      </c>
      <c r="I45" s="105" t="str">
        <f t="shared" si="1"/>
        <v/>
      </c>
      <c r="J45" s="104">
        <f t="shared" si="5"/>
        <v>-3</v>
      </c>
      <c r="K45" s="104">
        <f t="shared" si="2"/>
        <v>-30</v>
      </c>
      <c r="L45" s="104"/>
      <c r="M45" s="106">
        <f t="shared" si="3"/>
        <v>0</v>
      </c>
    </row>
    <row r="46" spans="1:21" x14ac:dyDescent="0.25">
      <c r="A46" s="137"/>
      <c r="B46" s="38" t="str">
        <f t="shared" si="6"/>
        <v/>
      </c>
      <c r="C46" s="39"/>
      <c r="D46" s="39"/>
      <c r="E46" s="39"/>
      <c r="F46" s="39"/>
      <c r="G46" s="84"/>
      <c r="H46" s="101">
        <v>41</v>
      </c>
      <c r="I46" s="102" t="str">
        <f t="shared" si="1"/>
        <v/>
      </c>
      <c r="J46" s="101">
        <f t="shared" si="5"/>
        <v>-3</v>
      </c>
      <c r="K46" s="101">
        <f t="shared" si="2"/>
        <v>-30</v>
      </c>
      <c r="L46" s="101"/>
      <c r="M46" s="103">
        <f t="shared" si="3"/>
        <v>0</v>
      </c>
      <c r="R46" s="84">
        <f>LOG($H$2,2)</f>
        <v>2.3219280948873622</v>
      </c>
      <c r="T46" s="91">
        <f>LOG(H38,2)</f>
        <v>5.0443941193584534</v>
      </c>
      <c r="U46" s="91">
        <f>R46-T46</f>
        <v>-2.7224660244710912</v>
      </c>
    </row>
    <row r="47" spans="1:21" x14ac:dyDescent="0.25">
      <c r="A47" s="138"/>
      <c r="B47" s="44" t="str">
        <f t="shared" si="6"/>
        <v/>
      </c>
      <c r="C47" s="45"/>
      <c r="D47" s="45"/>
      <c r="E47" s="45"/>
      <c r="F47" s="45"/>
      <c r="G47" s="84"/>
      <c r="H47" s="104">
        <v>42</v>
      </c>
      <c r="I47" s="105" t="str">
        <f t="shared" si="1"/>
        <v/>
      </c>
      <c r="J47" s="104">
        <f t="shared" si="5"/>
        <v>-3</v>
      </c>
      <c r="K47" s="104">
        <f t="shared" si="2"/>
        <v>-30</v>
      </c>
      <c r="L47" s="104"/>
      <c r="M47" s="106">
        <f t="shared" si="3"/>
        <v>0</v>
      </c>
    </row>
    <row r="48" spans="1:21" x14ac:dyDescent="0.25">
      <c r="A48" s="137"/>
      <c r="B48" s="38" t="str">
        <f t="shared" si="6"/>
        <v/>
      </c>
      <c r="C48" s="39"/>
      <c r="D48" s="39"/>
      <c r="E48" s="39"/>
      <c r="F48" s="39"/>
      <c r="G48" s="84"/>
      <c r="H48" s="101">
        <v>43</v>
      </c>
      <c r="I48" s="102" t="str">
        <f t="shared" si="1"/>
        <v/>
      </c>
      <c r="J48" s="101">
        <f t="shared" si="5"/>
        <v>-3</v>
      </c>
      <c r="K48" s="101">
        <f t="shared" si="2"/>
        <v>-30</v>
      </c>
      <c r="L48" s="101"/>
      <c r="M48" s="103">
        <f t="shared" si="3"/>
        <v>0</v>
      </c>
    </row>
    <row r="49" spans="1:13" x14ac:dyDescent="0.25">
      <c r="A49" s="138"/>
      <c r="B49" s="44" t="str">
        <f t="shared" si="6"/>
        <v/>
      </c>
      <c r="C49" s="45"/>
      <c r="D49" s="45"/>
      <c r="E49" s="45"/>
      <c r="F49" s="45"/>
      <c r="G49" s="84"/>
      <c r="H49" s="104">
        <v>44</v>
      </c>
      <c r="I49" s="105" t="str">
        <f t="shared" si="1"/>
        <v/>
      </c>
      <c r="J49" s="104">
        <f t="shared" si="5"/>
        <v>-3</v>
      </c>
      <c r="K49" s="104">
        <f t="shared" si="2"/>
        <v>-30</v>
      </c>
      <c r="L49" s="104"/>
      <c r="M49" s="106">
        <f t="shared" si="3"/>
        <v>0</v>
      </c>
    </row>
    <row r="50" spans="1:13" x14ac:dyDescent="0.25">
      <c r="A50" s="137"/>
      <c r="B50" s="38" t="str">
        <f t="shared" si="6"/>
        <v/>
      </c>
      <c r="C50" s="39"/>
      <c r="D50" s="39"/>
      <c r="E50" s="39"/>
      <c r="F50" s="39"/>
      <c r="G50" s="84"/>
      <c r="H50" s="101">
        <v>45</v>
      </c>
      <c r="I50" s="102" t="str">
        <f t="shared" si="1"/>
        <v/>
      </c>
      <c r="J50" s="101">
        <f t="shared" si="5"/>
        <v>-3</v>
      </c>
      <c r="K50" s="101">
        <f t="shared" si="2"/>
        <v>-30</v>
      </c>
      <c r="L50" s="101"/>
      <c r="M50" s="103">
        <f t="shared" si="3"/>
        <v>0</v>
      </c>
    </row>
    <row r="51" spans="1:13" x14ac:dyDescent="0.25">
      <c r="A51" s="138"/>
      <c r="B51" s="44" t="str">
        <f t="shared" si="6"/>
        <v/>
      </c>
      <c r="C51" s="45"/>
      <c r="D51" s="45"/>
      <c r="E51" s="45"/>
      <c r="F51" s="45"/>
      <c r="G51" s="84"/>
      <c r="H51" s="104">
        <v>46</v>
      </c>
      <c r="I51" s="105" t="str">
        <f t="shared" si="1"/>
        <v/>
      </c>
      <c r="J51" s="104">
        <f t="shared" si="5"/>
        <v>-3</v>
      </c>
      <c r="K51" s="104">
        <f t="shared" si="2"/>
        <v>-30</v>
      </c>
      <c r="L51" s="104"/>
      <c r="M51" s="106">
        <f t="shared" si="3"/>
        <v>0</v>
      </c>
    </row>
    <row r="52" spans="1:13" x14ac:dyDescent="0.25">
      <c r="A52" s="137"/>
      <c r="B52" s="38" t="str">
        <f t="shared" si="6"/>
        <v/>
      </c>
      <c r="C52" s="39"/>
      <c r="D52" s="39"/>
      <c r="E52" s="39"/>
      <c r="F52" s="39"/>
      <c r="G52" s="84"/>
      <c r="H52" s="101">
        <v>47</v>
      </c>
      <c r="I52" s="102" t="str">
        <f t="shared" si="1"/>
        <v/>
      </c>
      <c r="J52" s="101">
        <f t="shared" si="5"/>
        <v>-3</v>
      </c>
      <c r="K52" s="101">
        <f t="shared" si="2"/>
        <v>-30</v>
      </c>
      <c r="L52" s="101"/>
      <c r="M52" s="103">
        <f t="shared" si="3"/>
        <v>0</v>
      </c>
    </row>
    <row r="53" spans="1:13" x14ac:dyDescent="0.25">
      <c r="A53" s="138"/>
      <c r="B53" s="44" t="str">
        <f t="shared" si="6"/>
        <v/>
      </c>
      <c r="C53" s="45"/>
      <c r="D53" s="45"/>
      <c r="E53" s="45"/>
      <c r="F53" s="45"/>
      <c r="G53" s="84"/>
      <c r="H53" s="104">
        <v>48</v>
      </c>
      <c r="I53" s="105" t="str">
        <f t="shared" si="1"/>
        <v/>
      </c>
      <c r="J53" s="104">
        <f t="shared" si="5"/>
        <v>-3</v>
      </c>
      <c r="K53" s="104">
        <f t="shared" si="2"/>
        <v>-30</v>
      </c>
      <c r="L53" s="104"/>
      <c r="M53" s="106">
        <f t="shared" si="3"/>
        <v>0</v>
      </c>
    </row>
    <row r="54" spans="1:13" x14ac:dyDescent="0.25">
      <c r="A54" s="137"/>
      <c r="B54" s="38" t="str">
        <f t="shared" si="6"/>
        <v/>
      </c>
      <c r="C54" s="39"/>
      <c r="D54" s="39"/>
      <c r="E54" s="39"/>
      <c r="F54" s="39"/>
      <c r="G54" s="84"/>
      <c r="H54" s="101">
        <v>49</v>
      </c>
      <c r="I54" s="102" t="str">
        <f t="shared" si="1"/>
        <v/>
      </c>
      <c r="J54" s="101">
        <f t="shared" si="5"/>
        <v>-3</v>
      </c>
      <c r="K54" s="101">
        <f t="shared" si="2"/>
        <v>-30</v>
      </c>
      <c r="L54" s="101"/>
      <c r="M54" s="103">
        <f t="shared" si="3"/>
        <v>0</v>
      </c>
    </row>
    <row r="55" spans="1:13" x14ac:dyDescent="0.25">
      <c r="A55" s="138"/>
      <c r="B55" s="44" t="str">
        <f t="shared" si="6"/>
        <v/>
      </c>
      <c r="C55" s="45"/>
      <c r="D55" s="45"/>
      <c r="E55" s="45"/>
      <c r="F55" s="45"/>
      <c r="G55" s="84"/>
      <c r="H55" s="104">
        <v>50</v>
      </c>
      <c r="I55" s="105" t="str">
        <f t="shared" si="1"/>
        <v/>
      </c>
      <c r="J55" s="104">
        <f t="shared" si="5"/>
        <v>-3</v>
      </c>
      <c r="K55" s="104">
        <f t="shared" si="2"/>
        <v>-30</v>
      </c>
      <c r="L55" s="104"/>
      <c r="M55" s="106">
        <f t="shared" si="3"/>
        <v>0</v>
      </c>
    </row>
    <row r="56" spans="1:13" x14ac:dyDescent="0.25">
      <c r="A56" s="137"/>
      <c r="B56" s="38" t="str">
        <f t="shared" si="6"/>
        <v/>
      </c>
      <c r="C56" s="39"/>
      <c r="D56" s="39"/>
      <c r="E56" s="39"/>
      <c r="F56" s="39"/>
      <c r="G56" s="84"/>
      <c r="H56" s="101">
        <v>51</v>
      </c>
      <c r="I56" s="102" t="str">
        <f t="shared" si="1"/>
        <v/>
      </c>
      <c r="J56" s="101">
        <f t="shared" si="5"/>
        <v>-3</v>
      </c>
      <c r="K56" s="101">
        <f t="shared" si="2"/>
        <v>-30</v>
      </c>
      <c r="L56" s="101"/>
      <c r="M56" s="103">
        <f t="shared" si="3"/>
        <v>0</v>
      </c>
    </row>
    <row r="57" spans="1:13" x14ac:dyDescent="0.25">
      <c r="A57" s="138"/>
      <c r="B57" s="44" t="str">
        <f t="shared" si="6"/>
        <v/>
      </c>
      <c r="C57" s="45"/>
      <c r="D57" s="45"/>
      <c r="E57" s="45"/>
      <c r="F57" s="45"/>
      <c r="G57" s="84"/>
      <c r="H57" s="104">
        <v>52</v>
      </c>
      <c r="I57" s="105" t="str">
        <f t="shared" si="1"/>
        <v/>
      </c>
      <c r="J57" s="104">
        <f t="shared" si="5"/>
        <v>-3</v>
      </c>
      <c r="K57" s="104">
        <f t="shared" si="2"/>
        <v>-30</v>
      </c>
      <c r="L57" s="104"/>
      <c r="M57" s="106">
        <f t="shared" si="3"/>
        <v>0</v>
      </c>
    </row>
    <row r="58" spans="1:13" x14ac:dyDescent="0.25">
      <c r="A58" s="137"/>
      <c r="B58" s="38" t="str">
        <f t="shared" si="6"/>
        <v/>
      </c>
      <c r="C58" s="39"/>
      <c r="D58" s="39"/>
      <c r="E58" s="39"/>
      <c r="F58" s="39"/>
      <c r="G58" s="84"/>
      <c r="H58" s="101">
        <v>53</v>
      </c>
      <c r="I58" s="102" t="str">
        <f t="shared" si="1"/>
        <v/>
      </c>
      <c r="J58" s="101">
        <f t="shared" si="5"/>
        <v>-3</v>
      </c>
      <c r="K58" s="101">
        <f t="shared" si="2"/>
        <v>-30</v>
      </c>
      <c r="L58" s="101"/>
      <c r="M58" s="103">
        <f t="shared" si="3"/>
        <v>0</v>
      </c>
    </row>
    <row r="59" spans="1:13" x14ac:dyDescent="0.25">
      <c r="A59" s="138"/>
      <c r="B59" s="44" t="str">
        <f t="shared" si="6"/>
        <v/>
      </c>
      <c r="C59" s="45"/>
      <c r="D59" s="45"/>
      <c r="E59" s="45"/>
      <c r="F59" s="45"/>
      <c r="G59" s="84"/>
      <c r="H59" s="104">
        <v>54</v>
      </c>
      <c r="I59" s="105" t="str">
        <f t="shared" si="1"/>
        <v/>
      </c>
      <c r="J59" s="104">
        <f t="shared" si="5"/>
        <v>-3</v>
      </c>
      <c r="K59" s="104">
        <f t="shared" si="2"/>
        <v>-30</v>
      </c>
      <c r="L59" s="104"/>
      <c r="M59" s="106">
        <f t="shared" si="3"/>
        <v>0</v>
      </c>
    </row>
    <row r="60" spans="1:13" x14ac:dyDescent="0.25">
      <c r="A60" s="137"/>
      <c r="B60" s="38" t="str">
        <f t="shared" si="6"/>
        <v/>
      </c>
      <c r="C60" s="39"/>
      <c r="D60" s="39"/>
      <c r="E60" s="39"/>
      <c r="F60" s="39"/>
      <c r="G60" s="84"/>
      <c r="H60" s="101">
        <v>55</v>
      </c>
      <c r="I60" s="102" t="str">
        <f t="shared" si="1"/>
        <v/>
      </c>
      <c r="J60" s="101">
        <f t="shared" si="5"/>
        <v>-3</v>
      </c>
      <c r="K60" s="101">
        <f t="shared" si="2"/>
        <v>-30</v>
      </c>
      <c r="L60" s="101"/>
      <c r="M60" s="103">
        <f t="shared" si="3"/>
        <v>0</v>
      </c>
    </row>
    <row r="61" spans="1:13" x14ac:dyDescent="0.25">
      <c r="A61" s="138"/>
      <c r="B61" s="44" t="str">
        <f t="shared" si="6"/>
        <v/>
      </c>
      <c r="C61" s="45"/>
      <c r="D61" s="45"/>
      <c r="E61" s="45"/>
      <c r="F61" s="45"/>
      <c r="G61" s="84"/>
      <c r="H61" s="104">
        <v>56</v>
      </c>
      <c r="I61" s="105" t="str">
        <f t="shared" si="1"/>
        <v/>
      </c>
      <c r="J61" s="104">
        <f t="shared" si="5"/>
        <v>-3</v>
      </c>
      <c r="K61" s="104">
        <f t="shared" si="2"/>
        <v>-30</v>
      </c>
      <c r="L61" s="104"/>
      <c r="M61" s="106">
        <f t="shared" si="3"/>
        <v>0</v>
      </c>
    </row>
    <row r="62" spans="1:13" x14ac:dyDescent="0.25">
      <c r="A62" s="137"/>
      <c r="B62" s="38" t="str">
        <f t="shared" si="6"/>
        <v/>
      </c>
      <c r="C62" s="39"/>
      <c r="D62" s="39"/>
      <c r="E62" s="39"/>
      <c r="F62" s="39"/>
      <c r="G62" s="84"/>
      <c r="H62" s="101">
        <v>57</v>
      </c>
      <c r="I62" s="102" t="str">
        <f t="shared" si="1"/>
        <v/>
      </c>
      <c r="J62" s="101">
        <f t="shared" si="5"/>
        <v>-3</v>
      </c>
      <c r="K62" s="101">
        <f t="shared" si="2"/>
        <v>-30</v>
      </c>
      <c r="L62" s="101"/>
      <c r="M62" s="103">
        <f t="shared" si="3"/>
        <v>0</v>
      </c>
    </row>
    <row r="63" spans="1:13" x14ac:dyDescent="0.25">
      <c r="A63" s="138"/>
      <c r="B63" s="44" t="str">
        <f t="shared" si="6"/>
        <v/>
      </c>
      <c r="C63" s="45"/>
      <c r="D63" s="45"/>
      <c r="E63" s="45"/>
      <c r="F63" s="45"/>
      <c r="G63" s="84"/>
      <c r="H63" s="104">
        <v>58</v>
      </c>
      <c r="I63" s="105" t="str">
        <f t="shared" si="1"/>
        <v/>
      </c>
      <c r="J63" s="104">
        <f t="shared" si="5"/>
        <v>-3</v>
      </c>
      <c r="K63" s="104">
        <f t="shared" si="2"/>
        <v>-30</v>
      </c>
      <c r="L63" s="104"/>
      <c r="M63" s="106">
        <f t="shared" si="3"/>
        <v>0</v>
      </c>
    </row>
    <row r="64" spans="1:13" x14ac:dyDescent="0.25">
      <c r="A64" s="137"/>
      <c r="B64" s="38" t="str">
        <f t="shared" si="6"/>
        <v/>
      </c>
      <c r="C64" s="39"/>
      <c r="D64" s="39"/>
      <c r="E64" s="39"/>
      <c r="F64" s="39"/>
      <c r="G64" s="84"/>
      <c r="H64" s="101">
        <v>59</v>
      </c>
      <c r="I64" s="102" t="str">
        <f t="shared" si="1"/>
        <v/>
      </c>
      <c r="J64" s="101">
        <f t="shared" si="5"/>
        <v>-3</v>
      </c>
      <c r="K64" s="101">
        <f t="shared" si="2"/>
        <v>-30</v>
      </c>
      <c r="L64" s="101"/>
      <c r="M64" s="103">
        <f t="shared" si="3"/>
        <v>0</v>
      </c>
    </row>
    <row r="65" spans="1:13" x14ac:dyDescent="0.25">
      <c r="A65" s="138"/>
      <c r="B65" s="44" t="str">
        <f t="shared" si="6"/>
        <v/>
      </c>
      <c r="C65" s="45"/>
      <c r="D65" s="45"/>
      <c r="E65" s="45"/>
      <c r="F65" s="45"/>
      <c r="G65" s="84"/>
      <c r="H65" s="104">
        <v>60</v>
      </c>
      <c r="I65" s="105" t="str">
        <f t="shared" si="1"/>
        <v/>
      </c>
      <c r="J65" s="104">
        <f t="shared" si="5"/>
        <v>-3</v>
      </c>
      <c r="K65" s="104">
        <f t="shared" si="2"/>
        <v>-30</v>
      </c>
      <c r="L65" s="104"/>
      <c r="M65" s="106">
        <f t="shared" si="3"/>
        <v>0</v>
      </c>
    </row>
    <row r="66" spans="1:13" x14ac:dyDescent="0.25">
      <c r="A66" s="137"/>
      <c r="B66" s="38"/>
      <c r="G66" s="84"/>
      <c r="H66" s="101">
        <v>61</v>
      </c>
      <c r="I66" s="102" t="str">
        <f t="shared" si="1"/>
        <v/>
      </c>
      <c r="J66" s="101">
        <f t="shared" si="5"/>
        <v>-3</v>
      </c>
      <c r="K66" s="101">
        <f t="shared" si="2"/>
        <v>-30</v>
      </c>
      <c r="L66" s="101"/>
      <c r="M66" s="103">
        <f t="shared" si="3"/>
        <v>0</v>
      </c>
    </row>
    <row r="67" spans="1:13" x14ac:dyDescent="0.25">
      <c r="A67" s="138"/>
      <c r="B67" s="44"/>
      <c r="G67" s="84"/>
      <c r="H67" s="101">
        <v>62</v>
      </c>
      <c r="I67" s="102" t="str">
        <f t="shared" si="1"/>
        <v/>
      </c>
      <c r="J67" s="101">
        <f t="shared" si="5"/>
        <v>-3</v>
      </c>
      <c r="K67" s="101">
        <f t="shared" si="2"/>
        <v>-30</v>
      </c>
      <c r="L67" s="101"/>
      <c r="M67" s="103">
        <f t="shared" si="3"/>
        <v>0</v>
      </c>
    </row>
    <row r="68" spans="1:13" x14ac:dyDescent="0.25">
      <c r="A68" s="117"/>
      <c r="B68" s="38"/>
      <c r="G68" s="84"/>
      <c r="H68" s="101">
        <v>63</v>
      </c>
      <c r="I68" s="102" t="str">
        <f t="shared" si="1"/>
        <v/>
      </c>
      <c r="J68" s="101">
        <f t="shared" si="5"/>
        <v>-3</v>
      </c>
      <c r="K68" s="101">
        <f t="shared" si="2"/>
        <v>-30</v>
      </c>
      <c r="L68" s="101"/>
      <c r="M68" s="103">
        <f t="shared" si="3"/>
        <v>0</v>
      </c>
    </row>
    <row r="69" spans="1:13" x14ac:dyDescent="0.25">
      <c r="A69" s="117"/>
      <c r="B69" s="44"/>
      <c r="G69" s="84"/>
      <c r="H69" s="101">
        <v>64</v>
      </c>
      <c r="I69" s="102" t="str">
        <f t="shared" si="1"/>
        <v/>
      </c>
      <c r="J69" s="101">
        <f t="shared" si="5"/>
        <v>-3</v>
      </c>
      <c r="K69" s="101">
        <f t="shared" si="2"/>
        <v>-30</v>
      </c>
      <c r="L69" s="101"/>
      <c r="M69" s="103">
        <f t="shared" si="3"/>
        <v>0</v>
      </c>
    </row>
    <row r="70" spans="1:13" x14ac:dyDescent="0.25">
      <c r="A70" s="117"/>
      <c r="G70" s="84"/>
      <c r="H70" s="101">
        <v>65</v>
      </c>
      <c r="I70" s="102" t="str">
        <f t="shared" ref="I70:I133" si="7">IF(H70&lt;$H$2+1,($I$2-($I$2-1)*(LOG(H70)/LOG($H$2))),"")</f>
        <v/>
      </c>
      <c r="J70" s="101">
        <f t="shared" si="5"/>
        <v>-4</v>
      </c>
      <c r="K70" s="101">
        <f t="shared" ref="K70:K133" si="8">J70*$J$2</f>
        <v>-40</v>
      </c>
      <c r="L70" s="101"/>
      <c r="M70" s="103">
        <f t="shared" ref="M70:M133" si="9">IF(I70&lt;&gt;"",K70+I70+L70,0)</f>
        <v>0</v>
      </c>
    </row>
    <row r="71" spans="1:13" x14ac:dyDescent="0.25">
      <c r="A71" s="117"/>
      <c r="G71" s="84"/>
      <c r="H71" s="101">
        <v>66</v>
      </c>
      <c r="I71" s="102" t="str">
        <f t="shared" si="7"/>
        <v/>
      </c>
      <c r="J71" s="101">
        <f t="shared" ref="J71:J134" si="10">INT(LOG($H$2,2))-ROUNDUP(LOG(H71,2),0)+IF(OR($H$2=1,$H$2=2,$H$2=4,$H$2=8,$H$2=16,$H$2=32,$H$2=64,$H$2=128,$H$2=256),0,1)</f>
        <v>-4</v>
      </c>
      <c r="K71" s="101">
        <f t="shared" si="8"/>
        <v>-40</v>
      </c>
      <c r="L71" s="101"/>
      <c r="M71" s="103">
        <f t="shared" si="9"/>
        <v>0</v>
      </c>
    </row>
    <row r="72" spans="1:13" x14ac:dyDescent="0.25">
      <c r="A72" s="117"/>
      <c r="G72" s="84"/>
      <c r="H72" s="101">
        <v>67</v>
      </c>
      <c r="I72" s="102" t="str">
        <f t="shared" si="7"/>
        <v/>
      </c>
      <c r="J72" s="101">
        <f t="shared" si="10"/>
        <v>-4</v>
      </c>
      <c r="K72" s="101">
        <f t="shared" si="8"/>
        <v>-40</v>
      </c>
      <c r="L72" s="101"/>
      <c r="M72" s="103">
        <f t="shared" si="9"/>
        <v>0</v>
      </c>
    </row>
    <row r="73" spans="1:13" x14ac:dyDescent="0.25">
      <c r="A73" s="117"/>
      <c r="G73" s="84"/>
      <c r="H73" s="101">
        <v>68</v>
      </c>
      <c r="I73" s="102" t="str">
        <f t="shared" si="7"/>
        <v/>
      </c>
      <c r="J73" s="101">
        <f t="shared" si="10"/>
        <v>-4</v>
      </c>
      <c r="K73" s="101">
        <f t="shared" si="8"/>
        <v>-40</v>
      </c>
      <c r="L73" s="101"/>
      <c r="M73" s="103">
        <f t="shared" si="9"/>
        <v>0</v>
      </c>
    </row>
    <row r="74" spans="1:13" x14ac:dyDescent="0.25">
      <c r="A74" s="117"/>
      <c r="G74" s="84"/>
      <c r="H74" s="101">
        <v>69</v>
      </c>
      <c r="I74" s="102" t="str">
        <f t="shared" si="7"/>
        <v/>
      </c>
      <c r="J74" s="101">
        <f t="shared" si="10"/>
        <v>-4</v>
      </c>
      <c r="K74" s="101">
        <f t="shared" si="8"/>
        <v>-40</v>
      </c>
      <c r="L74" s="101"/>
      <c r="M74" s="103">
        <f t="shared" si="9"/>
        <v>0</v>
      </c>
    </row>
    <row r="75" spans="1:13" x14ac:dyDescent="0.25">
      <c r="A75" s="117"/>
      <c r="G75" s="84"/>
      <c r="H75" s="101">
        <v>70</v>
      </c>
      <c r="I75" s="102" t="str">
        <f t="shared" si="7"/>
        <v/>
      </c>
      <c r="J75" s="101">
        <f t="shared" si="10"/>
        <v>-4</v>
      </c>
      <c r="K75" s="101">
        <f t="shared" si="8"/>
        <v>-40</v>
      </c>
      <c r="L75" s="101"/>
      <c r="M75" s="103">
        <f t="shared" si="9"/>
        <v>0</v>
      </c>
    </row>
    <row r="76" spans="1:13" x14ac:dyDescent="0.25">
      <c r="A76" s="117"/>
      <c r="G76" s="84"/>
      <c r="H76" s="101">
        <v>71</v>
      </c>
      <c r="I76" s="102" t="str">
        <f t="shared" si="7"/>
        <v/>
      </c>
      <c r="J76" s="101">
        <f t="shared" si="10"/>
        <v>-4</v>
      </c>
      <c r="K76" s="101">
        <f t="shared" si="8"/>
        <v>-40</v>
      </c>
      <c r="L76" s="101"/>
      <c r="M76" s="103">
        <f t="shared" si="9"/>
        <v>0</v>
      </c>
    </row>
    <row r="77" spans="1:13" x14ac:dyDescent="0.25">
      <c r="A77" s="117"/>
      <c r="G77" s="84"/>
      <c r="H77" s="101">
        <v>72</v>
      </c>
      <c r="I77" s="102" t="str">
        <f t="shared" si="7"/>
        <v/>
      </c>
      <c r="J77" s="101">
        <f t="shared" si="10"/>
        <v>-4</v>
      </c>
      <c r="K77" s="101">
        <f t="shared" si="8"/>
        <v>-40</v>
      </c>
      <c r="L77" s="101"/>
      <c r="M77" s="103">
        <f t="shared" si="9"/>
        <v>0</v>
      </c>
    </row>
    <row r="78" spans="1:13" x14ac:dyDescent="0.25">
      <c r="A78" s="117"/>
      <c r="G78" s="84"/>
      <c r="H78" s="101">
        <v>73</v>
      </c>
      <c r="I78" s="102" t="str">
        <f t="shared" si="7"/>
        <v/>
      </c>
      <c r="J78" s="101">
        <f t="shared" si="10"/>
        <v>-4</v>
      </c>
      <c r="K78" s="101">
        <f t="shared" si="8"/>
        <v>-40</v>
      </c>
      <c r="L78" s="101"/>
      <c r="M78" s="103">
        <f t="shared" si="9"/>
        <v>0</v>
      </c>
    </row>
    <row r="79" spans="1:13" x14ac:dyDescent="0.25">
      <c r="A79" s="117"/>
      <c r="G79" s="84"/>
      <c r="H79" s="101">
        <v>74</v>
      </c>
      <c r="I79" s="102" t="str">
        <f t="shared" si="7"/>
        <v/>
      </c>
      <c r="J79" s="101">
        <f t="shared" si="10"/>
        <v>-4</v>
      </c>
      <c r="K79" s="101">
        <f t="shared" si="8"/>
        <v>-40</v>
      </c>
      <c r="L79" s="101"/>
      <c r="M79" s="103">
        <f t="shared" si="9"/>
        <v>0</v>
      </c>
    </row>
    <row r="80" spans="1:13" x14ac:dyDescent="0.25">
      <c r="A80" s="117"/>
      <c r="G80" s="84"/>
      <c r="H80" s="101">
        <v>75</v>
      </c>
      <c r="I80" s="102" t="str">
        <f t="shared" si="7"/>
        <v/>
      </c>
      <c r="J80" s="101">
        <f t="shared" si="10"/>
        <v>-4</v>
      </c>
      <c r="K80" s="101">
        <f t="shared" si="8"/>
        <v>-40</v>
      </c>
      <c r="L80" s="101"/>
      <c r="M80" s="103">
        <f t="shared" si="9"/>
        <v>0</v>
      </c>
    </row>
    <row r="81" spans="1:13" x14ac:dyDescent="0.25">
      <c r="A81" s="117"/>
      <c r="G81" s="84"/>
      <c r="H81" s="101">
        <v>76</v>
      </c>
      <c r="I81" s="102" t="str">
        <f t="shared" si="7"/>
        <v/>
      </c>
      <c r="J81" s="101">
        <f t="shared" si="10"/>
        <v>-4</v>
      </c>
      <c r="K81" s="101">
        <f t="shared" si="8"/>
        <v>-40</v>
      </c>
      <c r="L81" s="101"/>
      <c r="M81" s="103">
        <f t="shared" si="9"/>
        <v>0</v>
      </c>
    </row>
    <row r="82" spans="1:13" x14ac:dyDescent="0.25">
      <c r="A82" s="117"/>
      <c r="G82" s="84"/>
      <c r="H82" s="101">
        <v>77</v>
      </c>
      <c r="I82" s="102" t="str">
        <f t="shared" si="7"/>
        <v/>
      </c>
      <c r="J82" s="101">
        <f t="shared" si="10"/>
        <v>-4</v>
      </c>
      <c r="K82" s="101">
        <f t="shared" si="8"/>
        <v>-40</v>
      </c>
      <c r="L82" s="101"/>
      <c r="M82" s="103">
        <f t="shared" si="9"/>
        <v>0</v>
      </c>
    </row>
    <row r="83" spans="1:13" x14ac:dyDescent="0.25">
      <c r="A83" s="117"/>
      <c r="G83" s="84"/>
      <c r="H83" s="101">
        <v>78</v>
      </c>
      <c r="I83" s="102" t="str">
        <f t="shared" si="7"/>
        <v/>
      </c>
      <c r="J83" s="101">
        <f t="shared" si="10"/>
        <v>-4</v>
      </c>
      <c r="K83" s="101">
        <f t="shared" si="8"/>
        <v>-40</v>
      </c>
      <c r="L83" s="101"/>
      <c r="M83" s="103">
        <f t="shared" si="9"/>
        <v>0</v>
      </c>
    </row>
    <row r="84" spans="1:13" x14ac:dyDescent="0.25">
      <c r="A84" s="117"/>
      <c r="G84" s="84"/>
      <c r="H84" s="101">
        <v>79</v>
      </c>
      <c r="I84" s="102" t="str">
        <f t="shared" si="7"/>
        <v/>
      </c>
      <c r="J84" s="101">
        <f t="shared" si="10"/>
        <v>-4</v>
      </c>
      <c r="K84" s="101">
        <f t="shared" si="8"/>
        <v>-40</v>
      </c>
      <c r="L84" s="101"/>
      <c r="M84" s="103">
        <f t="shared" si="9"/>
        <v>0</v>
      </c>
    </row>
    <row r="85" spans="1:13" x14ac:dyDescent="0.25">
      <c r="A85" s="117"/>
      <c r="G85" s="84"/>
      <c r="H85" s="101">
        <v>80</v>
      </c>
      <c r="I85" s="102" t="str">
        <f t="shared" si="7"/>
        <v/>
      </c>
      <c r="J85" s="101">
        <f t="shared" si="10"/>
        <v>-4</v>
      </c>
      <c r="K85" s="101">
        <f t="shared" si="8"/>
        <v>-40</v>
      </c>
      <c r="L85" s="101"/>
      <c r="M85" s="103">
        <f t="shared" si="9"/>
        <v>0</v>
      </c>
    </row>
    <row r="86" spans="1:13" x14ac:dyDescent="0.25">
      <c r="A86" s="117"/>
      <c r="G86" s="84"/>
      <c r="H86" s="101">
        <v>81</v>
      </c>
      <c r="I86" s="102" t="str">
        <f t="shared" si="7"/>
        <v/>
      </c>
      <c r="J86" s="101">
        <f t="shared" si="10"/>
        <v>-4</v>
      </c>
      <c r="K86" s="101">
        <f t="shared" si="8"/>
        <v>-40</v>
      </c>
      <c r="L86" s="101"/>
      <c r="M86" s="103">
        <f t="shared" si="9"/>
        <v>0</v>
      </c>
    </row>
    <row r="87" spans="1:13" x14ac:dyDescent="0.25">
      <c r="A87" s="117"/>
      <c r="G87" s="84"/>
      <c r="H87" s="101">
        <v>82</v>
      </c>
      <c r="I87" s="102" t="str">
        <f t="shared" si="7"/>
        <v/>
      </c>
      <c r="J87" s="101">
        <f t="shared" si="10"/>
        <v>-4</v>
      </c>
      <c r="K87" s="101">
        <f t="shared" si="8"/>
        <v>-40</v>
      </c>
      <c r="L87" s="101"/>
      <c r="M87" s="103">
        <f t="shared" si="9"/>
        <v>0</v>
      </c>
    </row>
    <row r="88" spans="1:13" x14ac:dyDescent="0.25">
      <c r="A88" s="117"/>
      <c r="G88" s="84"/>
      <c r="H88" s="101">
        <v>83</v>
      </c>
      <c r="I88" s="102" t="str">
        <f t="shared" si="7"/>
        <v/>
      </c>
      <c r="J88" s="101">
        <f t="shared" si="10"/>
        <v>-4</v>
      </c>
      <c r="K88" s="101">
        <f t="shared" si="8"/>
        <v>-40</v>
      </c>
      <c r="L88" s="101"/>
      <c r="M88" s="103">
        <f t="shared" si="9"/>
        <v>0</v>
      </c>
    </row>
    <row r="89" spans="1:13" x14ac:dyDescent="0.25">
      <c r="A89" s="117"/>
      <c r="G89" s="84"/>
      <c r="H89" s="101">
        <v>84</v>
      </c>
      <c r="I89" s="102" t="str">
        <f t="shared" si="7"/>
        <v/>
      </c>
      <c r="J89" s="101">
        <f t="shared" si="10"/>
        <v>-4</v>
      </c>
      <c r="K89" s="101">
        <f t="shared" si="8"/>
        <v>-40</v>
      </c>
      <c r="L89" s="101"/>
      <c r="M89" s="103">
        <f t="shared" si="9"/>
        <v>0</v>
      </c>
    </row>
    <row r="90" spans="1:13" x14ac:dyDescent="0.25">
      <c r="A90" s="117"/>
      <c r="G90" s="84"/>
      <c r="H90" s="101">
        <v>85</v>
      </c>
      <c r="I90" s="102" t="str">
        <f t="shared" si="7"/>
        <v/>
      </c>
      <c r="J90" s="101">
        <f t="shared" si="10"/>
        <v>-4</v>
      </c>
      <c r="K90" s="101">
        <f t="shared" si="8"/>
        <v>-40</v>
      </c>
      <c r="L90" s="101"/>
      <c r="M90" s="103">
        <f t="shared" si="9"/>
        <v>0</v>
      </c>
    </row>
    <row r="91" spans="1:13" x14ac:dyDescent="0.25">
      <c r="A91" s="117"/>
      <c r="G91" s="84"/>
      <c r="H91" s="101">
        <v>86</v>
      </c>
      <c r="I91" s="102" t="str">
        <f t="shared" si="7"/>
        <v/>
      </c>
      <c r="J91" s="101">
        <f t="shared" si="10"/>
        <v>-4</v>
      </c>
      <c r="K91" s="101">
        <f t="shared" si="8"/>
        <v>-40</v>
      </c>
      <c r="L91" s="101"/>
      <c r="M91" s="103">
        <f t="shared" si="9"/>
        <v>0</v>
      </c>
    </row>
    <row r="92" spans="1:13" x14ac:dyDescent="0.25">
      <c r="A92" s="117"/>
      <c r="G92" s="84"/>
      <c r="H92" s="101">
        <v>87</v>
      </c>
      <c r="I92" s="102" t="str">
        <f t="shared" si="7"/>
        <v/>
      </c>
      <c r="J92" s="101">
        <f t="shared" si="10"/>
        <v>-4</v>
      </c>
      <c r="K92" s="101">
        <f t="shared" si="8"/>
        <v>-40</v>
      </c>
      <c r="L92" s="101"/>
      <c r="M92" s="103">
        <f t="shared" si="9"/>
        <v>0</v>
      </c>
    </row>
    <row r="93" spans="1:13" x14ac:dyDescent="0.25">
      <c r="A93" s="117"/>
      <c r="G93" s="84"/>
      <c r="H93" s="101">
        <v>88</v>
      </c>
      <c r="I93" s="102" t="str">
        <f t="shared" si="7"/>
        <v/>
      </c>
      <c r="J93" s="101">
        <f t="shared" si="10"/>
        <v>-4</v>
      </c>
      <c r="K93" s="101">
        <f t="shared" si="8"/>
        <v>-40</v>
      </c>
      <c r="L93" s="101"/>
      <c r="M93" s="103">
        <f t="shared" si="9"/>
        <v>0</v>
      </c>
    </row>
    <row r="94" spans="1:13" x14ac:dyDescent="0.25">
      <c r="A94" s="117"/>
      <c r="G94" s="84"/>
      <c r="H94" s="101">
        <v>89</v>
      </c>
      <c r="I94" s="102" t="str">
        <f t="shared" si="7"/>
        <v/>
      </c>
      <c r="J94" s="101">
        <f t="shared" si="10"/>
        <v>-4</v>
      </c>
      <c r="K94" s="101">
        <f t="shared" si="8"/>
        <v>-40</v>
      </c>
      <c r="L94" s="101"/>
      <c r="M94" s="103">
        <f t="shared" si="9"/>
        <v>0</v>
      </c>
    </row>
    <row r="95" spans="1:13" x14ac:dyDescent="0.25">
      <c r="A95" s="117"/>
      <c r="G95" s="84"/>
      <c r="H95" s="101">
        <v>90</v>
      </c>
      <c r="I95" s="102" t="str">
        <f t="shared" si="7"/>
        <v/>
      </c>
      <c r="J95" s="101">
        <f t="shared" si="10"/>
        <v>-4</v>
      </c>
      <c r="K95" s="101">
        <f t="shared" si="8"/>
        <v>-40</v>
      </c>
      <c r="L95" s="101"/>
      <c r="M95" s="103">
        <f t="shared" si="9"/>
        <v>0</v>
      </c>
    </row>
    <row r="96" spans="1:13" x14ac:dyDescent="0.25">
      <c r="A96" s="117"/>
      <c r="G96" s="84"/>
      <c r="H96" s="101">
        <v>91</v>
      </c>
      <c r="I96" s="102" t="str">
        <f t="shared" si="7"/>
        <v/>
      </c>
      <c r="J96" s="101">
        <f t="shared" si="10"/>
        <v>-4</v>
      </c>
      <c r="K96" s="101">
        <f t="shared" si="8"/>
        <v>-40</v>
      </c>
      <c r="L96" s="101"/>
      <c r="M96" s="103">
        <f t="shared" si="9"/>
        <v>0</v>
      </c>
    </row>
    <row r="97" spans="1:13" x14ac:dyDescent="0.25">
      <c r="A97" s="117"/>
      <c r="G97" s="84"/>
      <c r="H97" s="101">
        <v>92</v>
      </c>
      <c r="I97" s="102" t="str">
        <f t="shared" si="7"/>
        <v/>
      </c>
      <c r="J97" s="101">
        <f t="shared" si="10"/>
        <v>-4</v>
      </c>
      <c r="K97" s="101">
        <f t="shared" si="8"/>
        <v>-40</v>
      </c>
      <c r="L97" s="101"/>
      <c r="M97" s="103">
        <f t="shared" si="9"/>
        <v>0</v>
      </c>
    </row>
    <row r="98" spans="1:13" x14ac:dyDescent="0.25">
      <c r="A98" s="117"/>
      <c r="G98" s="84"/>
      <c r="H98" s="101">
        <v>93</v>
      </c>
      <c r="I98" s="102" t="str">
        <f t="shared" si="7"/>
        <v/>
      </c>
      <c r="J98" s="101">
        <f t="shared" si="10"/>
        <v>-4</v>
      </c>
      <c r="K98" s="101">
        <f t="shared" si="8"/>
        <v>-40</v>
      </c>
      <c r="L98" s="101"/>
      <c r="M98" s="103">
        <f t="shared" si="9"/>
        <v>0</v>
      </c>
    </row>
    <row r="99" spans="1:13" x14ac:dyDescent="0.25">
      <c r="A99" s="117"/>
      <c r="G99" s="84"/>
      <c r="H99" s="101">
        <v>94</v>
      </c>
      <c r="I99" s="102" t="str">
        <f t="shared" si="7"/>
        <v/>
      </c>
      <c r="J99" s="101">
        <f t="shared" si="10"/>
        <v>-4</v>
      </c>
      <c r="K99" s="101">
        <f t="shared" si="8"/>
        <v>-40</v>
      </c>
      <c r="L99" s="101"/>
      <c r="M99" s="103">
        <f t="shared" si="9"/>
        <v>0</v>
      </c>
    </row>
    <row r="100" spans="1:13" x14ac:dyDescent="0.25">
      <c r="A100" s="117"/>
      <c r="G100" s="84"/>
      <c r="H100" s="101">
        <v>95</v>
      </c>
      <c r="I100" s="102" t="str">
        <f t="shared" si="7"/>
        <v/>
      </c>
      <c r="J100" s="101">
        <f t="shared" si="10"/>
        <v>-4</v>
      </c>
      <c r="K100" s="101">
        <f t="shared" si="8"/>
        <v>-40</v>
      </c>
      <c r="L100" s="101"/>
      <c r="M100" s="103">
        <f t="shared" si="9"/>
        <v>0</v>
      </c>
    </row>
    <row r="101" spans="1:13" x14ac:dyDescent="0.25">
      <c r="A101" s="117"/>
      <c r="G101" s="84"/>
      <c r="H101" s="101">
        <v>96</v>
      </c>
      <c r="I101" s="102" t="str">
        <f t="shared" si="7"/>
        <v/>
      </c>
      <c r="J101" s="101">
        <f t="shared" si="10"/>
        <v>-4</v>
      </c>
      <c r="K101" s="101">
        <f t="shared" si="8"/>
        <v>-40</v>
      </c>
      <c r="L101" s="101"/>
      <c r="M101" s="103">
        <f t="shared" si="9"/>
        <v>0</v>
      </c>
    </row>
    <row r="102" spans="1:13" x14ac:dyDescent="0.25">
      <c r="A102" s="117"/>
      <c r="G102" s="84"/>
      <c r="H102" s="101">
        <v>97</v>
      </c>
      <c r="I102" s="102" t="str">
        <f t="shared" si="7"/>
        <v/>
      </c>
      <c r="J102" s="101">
        <f t="shared" si="10"/>
        <v>-4</v>
      </c>
      <c r="K102" s="101">
        <f t="shared" si="8"/>
        <v>-40</v>
      </c>
      <c r="L102" s="101"/>
      <c r="M102" s="103">
        <f t="shared" si="9"/>
        <v>0</v>
      </c>
    </row>
    <row r="103" spans="1:13" x14ac:dyDescent="0.25">
      <c r="A103" s="117"/>
      <c r="G103" s="84"/>
      <c r="H103" s="101">
        <v>98</v>
      </c>
      <c r="I103" s="102" t="str">
        <f t="shared" si="7"/>
        <v/>
      </c>
      <c r="J103" s="101">
        <f t="shared" si="10"/>
        <v>-4</v>
      </c>
      <c r="K103" s="101">
        <f t="shared" si="8"/>
        <v>-40</v>
      </c>
      <c r="L103" s="101"/>
      <c r="M103" s="103">
        <f t="shared" si="9"/>
        <v>0</v>
      </c>
    </row>
    <row r="104" spans="1:13" x14ac:dyDescent="0.25">
      <c r="A104" s="117"/>
      <c r="G104" s="84"/>
      <c r="H104" s="101">
        <v>99</v>
      </c>
      <c r="I104" s="102" t="str">
        <f t="shared" si="7"/>
        <v/>
      </c>
      <c r="J104" s="101">
        <f t="shared" si="10"/>
        <v>-4</v>
      </c>
      <c r="K104" s="101">
        <f t="shared" si="8"/>
        <v>-40</v>
      </c>
      <c r="L104" s="101"/>
      <c r="M104" s="103">
        <f t="shared" si="9"/>
        <v>0</v>
      </c>
    </row>
    <row r="105" spans="1:13" x14ac:dyDescent="0.25">
      <c r="A105" s="117"/>
      <c r="G105" s="84"/>
      <c r="H105" s="101">
        <v>100</v>
      </c>
      <c r="I105" s="102" t="str">
        <f t="shared" si="7"/>
        <v/>
      </c>
      <c r="J105" s="101">
        <f t="shared" si="10"/>
        <v>-4</v>
      </c>
      <c r="K105" s="101">
        <f t="shared" si="8"/>
        <v>-40</v>
      </c>
      <c r="L105" s="101"/>
      <c r="M105" s="103">
        <f t="shared" si="9"/>
        <v>0</v>
      </c>
    </row>
    <row r="106" spans="1:13" x14ac:dyDescent="0.25">
      <c r="A106" s="117"/>
      <c r="G106" s="84"/>
      <c r="H106" s="101">
        <v>101</v>
      </c>
      <c r="I106" s="102" t="str">
        <f t="shared" si="7"/>
        <v/>
      </c>
      <c r="J106" s="101">
        <f t="shared" si="10"/>
        <v>-4</v>
      </c>
      <c r="K106" s="101">
        <f t="shared" si="8"/>
        <v>-40</v>
      </c>
      <c r="L106" s="101"/>
      <c r="M106" s="103">
        <f t="shared" si="9"/>
        <v>0</v>
      </c>
    </row>
    <row r="107" spans="1:13" x14ac:dyDescent="0.25">
      <c r="A107" s="117"/>
      <c r="G107" s="84"/>
      <c r="H107" s="101">
        <v>102</v>
      </c>
      <c r="I107" s="102" t="str">
        <f t="shared" si="7"/>
        <v/>
      </c>
      <c r="J107" s="101">
        <f t="shared" si="10"/>
        <v>-4</v>
      </c>
      <c r="K107" s="101">
        <f t="shared" si="8"/>
        <v>-40</v>
      </c>
      <c r="L107" s="101"/>
      <c r="M107" s="103">
        <f t="shared" si="9"/>
        <v>0</v>
      </c>
    </row>
    <row r="108" spans="1:13" x14ac:dyDescent="0.25">
      <c r="A108" s="117"/>
      <c r="G108" s="84"/>
      <c r="H108" s="101">
        <v>103</v>
      </c>
      <c r="I108" s="102" t="str">
        <f t="shared" si="7"/>
        <v/>
      </c>
      <c r="J108" s="101">
        <f t="shared" si="10"/>
        <v>-4</v>
      </c>
      <c r="K108" s="101">
        <f t="shared" si="8"/>
        <v>-40</v>
      </c>
      <c r="L108" s="101"/>
      <c r="M108" s="103">
        <f t="shared" si="9"/>
        <v>0</v>
      </c>
    </row>
    <row r="109" spans="1:13" x14ac:dyDescent="0.25">
      <c r="A109" s="117"/>
      <c r="G109" s="84"/>
      <c r="H109" s="101">
        <v>104</v>
      </c>
      <c r="I109" s="102" t="str">
        <f t="shared" si="7"/>
        <v/>
      </c>
      <c r="J109" s="101">
        <f t="shared" si="10"/>
        <v>-4</v>
      </c>
      <c r="K109" s="101">
        <f t="shared" si="8"/>
        <v>-40</v>
      </c>
      <c r="L109" s="101"/>
      <c r="M109" s="103">
        <f t="shared" si="9"/>
        <v>0</v>
      </c>
    </row>
    <row r="110" spans="1:13" x14ac:dyDescent="0.25">
      <c r="A110" s="117"/>
      <c r="G110" s="84"/>
      <c r="H110" s="101">
        <v>105</v>
      </c>
      <c r="I110" s="102" t="str">
        <f t="shared" si="7"/>
        <v/>
      </c>
      <c r="J110" s="101">
        <f t="shared" si="10"/>
        <v>-4</v>
      </c>
      <c r="K110" s="101">
        <f t="shared" si="8"/>
        <v>-40</v>
      </c>
      <c r="L110" s="101"/>
      <c r="M110" s="103">
        <f t="shared" si="9"/>
        <v>0</v>
      </c>
    </row>
    <row r="111" spans="1:13" x14ac:dyDescent="0.25">
      <c r="A111" s="117"/>
      <c r="G111" s="84"/>
      <c r="H111" s="101">
        <v>106</v>
      </c>
      <c r="I111" s="102" t="str">
        <f t="shared" si="7"/>
        <v/>
      </c>
      <c r="J111" s="101">
        <f t="shared" si="10"/>
        <v>-4</v>
      </c>
      <c r="K111" s="101">
        <f t="shared" si="8"/>
        <v>-40</v>
      </c>
      <c r="L111" s="101"/>
      <c r="M111" s="103">
        <f t="shared" si="9"/>
        <v>0</v>
      </c>
    </row>
    <row r="112" spans="1:13" x14ac:dyDescent="0.25">
      <c r="A112" s="117"/>
      <c r="G112" s="84"/>
      <c r="H112" s="101">
        <v>107</v>
      </c>
      <c r="I112" s="102" t="str">
        <f t="shared" si="7"/>
        <v/>
      </c>
      <c r="J112" s="101">
        <f t="shared" si="10"/>
        <v>-4</v>
      </c>
      <c r="K112" s="101">
        <f t="shared" si="8"/>
        <v>-40</v>
      </c>
      <c r="L112" s="101"/>
      <c r="M112" s="103">
        <f t="shared" si="9"/>
        <v>0</v>
      </c>
    </row>
    <row r="113" spans="1:13" x14ac:dyDescent="0.25">
      <c r="A113" s="117"/>
      <c r="G113" s="84"/>
      <c r="H113" s="101">
        <v>108</v>
      </c>
      <c r="I113" s="102" t="str">
        <f t="shared" si="7"/>
        <v/>
      </c>
      <c r="J113" s="101">
        <f t="shared" si="10"/>
        <v>-4</v>
      </c>
      <c r="K113" s="101">
        <f t="shared" si="8"/>
        <v>-40</v>
      </c>
      <c r="L113" s="101"/>
      <c r="M113" s="103">
        <f t="shared" si="9"/>
        <v>0</v>
      </c>
    </row>
    <row r="114" spans="1:13" x14ac:dyDescent="0.25">
      <c r="A114" s="117"/>
      <c r="G114" s="84"/>
      <c r="H114" s="101">
        <v>109</v>
      </c>
      <c r="I114" s="102" t="str">
        <f t="shared" si="7"/>
        <v/>
      </c>
      <c r="J114" s="101">
        <f t="shared" si="10"/>
        <v>-4</v>
      </c>
      <c r="K114" s="101">
        <f t="shared" si="8"/>
        <v>-40</v>
      </c>
      <c r="L114" s="101"/>
      <c r="M114" s="103">
        <f t="shared" si="9"/>
        <v>0</v>
      </c>
    </row>
    <row r="115" spans="1:13" x14ac:dyDescent="0.25">
      <c r="A115" s="117"/>
      <c r="G115" s="84"/>
      <c r="H115" s="101">
        <v>110</v>
      </c>
      <c r="I115" s="102" t="str">
        <f t="shared" si="7"/>
        <v/>
      </c>
      <c r="J115" s="101">
        <f t="shared" si="10"/>
        <v>-4</v>
      </c>
      <c r="K115" s="101">
        <f t="shared" si="8"/>
        <v>-40</v>
      </c>
      <c r="L115" s="101"/>
      <c r="M115" s="103">
        <f t="shared" si="9"/>
        <v>0</v>
      </c>
    </row>
    <row r="116" spans="1:13" x14ac:dyDescent="0.25">
      <c r="A116" s="117"/>
      <c r="G116" s="84"/>
      <c r="H116" s="101">
        <v>111</v>
      </c>
      <c r="I116" s="102" t="str">
        <f t="shared" si="7"/>
        <v/>
      </c>
      <c r="J116" s="101">
        <f t="shared" si="10"/>
        <v>-4</v>
      </c>
      <c r="K116" s="101">
        <f t="shared" si="8"/>
        <v>-40</v>
      </c>
      <c r="L116" s="101"/>
      <c r="M116" s="103">
        <f t="shared" si="9"/>
        <v>0</v>
      </c>
    </row>
    <row r="117" spans="1:13" x14ac:dyDescent="0.25">
      <c r="A117" s="117"/>
      <c r="G117" s="84"/>
      <c r="H117" s="101">
        <v>112</v>
      </c>
      <c r="I117" s="102" t="str">
        <f t="shared" si="7"/>
        <v/>
      </c>
      <c r="J117" s="101">
        <f t="shared" si="10"/>
        <v>-4</v>
      </c>
      <c r="K117" s="101">
        <f t="shared" si="8"/>
        <v>-40</v>
      </c>
      <c r="L117" s="101"/>
      <c r="M117" s="103">
        <f t="shared" si="9"/>
        <v>0</v>
      </c>
    </row>
    <row r="118" spans="1:13" x14ac:dyDescent="0.25">
      <c r="A118" s="117"/>
      <c r="G118" s="84"/>
      <c r="H118" s="101">
        <v>113</v>
      </c>
      <c r="I118" s="102" t="str">
        <f t="shared" si="7"/>
        <v/>
      </c>
      <c r="J118" s="101">
        <f t="shared" si="10"/>
        <v>-4</v>
      </c>
      <c r="K118" s="101">
        <f t="shared" si="8"/>
        <v>-40</v>
      </c>
      <c r="L118" s="101"/>
      <c r="M118" s="103">
        <f t="shared" si="9"/>
        <v>0</v>
      </c>
    </row>
    <row r="119" spans="1:13" x14ac:dyDescent="0.25">
      <c r="A119" s="117"/>
      <c r="G119" s="84"/>
      <c r="H119" s="101">
        <v>114</v>
      </c>
      <c r="I119" s="102" t="str">
        <f t="shared" si="7"/>
        <v/>
      </c>
      <c r="J119" s="101">
        <f t="shared" si="10"/>
        <v>-4</v>
      </c>
      <c r="K119" s="101">
        <f t="shared" si="8"/>
        <v>-40</v>
      </c>
      <c r="L119" s="101"/>
      <c r="M119" s="103">
        <f t="shared" si="9"/>
        <v>0</v>
      </c>
    </row>
    <row r="120" spans="1:13" x14ac:dyDescent="0.25">
      <c r="A120" s="117"/>
      <c r="G120" s="84"/>
      <c r="H120" s="101">
        <v>115</v>
      </c>
      <c r="I120" s="102" t="str">
        <f t="shared" si="7"/>
        <v/>
      </c>
      <c r="J120" s="101">
        <f t="shared" si="10"/>
        <v>-4</v>
      </c>
      <c r="K120" s="101">
        <f t="shared" si="8"/>
        <v>-40</v>
      </c>
      <c r="L120" s="101"/>
      <c r="M120" s="103">
        <f t="shared" si="9"/>
        <v>0</v>
      </c>
    </row>
    <row r="121" spans="1:13" x14ac:dyDescent="0.25">
      <c r="A121" s="117"/>
      <c r="G121" s="84"/>
      <c r="H121" s="101">
        <v>116</v>
      </c>
      <c r="I121" s="102" t="str">
        <f t="shared" si="7"/>
        <v/>
      </c>
      <c r="J121" s="101">
        <f t="shared" si="10"/>
        <v>-4</v>
      </c>
      <c r="K121" s="101">
        <f t="shared" si="8"/>
        <v>-40</v>
      </c>
      <c r="L121" s="101"/>
      <c r="M121" s="103">
        <f t="shared" si="9"/>
        <v>0</v>
      </c>
    </row>
    <row r="122" spans="1:13" x14ac:dyDescent="0.25">
      <c r="A122" s="117"/>
      <c r="G122" s="84"/>
      <c r="H122" s="101">
        <v>117</v>
      </c>
      <c r="I122" s="102" t="str">
        <f t="shared" si="7"/>
        <v/>
      </c>
      <c r="J122" s="101">
        <f t="shared" si="10"/>
        <v>-4</v>
      </c>
      <c r="K122" s="101">
        <f t="shared" si="8"/>
        <v>-40</v>
      </c>
      <c r="L122" s="101"/>
      <c r="M122" s="103">
        <f t="shared" si="9"/>
        <v>0</v>
      </c>
    </row>
    <row r="123" spans="1:13" x14ac:dyDescent="0.25">
      <c r="A123" s="117"/>
      <c r="G123" s="84"/>
      <c r="H123" s="101">
        <v>118</v>
      </c>
      <c r="I123" s="102" t="str">
        <f t="shared" si="7"/>
        <v/>
      </c>
      <c r="J123" s="101">
        <f t="shared" si="10"/>
        <v>-4</v>
      </c>
      <c r="K123" s="101">
        <f t="shared" si="8"/>
        <v>-40</v>
      </c>
      <c r="L123" s="101"/>
      <c r="M123" s="103">
        <f t="shared" si="9"/>
        <v>0</v>
      </c>
    </row>
    <row r="124" spans="1:13" x14ac:dyDescent="0.25">
      <c r="A124" s="117"/>
      <c r="G124" s="84"/>
      <c r="H124" s="101">
        <v>119</v>
      </c>
      <c r="I124" s="102" t="str">
        <f t="shared" si="7"/>
        <v/>
      </c>
      <c r="J124" s="101">
        <f t="shared" si="10"/>
        <v>-4</v>
      </c>
      <c r="K124" s="101">
        <f t="shared" si="8"/>
        <v>-40</v>
      </c>
      <c r="L124" s="101"/>
      <c r="M124" s="103">
        <f t="shared" si="9"/>
        <v>0</v>
      </c>
    </row>
    <row r="125" spans="1:13" x14ac:dyDescent="0.25">
      <c r="A125" s="117"/>
      <c r="G125" s="84"/>
      <c r="H125" s="101">
        <v>120</v>
      </c>
      <c r="I125" s="102" t="str">
        <f t="shared" si="7"/>
        <v/>
      </c>
      <c r="J125" s="101">
        <f t="shared" si="10"/>
        <v>-4</v>
      </c>
      <c r="K125" s="101">
        <f t="shared" si="8"/>
        <v>-40</v>
      </c>
      <c r="L125" s="101"/>
      <c r="M125" s="103">
        <f t="shared" si="9"/>
        <v>0</v>
      </c>
    </row>
    <row r="126" spans="1:13" x14ac:dyDescent="0.25">
      <c r="A126" s="117"/>
      <c r="G126" s="84"/>
      <c r="H126" s="101">
        <v>121</v>
      </c>
      <c r="I126" s="102" t="str">
        <f t="shared" si="7"/>
        <v/>
      </c>
      <c r="J126" s="101">
        <f t="shared" si="10"/>
        <v>-4</v>
      </c>
      <c r="K126" s="101">
        <f t="shared" si="8"/>
        <v>-40</v>
      </c>
      <c r="L126" s="101"/>
      <c r="M126" s="103">
        <f t="shared" si="9"/>
        <v>0</v>
      </c>
    </row>
    <row r="127" spans="1:13" x14ac:dyDescent="0.25">
      <c r="A127" s="117"/>
      <c r="G127" s="84"/>
      <c r="H127" s="101">
        <v>122</v>
      </c>
      <c r="I127" s="102" t="str">
        <f t="shared" si="7"/>
        <v/>
      </c>
      <c r="J127" s="101">
        <f t="shared" si="10"/>
        <v>-4</v>
      </c>
      <c r="K127" s="101">
        <f t="shared" si="8"/>
        <v>-40</v>
      </c>
      <c r="L127" s="101"/>
      <c r="M127" s="103">
        <f t="shared" si="9"/>
        <v>0</v>
      </c>
    </row>
    <row r="128" spans="1:13" x14ac:dyDescent="0.25">
      <c r="A128" s="117"/>
      <c r="G128" s="84"/>
      <c r="H128" s="101">
        <v>123</v>
      </c>
      <c r="I128" s="102" t="str">
        <f t="shared" si="7"/>
        <v/>
      </c>
      <c r="J128" s="101">
        <f t="shared" si="10"/>
        <v>-4</v>
      </c>
      <c r="K128" s="101">
        <f t="shared" si="8"/>
        <v>-40</v>
      </c>
      <c r="L128" s="101"/>
      <c r="M128" s="103">
        <f t="shared" si="9"/>
        <v>0</v>
      </c>
    </row>
    <row r="129" spans="1:13" x14ac:dyDescent="0.25">
      <c r="A129" s="117"/>
      <c r="G129" s="84"/>
      <c r="H129" s="101">
        <v>124</v>
      </c>
      <c r="I129" s="102" t="str">
        <f t="shared" si="7"/>
        <v/>
      </c>
      <c r="J129" s="101">
        <f t="shared" si="10"/>
        <v>-4</v>
      </c>
      <c r="K129" s="101">
        <f t="shared" si="8"/>
        <v>-40</v>
      </c>
      <c r="L129" s="101"/>
      <c r="M129" s="103">
        <f t="shared" si="9"/>
        <v>0</v>
      </c>
    </row>
    <row r="130" spans="1:13" x14ac:dyDescent="0.25">
      <c r="A130" s="117"/>
      <c r="G130" s="84"/>
      <c r="H130" s="101">
        <v>125</v>
      </c>
      <c r="I130" s="102" t="str">
        <f t="shared" si="7"/>
        <v/>
      </c>
      <c r="J130" s="101">
        <f t="shared" si="10"/>
        <v>-4</v>
      </c>
      <c r="K130" s="101">
        <f t="shared" si="8"/>
        <v>-40</v>
      </c>
      <c r="L130" s="101"/>
      <c r="M130" s="103">
        <f t="shared" si="9"/>
        <v>0</v>
      </c>
    </row>
    <row r="131" spans="1:13" x14ac:dyDescent="0.25">
      <c r="A131" s="117"/>
      <c r="G131" s="84"/>
      <c r="H131" s="101">
        <v>126</v>
      </c>
      <c r="I131" s="102" t="str">
        <f t="shared" si="7"/>
        <v/>
      </c>
      <c r="J131" s="101">
        <f t="shared" si="10"/>
        <v>-4</v>
      </c>
      <c r="K131" s="101">
        <f t="shared" si="8"/>
        <v>-40</v>
      </c>
      <c r="L131" s="101"/>
      <c r="M131" s="103">
        <f t="shared" si="9"/>
        <v>0</v>
      </c>
    </row>
    <row r="132" spans="1:13" x14ac:dyDescent="0.25">
      <c r="A132" s="117"/>
      <c r="G132" s="84"/>
      <c r="H132" s="101">
        <v>127</v>
      </c>
      <c r="I132" s="102" t="str">
        <f t="shared" si="7"/>
        <v/>
      </c>
      <c r="J132" s="101">
        <f t="shared" si="10"/>
        <v>-4</v>
      </c>
      <c r="K132" s="101">
        <f t="shared" si="8"/>
        <v>-40</v>
      </c>
      <c r="L132" s="101"/>
      <c r="M132" s="103">
        <f t="shared" si="9"/>
        <v>0</v>
      </c>
    </row>
    <row r="133" spans="1:13" x14ac:dyDescent="0.25">
      <c r="A133" s="117"/>
      <c r="G133" s="84"/>
      <c r="H133" s="101">
        <v>128</v>
      </c>
      <c r="I133" s="102" t="str">
        <f t="shared" si="7"/>
        <v/>
      </c>
      <c r="J133" s="101">
        <f t="shared" si="10"/>
        <v>-4</v>
      </c>
      <c r="K133" s="101">
        <f t="shared" si="8"/>
        <v>-40</v>
      </c>
      <c r="L133" s="101"/>
      <c r="M133" s="103">
        <f t="shared" si="9"/>
        <v>0</v>
      </c>
    </row>
    <row r="134" spans="1:13" x14ac:dyDescent="0.25">
      <c r="A134" s="117"/>
      <c r="G134" s="84"/>
      <c r="H134" s="101">
        <v>129</v>
      </c>
      <c r="I134" s="102" t="str">
        <f t="shared" ref="I134:I197" si="11">IF(H134&lt;$H$2+1,($I$2-($I$2-1)*(LOG(H134)/LOG($H$2))),"")</f>
        <v/>
      </c>
      <c r="J134" s="101">
        <f t="shared" si="10"/>
        <v>-5</v>
      </c>
      <c r="K134" s="101">
        <f t="shared" ref="K134:K197" si="12">J134*$J$2</f>
        <v>-50</v>
      </c>
      <c r="L134" s="101"/>
      <c r="M134" s="103">
        <f t="shared" ref="M134:M197" si="13">IF(I134&lt;&gt;"",K134+I134+L134,0)</f>
        <v>0</v>
      </c>
    </row>
    <row r="135" spans="1:13" x14ac:dyDescent="0.25">
      <c r="A135" s="117"/>
      <c r="G135" s="84"/>
      <c r="H135" s="101">
        <v>130</v>
      </c>
      <c r="I135" s="102" t="str">
        <f t="shared" si="11"/>
        <v/>
      </c>
      <c r="J135" s="101">
        <f t="shared" ref="J135:J198" si="14">INT(LOG($H$2,2))-ROUNDUP(LOG(H135,2),0)+IF(OR($H$2=1,$H$2=2,$H$2=4,$H$2=8,$H$2=16,$H$2=32,$H$2=64,$H$2=128,$H$2=256),0,1)</f>
        <v>-5</v>
      </c>
      <c r="K135" s="101">
        <f t="shared" si="12"/>
        <v>-50</v>
      </c>
      <c r="L135" s="101"/>
      <c r="M135" s="103">
        <f t="shared" si="13"/>
        <v>0</v>
      </c>
    </row>
    <row r="136" spans="1:13" x14ac:dyDescent="0.25">
      <c r="A136" s="117"/>
      <c r="G136" s="84"/>
      <c r="H136" s="101">
        <v>131</v>
      </c>
      <c r="I136" s="102" t="str">
        <f t="shared" si="11"/>
        <v/>
      </c>
      <c r="J136" s="101">
        <f t="shared" si="14"/>
        <v>-5</v>
      </c>
      <c r="K136" s="101">
        <f t="shared" si="12"/>
        <v>-50</v>
      </c>
      <c r="L136" s="101"/>
      <c r="M136" s="103">
        <f t="shared" si="13"/>
        <v>0</v>
      </c>
    </row>
    <row r="137" spans="1:13" x14ac:dyDescent="0.25">
      <c r="A137" s="117"/>
      <c r="G137" s="84"/>
      <c r="H137" s="101">
        <v>132</v>
      </c>
      <c r="I137" s="102" t="str">
        <f t="shared" si="11"/>
        <v/>
      </c>
      <c r="J137" s="101">
        <f t="shared" si="14"/>
        <v>-5</v>
      </c>
      <c r="K137" s="101">
        <f t="shared" si="12"/>
        <v>-50</v>
      </c>
      <c r="L137" s="101"/>
      <c r="M137" s="103">
        <f t="shared" si="13"/>
        <v>0</v>
      </c>
    </row>
    <row r="138" spans="1:13" x14ac:dyDescent="0.25">
      <c r="A138" s="117"/>
      <c r="G138" s="84"/>
      <c r="H138" s="101">
        <v>133</v>
      </c>
      <c r="I138" s="102" t="str">
        <f t="shared" si="11"/>
        <v/>
      </c>
      <c r="J138" s="101">
        <f t="shared" si="14"/>
        <v>-5</v>
      </c>
      <c r="K138" s="101">
        <f t="shared" si="12"/>
        <v>-50</v>
      </c>
      <c r="L138" s="101"/>
      <c r="M138" s="103">
        <f t="shared" si="13"/>
        <v>0</v>
      </c>
    </row>
    <row r="139" spans="1:13" x14ac:dyDescent="0.25">
      <c r="A139" s="117"/>
      <c r="G139" s="84"/>
      <c r="H139" s="101">
        <v>134</v>
      </c>
      <c r="I139" s="102" t="str">
        <f t="shared" si="11"/>
        <v/>
      </c>
      <c r="J139" s="101">
        <f t="shared" si="14"/>
        <v>-5</v>
      </c>
      <c r="K139" s="101">
        <f t="shared" si="12"/>
        <v>-50</v>
      </c>
      <c r="L139" s="101"/>
      <c r="M139" s="103">
        <f t="shared" si="13"/>
        <v>0</v>
      </c>
    </row>
    <row r="140" spans="1:13" x14ac:dyDescent="0.25">
      <c r="A140" s="117"/>
      <c r="G140" s="84"/>
      <c r="H140" s="101">
        <v>135</v>
      </c>
      <c r="I140" s="102" t="str">
        <f t="shared" si="11"/>
        <v/>
      </c>
      <c r="J140" s="101">
        <f t="shared" si="14"/>
        <v>-5</v>
      </c>
      <c r="K140" s="101">
        <f t="shared" si="12"/>
        <v>-50</v>
      </c>
      <c r="L140" s="101"/>
      <c r="M140" s="103">
        <f t="shared" si="13"/>
        <v>0</v>
      </c>
    </row>
    <row r="141" spans="1:13" x14ac:dyDescent="0.25">
      <c r="A141" s="117"/>
      <c r="G141" s="84"/>
      <c r="H141" s="101">
        <v>136</v>
      </c>
      <c r="I141" s="102" t="str">
        <f t="shared" si="11"/>
        <v/>
      </c>
      <c r="J141" s="101">
        <f t="shared" si="14"/>
        <v>-5</v>
      </c>
      <c r="K141" s="101">
        <f t="shared" si="12"/>
        <v>-50</v>
      </c>
      <c r="L141" s="101"/>
      <c r="M141" s="103">
        <f t="shared" si="13"/>
        <v>0</v>
      </c>
    </row>
    <row r="142" spans="1:13" x14ac:dyDescent="0.25">
      <c r="A142" s="117"/>
      <c r="G142" s="84"/>
      <c r="H142" s="101">
        <v>137</v>
      </c>
      <c r="I142" s="102" t="str">
        <f t="shared" si="11"/>
        <v/>
      </c>
      <c r="J142" s="101">
        <f t="shared" si="14"/>
        <v>-5</v>
      </c>
      <c r="K142" s="101">
        <f t="shared" si="12"/>
        <v>-50</v>
      </c>
      <c r="L142" s="101"/>
      <c r="M142" s="103">
        <f t="shared" si="13"/>
        <v>0</v>
      </c>
    </row>
    <row r="143" spans="1:13" x14ac:dyDescent="0.25">
      <c r="A143" s="117"/>
      <c r="G143" s="84"/>
      <c r="H143" s="101">
        <v>138</v>
      </c>
      <c r="I143" s="102" t="str">
        <f t="shared" si="11"/>
        <v/>
      </c>
      <c r="J143" s="101">
        <f t="shared" si="14"/>
        <v>-5</v>
      </c>
      <c r="K143" s="101">
        <f t="shared" si="12"/>
        <v>-50</v>
      </c>
      <c r="L143" s="101"/>
      <c r="M143" s="103">
        <f t="shared" si="13"/>
        <v>0</v>
      </c>
    </row>
    <row r="144" spans="1:13" x14ac:dyDescent="0.25">
      <c r="A144" s="117"/>
      <c r="G144" s="84"/>
      <c r="H144" s="101">
        <v>139</v>
      </c>
      <c r="I144" s="102" t="str">
        <f t="shared" si="11"/>
        <v/>
      </c>
      <c r="J144" s="101">
        <f t="shared" si="14"/>
        <v>-5</v>
      </c>
      <c r="K144" s="101">
        <f t="shared" si="12"/>
        <v>-50</v>
      </c>
      <c r="L144" s="101"/>
      <c r="M144" s="103">
        <f t="shared" si="13"/>
        <v>0</v>
      </c>
    </row>
    <row r="145" spans="1:13" x14ac:dyDescent="0.25">
      <c r="A145" s="117"/>
      <c r="G145" s="84"/>
      <c r="H145" s="101">
        <v>140</v>
      </c>
      <c r="I145" s="102" t="str">
        <f t="shared" si="11"/>
        <v/>
      </c>
      <c r="J145" s="101">
        <f t="shared" si="14"/>
        <v>-5</v>
      </c>
      <c r="K145" s="101">
        <f t="shared" si="12"/>
        <v>-50</v>
      </c>
      <c r="L145" s="101"/>
      <c r="M145" s="103">
        <f t="shared" si="13"/>
        <v>0</v>
      </c>
    </row>
    <row r="146" spans="1:13" x14ac:dyDescent="0.25">
      <c r="A146" s="117"/>
      <c r="G146" s="84"/>
      <c r="H146" s="101">
        <v>141</v>
      </c>
      <c r="I146" s="102" t="str">
        <f t="shared" si="11"/>
        <v/>
      </c>
      <c r="J146" s="101">
        <f t="shared" si="14"/>
        <v>-5</v>
      </c>
      <c r="K146" s="101">
        <f t="shared" si="12"/>
        <v>-50</v>
      </c>
      <c r="L146" s="101"/>
      <c r="M146" s="103">
        <f t="shared" si="13"/>
        <v>0</v>
      </c>
    </row>
    <row r="147" spans="1:13" x14ac:dyDescent="0.25">
      <c r="A147" s="117"/>
      <c r="G147" s="84"/>
      <c r="H147" s="101">
        <v>142</v>
      </c>
      <c r="I147" s="102" t="str">
        <f t="shared" si="11"/>
        <v/>
      </c>
      <c r="J147" s="101">
        <f t="shared" si="14"/>
        <v>-5</v>
      </c>
      <c r="K147" s="101">
        <f t="shared" si="12"/>
        <v>-50</v>
      </c>
      <c r="L147" s="101"/>
      <c r="M147" s="103">
        <f t="shared" si="13"/>
        <v>0</v>
      </c>
    </row>
    <row r="148" spans="1:13" x14ac:dyDescent="0.25">
      <c r="A148" s="117"/>
      <c r="G148" s="84"/>
      <c r="H148" s="101">
        <v>143</v>
      </c>
      <c r="I148" s="102" t="str">
        <f t="shared" si="11"/>
        <v/>
      </c>
      <c r="J148" s="101">
        <f t="shared" si="14"/>
        <v>-5</v>
      </c>
      <c r="K148" s="101">
        <f t="shared" si="12"/>
        <v>-50</v>
      </c>
      <c r="L148" s="101"/>
      <c r="M148" s="103">
        <f t="shared" si="13"/>
        <v>0</v>
      </c>
    </row>
    <row r="149" spans="1:13" x14ac:dyDescent="0.25">
      <c r="A149" s="117"/>
      <c r="G149" s="84"/>
      <c r="H149" s="101">
        <v>144</v>
      </c>
      <c r="I149" s="102" t="str">
        <f t="shared" si="11"/>
        <v/>
      </c>
      <c r="J149" s="101">
        <f t="shared" si="14"/>
        <v>-5</v>
      </c>
      <c r="K149" s="101">
        <f t="shared" si="12"/>
        <v>-50</v>
      </c>
      <c r="L149" s="101"/>
      <c r="M149" s="103">
        <f t="shared" si="13"/>
        <v>0</v>
      </c>
    </row>
    <row r="150" spans="1:13" x14ac:dyDescent="0.25">
      <c r="A150" s="117"/>
      <c r="G150" s="84"/>
      <c r="H150" s="101">
        <v>145</v>
      </c>
      <c r="I150" s="102" t="str">
        <f t="shared" si="11"/>
        <v/>
      </c>
      <c r="J150" s="101">
        <f t="shared" si="14"/>
        <v>-5</v>
      </c>
      <c r="K150" s="101">
        <f t="shared" si="12"/>
        <v>-50</v>
      </c>
      <c r="L150" s="101"/>
      <c r="M150" s="103">
        <f t="shared" si="13"/>
        <v>0</v>
      </c>
    </row>
    <row r="151" spans="1:13" x14ac:dyDescent="0.25">
      <c r="A151" s="117"/>
      <c r="G151" s="84"/>
      <c r="H151" s="101">
        <v>146</v>
      </c>
      <c r="I151" s="102" t="str">
        <f t="shared" si="11"/>
        <v/>
      </c>
      <c r="J151" s="101">
        <f t="shared" si="14"/>
        <v>-5</v>
      </c>
      <c r="K151" s="101">
        <f t="shared" si="12"/>
        <v>-50</v>
      </c>
      <c r="L151" s="101"/>
      <c r="M151" s="103">
        <f t="shared" si="13"/>
        <v>0</v>
      </c>
    </row>
    <row r="152" spans="1:13" x14ac:dyDescent="0.25">
      <c r="A152" s="117"/>
      <c r="G152" s="84"/>
      <c r="H152" s="101">
        <v>147</v>
      </c>
      <c r="I152" s="102" t="str">
        <f t="shared" si="11"/>
        <v/>
      </c>
      <c r="J152" s="101">
        <f t="shared" si="14"/>
        <v>-5</v>
      </c>
      <c r="K152" s="101">
        <f t="shared" si="12"/>
        <v>-50</v>
      </c>
      <c r="L152" s="101"/>
      <c r="M152" s="103">
        <f t="shared" si="13"/>
        <v>0</v>
      </c>
    </row>
    <row r="153" spans="1:13" x14ac:dyDescent="0.25">
      <c r="A153" s="117"/>
      <c r="G153" s="84"/>
      <c r="H153" s="101">
        <v>148</v>
      </c>
      <c r="I153" s="102" t="str">
        <f t="shared" si="11"/>
        <v/>
      </c>
      <c r="J153" s="101">
        <f t="shared" si="14"/>
        <v>-5</v>
      </c>
      <c r="K153" s="101">
        <f t="shared" si="12"/>
        <v>-50</v>
      </c>
      <c r="L153" s="101"/>
      <c r="M153" s="103">
        <f t="shared" si="13"/>
        <v>0</v>
      </c>
    </row>
    <row r="154" spans="1:13" x14ac:dyDescent="0.25">
      <c r="A154" s="117"/>
      <c r="G154" s="84"/>
      <c r="H154" s="101">
        <v>149</v>
      </c>
      <c r="I154" s="102" t="str">
        <f t="shared" si="11"/>
        <v/>
      </c>
      <c r="J154" s="101">
        <f t="shared" si="14"/>
        <v>-5</v>
      </c>
      <c r="K154" s="101">
        <f t="shared" si="12"/>
        <v>-50</v>
      </c>
      <c r="L154" s="101"/>
      <c r="M154" s="103">
        <f t="shared" si="13"/>
        <v>0</v>
      </c>
    </row>
    <row r="155" spans="1:13" x14ac:dyDescent="0.25">
      <c r="A155" s="117"/>
      <c r="G155" s="84"/>
      <c r="H155" s="101">
        <v>150</v>
      </c>
      <c r="I155" s="102" t="str">
        <f t="shared" si="11"/>
        <v/>
      </c>
      <c r="J155" s="101">
        <f t="shared" si="14"/>
        <v>-5</v>
      </c>
      <c r="K155" s="101">
        <f t="shared" si="12"/>
        <v>-50</v>
      </c>
      <c r="L155" s="101"/>
      <c r="M155" s="103">
        <f t="shared" si="13"/>
        <v>0</v>
      </c>
    </row>
    <row r="156" spans="1:13" x14ac:dyDescent="0.25">
      <c r="A156" s="117"/>
      <c r="G156" s="84"/>
      <c r="H156" s="101">
        <v>151</v>
      </c>
      <c r="I156" s="102" t="str">
        <f t="shared" si="11"/>
        <v/>
      </c>
      <c r="J156" s="101">
        <f t="shared" si="14"/>
        <v>-5</v>
      </c>
      <c r="K156" s="101">
        <f t="shared" si="12"/>
        <v>-50</v>
      </c>
      <c r="L156" s="101"/>
      <c r="M156" s="103">
        <f t="shared" si="13"/>
        <v>0</v>
      </c>
    </row>
    <row r="157" spans="1:13" x14ac:dyDescent="0.25">
      <c r="A157" s="117"/>
      <c r="G157" s="84"/>
      <c r="H157" s="101">
        <v>152</v>
      </c>
      <c r="I157" s="102" t="str">
        <f t="shared" si="11"/>
        <v/>
      </c>
      <c r="J157" s="101">
        <f t="shared" si="14"/>
        <v>-5</v>
      </c>
      <c r="K157" s="101">
        <f t="shared" si="12"/>
        <v>-50</v>
      </c>
      <c r="L157" s="101"/>
      <c r="M157" s="103">
        <f t="shared" si="13"/>
        <v>0</v>
      </c>
    </row>
    <row r="158" spans="1:13" x14ac:dyDescent="0.25">
      <c r="A158" s="117"/>
      <c r="G158" s="84"/>
      <c r="H158" s="101">
        <v>153</v>
      </c>
      <c r="I158" s="102" t="str">
        <f t="shared" si="11"/>
        <v/>
      </c>
      <c r="J158" s="101">
        <f t="shared" si="14"/>
        <v>-5</v>
      </c>
      <c r="K158" s="101">
        <f t="shared" si="12"/>
        <v>-50</v>
      </c>
      <c r="L158" s="101"/>
      <c r="M158" s="103">
        <f t="shared" si="13"/>
        <v>0</v>
      </c>
    </row>
    <row r="159" spans="1:13" x14ac:dyDescent="0.25">
      <c r="A159" s="117"/>
      <c r="G159" s="84"/>
      <c r="H159" s="101">
        <v>154</v>
      </c>
      <c r="I159" s="102" t="str">
        <f t="shared" si="11"/>
        <v/>
      </c>
      <c r="J159" s="101">
        <f t="shared" si="14"/>
        <v>-5</v>
      </c>
      <c r="K159" s="101">
        <f t="shared" si="12"/>
        <v>-50</v>
      </c>
      <c r="L159" s="101"/>
      <c r="M159" s="103">
        <f t="shared" si="13"/>
        <v>0</v>
      </c>
    </row>
    <row r="160" spans="1:13" x14ac:dyDescent="0.25">
      <c r="A160" s="117"/>
      <c r="G160" s="84"/>
      <c r="H160" s="101">
        <v>155</v>
      </c>
      <c r="I160" s="102" t="str">
        <f t="shared" si="11"/>
        <v/>
      </c>
      <c r="J160" s="101">
        <f t="shared" si="14"/>
        <v>-5</v>
      </c>
      <c r="K160" s="101">
        <f t="shared" si="12"/>
        <v>-50</v>
      </c>
      <c r="L160" s="101"/>
      <c r="M160" s="103">
        <f t="shared" si="13"/>
        <v>0</v>
      </c>
    </row>
    <row r="161" spans="1:13" x14ac:dyDescent="0.25">
      <c r="A161" s="117"/>
      <c r="G161" s="84"/>
      <c r="H161" s="101">
        <v>156</v>
      </c>
      <c r="I161" s="102" t="str">
        <f t="shared" si="11"/>
        <v/>
      </c>
      <c r="J161" s="101">
        <f t="shared" si="14"/>
        <v>-5</v>
      </c>
      <c r="K161" s="101">
        <f t="shared" si="12"/>
        <v>-50</v>
      </c>
      <c r="L161" s="101"/>
      <c r="M161" s="103">
        <f t="shared" si="13"/>
        <v>0</v>
      </c>
    </row>
    <row r="162" spans="1:13" x14ac:dyDescent="0.25">
      <c r="A162" s="117"/>
      <c r="G162" s="84"/>
      <c r="H162" s="101">
        <v>157</v>
      </c>
      <c r="I162" s="102" t="str">
        <f t="shared" si="11"/>
        <v/>
      </c>
      <c r="J162" s="101">
        <f t="shared" si="14"/>
        <v>-5</v>
      </c>
      <c r="K162" s="101">
        <f t="shared" si="12"/>
        <v>-50</v>
      </c>
      <c r="L162" s="101"/>
      <c r="M162" s="103">
        <f t="shared" si="13"/>
        <v>0</v>
      </c>
    </row>
    <row r="163" spans="1:13" x14ac:dyDescent="0.25">
      <c r="A163" s="117"/>
      <c r="G163" s="84"/>
      <c r="H163" s="101">
        <v>158</v>
      </c>
      <c r="I163" s="102" t="str">
        <f t="shared" si="11"/>
        <v/>
      </c>
      <c r="J163" s="101">
        <f t="shared" si="14"/>
        <v>-5</v>
      </c>
      <c r="K163" s="101">
        <f t="shared" si="12"/>
        <v>-50</v>
      </c>
      <c r="L163" s="101"/>
      <c r="M163" s="103">
        <f t="shared" si="13"/>
        <v>0</v>
      </c>
    </row>
    <row r="164" spans="1:13" x14ac:dyDescent="0.25">
      <c r="A164" s="117"/>
      <c r="G164" s="84"/>
      <c r="H164" s="101">
        <v>159</v>
      </c>
      <c r="I164" s="102" t="str">
        <f t="shared" si="11"/>
        <v/>
      </c>
      <c r="J164" s="101">
        <f t="shared" si="14"/>
        <v>-5</v>
      </c>
      <c r="K164" s="101">
        <f t="shared" si="12"/>
        <v>-50</v>
      </c>
      <c r="L164" s="101"/>
      <c r="M164" s="103">
        <f t="shared" si="13"/>
        <v>0</v>
      </c>
    </row>
    <row r="165" spans="1:13" x14ac:dyDescent="0.25">
      <c r="A165" s="117"/>
      <c r="G165" s="84"/>
      <c r="H165" s="101">
        <v>160</v>
      </c>
      <c r="I165" s="102" t="str">
        <f t="shared" si="11"/>
        <v/>
      </c>
      <c r="J165" s="101">
        <f t="shared" si="14"/>
        <v>-5</v>
      </c>
      <c r="K165" s="101">
        <f t="shared" si="12"/>
        <v>-50</v>
      </c>
      <c r="L165" s="101"/>
      <c r="M165" s="103">
        <f t="shared" si="13"/>
        <v>0</v>
      </c>
    </row>
    <row r="166" spans="1:13" x14ac:dyDescent="0.25">
      <c r="A166" s="117"/>
      <c r="G166" s="84"/>
      <c r="H166" s="101">
        <v>161</v>
      </c>
      <c r="I166" s="102" t="str">
        <f t="shared" si="11"/>
        <v/>
      </c>
      <c r="J166" s="101">
        <f t="shared" si="14"/>
        <v>-5</v>
      </c>
      <c r="K166" s="101">
        <f t="shared" si="12"/>
        <v>-50</v>
      </c>
      <c r="L166" s="101"/>
      <c r="M166" s="103">
        <f t="shared" si="13"/>
        <v>0</v>
      </c>
    </row>
    <row r="167" spans="1:13" x14ac:dyDescent="0.25">
      <c r="A167" s="117"/>
      <c r="G167" s="84"/>
      <c r="H167" s="101">
        <v>162</v>
      </c>
      <c r="I167" s="102" t="str">
        <f t="shared" si="11"/>
        <v/>
      </c>
      <c r="J167" s="101">
        <f t="shared" si="14"/>
        <v>-5</v>
      </c>
      <c r="K167" s="101">
        <f t="shared" si="12"/>
        <v>-50</v>
      </c>
      <c r="L167" s="101"/>
      <c r="M167" s="103">
        <f t="shared" si="13"/>
        <v>0</v>
      </c>
    </row>
    <row r="168" spans="1:13" x14ac:dyDescent="0.25">
      <c r="A168" s="117"/>
      <c r="G168" s="84"/>
      <c r="H168" s="101">
        <v>163</v>
      </c>
      <c r="I168" s="102" t="str">
        <f t="shared" si="11"/>
        <v/>
      </c>
      <c r="J168" s="101">
        <f t="shared" si="14"/>
        <v>-5</v>
      </c>
      <c r="K168" s="101">
        <f t="shared" si="12"/>
        <v>-50</v>
      </c>
      <c r="L168" s="101"/>
      <c r="M168" s="103">
        <f t="shared" si="13"/>
        <v>0</v>
      </c>
    </row>
    <row r="169" spans="1:13" x14ac:dyDescent="0.25">
      <c r="A169" s="117"/>
      <c r="G169" s="84"/>
      <c r="H169" s="101">
        <v>164</v>
      </c>
      <c r="I169" s="102" t="str">
        <f t="shared" si="11"/>
        <v/>
      </c>
      <c r="J169" s="101">
        <f t="shared" si="14"/>
        <v>-5</v>
      </c>
      <c r="K169" s="101">
        <f t="shared" si="12"/>
        <v>-50</v>
      </c>
      <c r="L169" s="101"/>
      <c r="M169" s="103">
        <f t="shared" si="13"/>
        <v>0</v>
      </c>
    </row>
    <row r="170" spans="1:13" x14ac:dyDescent="0.25">
      <c r="A170" s="117"/>
      <c r="G170" s="84"/>
      <c r="H170" s="101">
        <v>165</v>
      </c>
      <c r="I170" s="102" t="str">
        <f t="shared" si="11"/>
        <v/>
      </c>
      <c r="J170" s="101">
        <f t="shared" si="14"/>
        <v>-5</v>
      </c>
      <c r="K170" s="101">
        <f t="shared" si="12"/>
        <v>-50</v>
      </c>
      <c r="L170" s="101"/>
      <c r="M170" s="103">
        <f t="shared" si="13"/>
        <v>0</v>
      </c>
    </row>
    <row r="171" spans="1:13" x14ac:dyDescent="0.25">
      <c r="A171" s="117"/>
      <c r="G171" s="84"/>
      <c r="H171" s="101">
        <v>166</v>
      </c>
      <c r="I171" s="102" t="str">
        <f t="shared" si="11"/>
        <v/>
      </c>
      <c r="J171" s="101">
        <f t="shared" si="14"/>
        <v>-5</v>
      </c>
      <c r="K171" s="101">
        <f t="shared" si="12"/>
        <v>-50</v>
      </c>
      <c r="L171" s="101"/>
      <c r="M171" s="103">
        <f t="shared" si="13"/>
        <v>0</v>
      </c>
    </row>
    <row r="172" spans="1:13" x14ac:dyDescent="0.25">
      <c r="A172" s="117"/>
      <c r="G172" s="84"/>
      <c r="H172" s="101">
        <v>167</v>
      </c>
      <c r="I172" s="102" t="str">
        <f t="shared" si="11"/>
        <v/>
      </c>
      <c r="J172" s="101">
        <f t="shared" si="14"/>
        <v>-5</v>
      </c>
      <c r="K172" s="101">
        <f t="shared" si="12"/>
        <v>-50</v>
      </c>
      <c r="L172" s="101"/>
      <c r="M172" s="103">
        <f t="shared" si="13"/>
        <v>0</v>
      </c>
    </row>
    <row r="173" spans="1:13" x14ac:dyDescent="0.25">
      <c r="A173" s="117"/>
      <c r="G173" s="84"/>
      <c r="H173" s="101">
        <v>168</v>
      </c>
      <c r="I173" s="102" t="str">
        <f t="shared" si="11"/>
        <v/>
      </c>
      <c r="J173" s="101">
        <f t="shared" si="14"/>
        <v>-5</v>
      </c>
      <c r="K173" s="101">
        <f t="shared" si="12"/>
        <v>-50</v>
      </c>
      <c r="L173" s="101"/>
      <c r="M173" s="103">
        <f t="shared" si="13"/>
        <v>0</v>
      </c>
    </row>
    <row r="174" spans="1:13" x14ac:dyDescent="0.25">
      <c r="A174" s="117"/>
      <c r="G174" s="84"/>
      <c r="H174" s="101">
        <v>169</v>
      </c>
      <c r="I174" s="102" t="str">
        <f t="shared" si="11"/>
        <v/>
      </c>
      <c r="J174" s="101">
        <f t="shared" si="14"/>
        <v>-5</v>
      </c>
      <c r="K174" s="101">
        <f t="shared" si="12"/>
        <v>-50</v>
      </c>
      <c r="L174" s="101"/>
      <c r="M174" s="103">
        <f t="shared" si="13"/>
        <v>0</v>
      </c>
    </row>
    <row r="175" spans="1:13" x14ac:dyDescent="0.25">
      <c r="A175" s="117"/>
      <c r="G175" s="84"/>
      <c r="H175" s="101">
        <v>170</v>
      </c>
      <c r="I175" s="102" t="str">
        <f t="shared" si="11"/>
        <v/>
      </c>
      <c r="J175" s="101">
        <f t="shared" si="14"/>
        <v>-5</v>
      </c>
      <c r="K175" s="101">
        <f t="shared" si="12"/>
        <v>-50</v>
      </c>
      <c r="L175" s="101"/>
      <c r="M175" s="103">
        <f t="shared" si="13"/>
        <v>0</v>
      </c>
    </row>
    <row r="176" spans="1:13" x14ac:dyDescent="0.25">
      <c r="A176" s="117"/>
      <c r="G176" s="84"/>
      <c r="H176" s="101">
        <v>171</v>
      </c>
      <c r="I176" s="102" t="str">
        <f t="shared" si="11"/>
        <v/>
      </c>
      <c r="J176" s="101">
        <f t="shared" si="14"/>
        <v>-5</v>
      </c>
      <c r="K176" s="101">
        <f t="shared" si="12"/>
        <v>-50</v>
      </c>
      <c r="L176" s="101"/>
      <c r="M176" s="103">
        <f t="shared" si="13"/>
        <v>0</v>
      </c>
    </row>
    <row r="177" spans="1:13" x14ac:dyDescent="0.25">
      <c r="A177" s="117"/>
      <c r="G177" s="84"/>
      <c r="H177" s="101">
        <v>172</v>
      </c>
      <c r="I177" s="102" t="str">
        <f t="shared" si="11"/>
        <v/>
      </c>
      <c r="J177" s="101">
        <f t="shared" si="14"/>
        <v>-5</v>
      </c>
      <c r="K177" s="101">
        <f t="shared" si="12"/>
        <v>-50</v>
      </c>
      <c r="L177" s="101"/>
      <c r="M177" s="103">
        <f t="shared" si="13"/>
        <v>0</v>
      </c>
    </row>
    <row r="178" spans="1:13" x14ac:dyDescent="0.25">
      <c r="A178" s="117"/>
      <c r="G178" s="84"/>
      <c r="H178" s="101">
        <v>173</v>
      </c>
      <c r="I178" s="102" t="str">
        <f t="shared" si="11"/>
        <v/>
      </c>
      <c r="J178" s="101">
        <f t="shared" si="14"/>
        <v>-5</v>
      </c>
      <c r="K178" s="101">
        <f t="shared" si="12"/>
        <v>-50</v>
      </c>
      <c r="L178" s="101"/>
      <c r="M178" s="103">
        <f t="shared" si="13"/>
        <v>0</v>
      </c>
    </row>
    <row r="179" spans="1:13" x14ac:dyDescent="0.25">
      <c r="A179" s="117"/>
      <c r="G179" s="84"/>
      <c r="H179" s="101">
        <v>174</v>
      </c>
      <c r="I179" s="102" t="str">
        <f t="shared" si="11"/>
        <v/>
      </c>
      <c r="J179" s="101">
        <f t="shared" si="14"/>
        <v>-5</v>
      </c>
      <c r="K179" s="101">
        <f t="shared" si="12"/>
        <v>-50</v>
      </c>
      <c r="L179" s="101"/>
      <c r="M179" s="103">
        <f t="shared" si="13"/>
        <v>0</v>
      </c>
    </row>
    <row r="180" spans="1:13" x14ac:dyDescent="0.25">
      <c r="A180" s="117"/>
      <c r="G180" s="84"/>
      <c r="H180" s="101">
        <v>175</v>
      </c>
      <c r="I180" s="102" t="str">
        <f t="shared" si="11"/>
        <v/>
      </c>
      <c r="J180" s="101">
        <f t="shared" si="14"/>
        <v>-5</v>
      </c>
      <c r="K180" s="101">
        <f t="shared" si="12"/>
        <v>-50</v>
      </c>
      <c r="L180" s="101"/>
      <c r="M180" s="103">
        <f t="shared" si="13"/>
        <v>0</v>
      </c>
    </row>
    <row r="181" spans="1:13" x14ac:dyDescent="0.25">
      <c r="A181" s="117"/>
      <c r="G181" s="84"/>
      <c r="H181" s="101">
        <v>176</v>
      </c>
      <c r="I181" s="102" t="str">
        <f t="shared" si="11"/>
        <v/>
      </c>
      <c r="J181" s="101">
        <f t="shared" si="14"/>
        <v>-5</v>
      </c>
      <c r="K181" s="101">
        <f t="shared" si="12"/>
        <v>-50</v>
      </c>
      <c r="L181" s="101"/>
      <c r="M181" s="103">
        <f t="shared" si="13"/>
        <v>0</v>
      </c>
    </row>
    <row r="182" spans="1:13" x14ac:dyDescent="0.25">
      <c r="A182" s="117"/>
      <c r="G182" s="84"/>
      <c r="H182" s="101">
        <v>177</v>
      </c>
      <c r="I182" s="102" t="str">
        <f t="shared" si="11"/>
        <v/>
      </c>
      <c r="J182" s="101">
        <f t="shared" si="14"/>
        <v>-5</v>
      </c>
      <c r="K182" s="101">
        <f t="shared" si="12"/>
        <v>-50</v>
      </c>
      <c r="L182" s="101"/>
      <c r="M182" s="103">
        <f t="shared" si="13"/>
        <v>0</v>
      </c>
    </row>
    <row r="183" spans="1:13" x14ac:dyDescent="0.25">
      <c r="A183" s="117"/>
      <c r="G183" s="84"/>
      <c r="H183" s="101">
        <v>178</v>
      </c>
      <c r="I183" s="102" t="str">
        <f t="shared" si="11"/>
        <v/>
      </c>
      <c r="J183" s="101">
        <f t="shared" si="14"/>
        <v>-5</v>
      </c>
      <c r="K183" s="101">
        <f t="shared" si="12"/>
        <v>-50</v>
      </c>
      <c r="L183" s="101"/>
      <c r="M183" s="103">
        <f t="shared" si="13"/>
        <v>0</v>
      </c>
    </row>
    <row r="184" spans="1:13" x14ac:dyDescent="0.25">
      <c r="A184" s="117"/>
      <c r="G184" s="84"/>
      <c r="H184" s="101">
        <v>179</v>
      </c>
      <c r="I184" s="102" t="str">
        <f t="shared" si="11"/>
        <v/>
      </c>
      <c r="J184" s="101">
        <f t="shared" si="14"/>
        <v>-5</v>
      </c>
      <c r="K184" s="101">
        <f t="shared" si="12"/>
        <v>-50</v>
      </c>
      <c r="L184" s="101"/>
      <c r="M184" s="103">
        <f t="shared" si="13"/>
        <v>0</v>
      </c>
    </row>
    <row r="185" spans="1:13" x14ac:dyDescent="0.25">
      <c r="A185" s="117"/>
      <c r="G185" s="84"/>
      <c r="H185" s="101">
        <v>180</v>
      </c>
      <c r="I185" s="102" t="str">
        <f t="shared" si="11"/>
        <v/>
      </c>
      <c r="J185" s="101">
        <f t="shared" si="14"/>
        <v>-5</v>
      </c>
      <c r="K185" s="101">
        <f t="shared" si="12"/>
        <v>-50</v>
      </c>
      <c r="L185" s="101"/>
      <c r="M185" s="103">
        <f t="shared" si="13"/>
        <v>0</v>
      </c>
    </row>
    <row r="186" spans="1:13" x14ac:dyDescent="0.25">
      <c r="A186" s="117"/>
      <c r="G186" s="84"/>
      <c r="H186" s="101">
        <v>181</v>
      </c>
      <c r="I186" s="102" t="str">
        <f t="shared" si="11"/>
        <v/>
      </c>
      <c r="J186" s="101">
        <f t="shared" si="14"/>
        <v>-5</v>
      </c>
      <c r="K186" s="101">
        <f t="shared" si="12"/>
        <v>-50</v>
      </c>
      <c r="L186" s="101"/>
      <c r="M186" s="103">
        <f t="shared" si="13"/>
        <v>0</v>
      </c>
    </row>
    <row r="187" spans="1:13" x14ac:dyDescent="0.25">
      <c r="A187" s="117"/>
      <c r="G187" s="84"/>
      <c r="H187" s="101">
        <v>182</v>
      </c>
      <c r="I187" s="102" t="str">
        <f t="shared" si="11"/>
        <v/>
      </c>
      <c r="J187" s="101">
        <f t="shared" si="14"/>
        <v>-5</v>
      </c>
      <c r="K187" s="101">
        <f t="shared" si="12"/>
        <v>-50</v>
      </c>
      <c r="L187" s="101"/>
      <c r="M187" s="103">
        <f t="shared" si="13"/>
        <v>0</v>
      </c>
    </row>
    <row r="188" spans="1:13" x14ac:dyDescent="0.25">
      <c r="A188" s="117"/>
      <c r="G188" s="84"/>
      <c r="H188" s="101">
        <v>183</v>
      </c>
      <c r="I188" s="102" t="str">
        <f t="shared" si="11"/>
        <v/>
      </c>
      <c r="J188" s="101">
        <f t="shared" si="14"/>
        <v>-5</v>
      </c>
      <c r="K188" s="101">
        <f t="shared" si="12"/>
        <v>-50</v>
      </c>
      <c r="L188" s="101"/>
      <c r="M188" s="103">
        <f t="shared" si="13"/>
        <v>0</v>
      </c>
    </row>
    <row r="189" spans="1:13" x14ac:dyDescent="0.25">
      <c r="A189" s="117"/>
      <c r="G189" s="84"/>
      <c r="H189" s="101">
        <v>184</v>
      </c>
      <c r="I189" s="102" t="str">
        <f t="shared" si="11"/>
        <v/>
      </c>
      <c r="J189" s="101">
        <f t="shared" si="14"/>
        <v>-5</v>
      </c>
      <c r="K189" s="101">
        <f t="shared" si="12"/>
        <v>-50</v>
      </c>
      <c r="L189" s="101"/>
      <c r="M189" s="103">
        <f t="shared" si="13"/>
        <v>0</v>
      </c>
    </row>
    <row r="190" spans="1:13" x14ac:dyDescent="0.25">
      <c r="A190" s="117"/>
      <c r="G190" s="84"/>
      <c r="H190" s="101">
        <v>185</v>
      </c>
      <c r="I190" s="102" t="str">
        <f t="shared" si="11"/>
        <v/>
      </c>
      <c r="J190" s="101">
        <f t="shared" si="14"/>
        <v>-5</v>
      </c>
      <c r="K190" s="101">
        <f t="shared" si="12"/>
        <v>-50</v>
      </c>
      <c r="L190" s="101"/>
      <c r="M190" s="103">
        <f t="shared" si="13"/>
        <v>0</v>
      </c>
    </row>
    <row r="191" spans="1:13" x14ac:dyDescent="0.25">
      <c r="A191" s="117"/>
      <c r="G191" s="84"/>
      <c r="H191" s="101">
        <v>186</v>
      </c>
      <c r="I191" s="102" t="str">
        <f t="shared" si="11"/>
        <v/>
      </c>
      <c r="J191" s="101">
        <f t="shared" si="14"/>
        <v>-5</v>
      </c>
      <c r="K191" s="101">
        <f t="shared" si="12"/>
        <v>-50</v>
      </c>
      <c r="L191" s="101"/>
      <c r="M191" s="103">
        <f t="shared" si="13"/>
        <v>0</v>
      </c>
    </row>
    <row r="192" spans="1:13" x14ac:dyDescent="0.25">
      <c r="A192" s="117"/>
      <c r="G192" s="84"/>
      <c r="H192" s="101">
        <v>187</v>
      </c>
      <c r="I192" s="102" t="str">
        <f t="shared" si="11"/>
        <v/>
      </c>
      <c r="J192" s="101">
        <f t="shared" si="14"/>
        <v>-5</v>
      </c>
      <c r="K192" s="101">
        <f t="shared" si="12"/>
        <v>-50</v>
      </c>
      <c r="L192" s="101"/>
      <c r="M192" s="103">
        <f t="shared" si="13"/>
        <v>0</v>
      </c>
    </row>
    <row r="193" spans="1:13" x14ac:dyDescent="0.25">
      <c r="A193" s="117"/>
      <c r="G193" s="84"/>
      <c r="H193" s="101">
        <v>188</v>
      </c>
      <c r="I193" s="102" t="str">
        <f t="shared" si="11"/>
        <v/>
      </c>
      <c r="J193" s="101">
        <f t="shared" si="14"/>
        <v>-5</v>
      </c>
      <c r="K193" s="101">
        <f t="shared" si="12"/>
        <v>-50</v>
      </c>
      <c r="L193" s="101"/>
      <c r="M193" s="103">
        <f t="shared" si="13"/>
        <v>0</v>
      </c>
    </row>
    <row r="194" spans="1:13" x14ac:dyDescent="0.25">
      <c r="A194" s="117"/>
      <c r="G194" s="84"/>
      <c r="H194" s="101">
        <v>189</v>
      </c>
      <c r="I194" s="102" t="str">
        <f t="shared" si="11"/>
        <v/>
      </c>
      <c r="J194" s="101">
        <f t="shared" si="14"/>
        <v>-5</v>
      </c>
      <c r="K194" s="101">
        <f t="shared" si="12"/>
        <v>-50</v>
      </c>
      <c r="L194" s="101"/>
      <c r="M194" s="103">
        <f t="shared" si="13"/>
        <v>0</v>
      </c>
    </row>
    <row r="195" spans="1:13" x14ac:dyDescent="0.25">
      <c r="A195" s="117"/>
      <c r="G195" s="84"/>
      <c r="H195" s="101">
        <v>190</v>
      </c>
      <c r="I195" s="102" t="str">
        <f t="shared" si="11"/>
        <v/>
      </c>
      <c r="J195" s="101">
        <f t="shared" si="14"/>
        <v>-5</v>
      </c>
      <c r="K195" s="101">
        <f t="shared" si="12"/>
        <v>-50</v>
      </c>
      <c r="L195" s="101"/>
      <c r="M195" s="103">
        <f t="shared" si="13"/>
        <v>0</v>
      </c>
    </row>
    <row r="196" spans="1:13" x14ac:dyDescent="0.25">
      <c r="A196" s="117"/>
      <c r="G196" s="84"/>
      <c r="H196" s="101">
        <v>191</v>
      </c>
      <c r="I196" s="102" t="str">
        <f t="shared" si="11"/>
        <v/>
      </c>
      <c r="J196" s="101">
        <f t="shared" si="14"/>
        <v>-5</v>
      </c>
      <c r="K196" s="101">
        <f t="shared" si="12"/>
        <v>-50</v>
      </c>
      <c r="L196" s="101"/>
      <c r="M196" s="103">
        <f t="shared" si="13"/>
        <v>0</v>
      </c>
    </row>
    <row r="197" spans="1:13" x14ac:dyDescent="0.25">
      <c r="A197" s="117"/>
      <c r="G197" s="84"/>
      <c r="H197" s="101">
        <v>192</v>
      </c>
      <c r="I197" s="102" t="str">
        <f t="shared" si="11"/>
        <v/>
      </c>
      <c r="J197" s="101">
        <f t="shared" si="14"/>
        <v>-5</v>
      </c>
      <c r="K197" s="101">
        <f t="shared" si="12"/>
        <v>-50</v>
      </c>
      <c r="L197" s="101"/>
      <c r="M197" s="103">
        <f t="shared" si="13"/>
        <v>0</v>
      </c>
    </row>
    <row r="198" spans="1:13" x14ac:dyDescent="0.25">
      <c r="A198" s="117"/>
      <c r="G198" s="84"/>
      <c r="H198" s="101">
        <v>193</v>
      </c>
      <c r="I198" s="102" t="str">
        <f t="shared" ref="I198:I261" si="15">IF(H198&lt;$H$2+1,($I$2-($I$2-1)*(LOG(H198)/LOG($H$2))),"")</f>
        <v/>
      </c>
      <c r="J198" s="101">
        <f t="shared" si="14"/>
        <v>-5</v>
      </c>
      <c r="K198" s="101">
        <f t="shared" ref="K198:K261" si="16">J198*$J$2</f>
        <v>-50</v>
      </c>
      <c r="L198" s="101"/>
      <c r="M198" s="103">
        <f t="shared" ref="M198:M261" si="17">IF(I198&lt;&gt;"",K198+I198+L198,0)</f>
        <v>0</v>
      </c>
    </row>
    <row r="199" spans="1:13" x14ac:dyDescent="0.25">
      <c r="A199" s="117"/>
      <c r="G199" s="84"/>
      <c r="H199" s="101">
        <v>194</v>
      </c>
      <c r="I199" s="102" t="str">
        <f t="shared" si="15"/>
        <v/>
      </c>
      <c r="J199" s="101">
        <f t="shared" ref="J199:J262" si="18">INT(LOG($H$2,2))-ROUNDUP(LOG(H199,2),0)+IF(OR($H$2=1,$H$2=2,$H$2=4,$H$2=8,$H$2=16,$H$2=32,$H$2=64,$H$2=128,$H$2=256),0,1)</f>
        <v>-5</v>
      </c>
      <c r="K199" s="101">
        <f t="shared" si="16"/>
        <v>-50</v>
      </c>
      <c r="L199" s="101"/>
      <c r="M199" s="103">
        <f t="shared" si="17"/>
        <v>0</v>
      </c>
    </row>
    <row r="200" spans="1:13" x14ac:dyDescent="0.25">
      <c r="A200" s="117"/>
      <c r="G200" s="84"/>
      <c r="H200" s="101">
        <v>195</v>
      </c>
      <c r="I200" s="102" t="str">
        <f t="shared" si="15"/>
        <v/>
      </c>
      <c r="J200" s="101">
        <f t="shared" si="18"/>
        <v>-5</v>
      </c>
      <c r="K200" s="101">
        <f t="shared" si="16"/>
        <v>-50</v>
      </c>
      <c r="L200" s="101"/>
      <c r="M200" s="103">
        <f t="shared" si="17"/>
        <v>0</v>
      </c>
    </row>
    <row r="201" spans="1:13" x14ac:dyDescent="0.25">
      <c r="A201" s="117"/>
      <c r="G201" s="84"/>
      <c r="H201" s="101">
        <v>196</v>
      </c>
      <c r="I201" s="102" t="str">
        <f t="shared" si="15"/>
        <v/>
      </c>
      <c r="J201" s="101">
        <f t="shared" si="18"/>
        <v>-5</v>
      </c>
      <c r="K201" s="101">
        <f t="shared" si="16"/>
        <v>-50</v>
      </c>
      <c r="L201" s="101"/>
      <c r="M201" s="103">
        <f t="shared" si="17"/>
        <v>0</v>
      </c>
    </row>
    <row r="202" spans="1:13" x14ac:dyDescent="0.25">
      <c r="A202" s="117"/>
      <c r="G202" s="84"/>
      <c r="H202" s="101">
        <v>197</v>
      </c>
      <c r="I202" s="102" t="str">
        <f t="shared" si="15"/>
        <v/>
      </c>
      <c r="J202" s="101">
        <f t="shared" si="18"/>
        <v>-5</v>
      </c>
      <c r="K202" s="101">
        <f t="shared" si="16"/>
        <v>-50</v>
      </c>
      <c r="L202" s="101"/>
      <c r="M202" s="103">
        <f t="shared" si="17"/>
        <v>0</v>
      </c>
    </row>
    <row r="203" spans="1:13" x14ac:dyDescent="0.25">
      <c r="A203" s="117"/>
      <c r="G203" s="84"/>
      <c r="H203" s="101">
        <v>198</v>
      </c>
      <c r="I203" s="102" t="str">
        <f t="shared" si="15"/>
        <v/>
      </c>
      <c r="J203" s="101">
        <f t="shared" si="18"/>
        <v>-5</v>
      </c>
      <c r="K203" s="101">
        <f t="shared" si="16"/>
        <v>-50</v>
      </c>
      <c r="L203" s="101"/>
      <c r="M203" s="103">
        <f t="shared" si="17"/>
        <v>0</v>
      </c>
    </row>
    <row r="204" spans="1:13" x14ac:dyDescent="0.25">
      <c r="A204" s="117"/>
      <c r="G204" s="84"/>
      <c r="H204" s="101">
        <v>199</v>
      </c>
      <c r="I204" s="102" t="str">
        <f t="shared" si="15"/>
        <v/>
      </c>
      <c r="J204" s="101">
        <f t="shared" si="18"/>
        <v>-5</v>
      </c>
      <c r="K204" s="101">
        <f t="shared" si="16"/>
        <v>-50</v>
      </c>
      <c r="L204" s="101"/>
      <c r="M204" s="103">
        <f t="shared" si="17"/>
        <v>0</v>
      </c>
    </row>
    <row r="205" spans="1:13" x14ac:dyDescent="0.25">
      <c r="A205" s="117"/>
      <c r="G205" s="84"/>
      <c r="H205" s="101">
        <v>200</v>
      </c>
      <c r="I205" s="102" t="str">
        <f t="shared" si="15"/>
        <v/>
      </c>
      <c r="J205" s="101">
        <f t="shared" si="18"/>
        <v>-5</v>
      </c>
      <c r="K205" s="101">
        <f t="shared" si="16"/>
        <v>-50</v>
      </c>
      <c r="L205" s="101"/>
      <c r="M205" s="103">
        <f t="shared" si="17"/>
        <v>0</v>
      </c>
    </row>
    <row r="206" spans="1:13" x14ac:dyDescent="0.25">
      <c r="A206" s="117"/>
      <c r="G206" s="84"/>
      <c r="H206" s="101">
        <v>201</v>
      </c>
      <c r="I206" s="102" t="str">
        <f t="shared" si="15"/>
        <v/>
      </c>
      <c r="J206" s="101">
        <f t="shared" si="18"/>
        <v>-5</v>
      </c>
      <c r="K206" s="101">
        <f t="shared" si="16"/>
        <v>-50</v>
      </c>
      <c r="L206" s="101"/>
      <c r="M206" s="103">
        <f t="shared" si="17"/>
        <v>0</v>
      </c>
    </row>
    <row r="207" spans="1:13" x14ac:dyDescent="0.25">
      <c r="A207" s="117"/>
      <c r="G207" s="84"/>
      <c r="H207" s="101">
        <v>202</v>
      </c>
      <c r="I207" s="102" t="str">
        <f t="shared" si="15"/>
        <v/>
      </c>
      <c r="J207" s="101">
        <f t="shared" si="18"/>
        <v>-5</v>
      </c>
      <c r="K207" s="101">
        <f t="shared" si="16"/>
        <v>-50</v>
      </c>
      <c r="L207" s="101"/>
      <c r="M207" s="103">
        <f t="shared" si="17"/>
        <v>0</v>
      </c>
    </row>
    <row r="208" spans="1:13" x14ac:dyDescent="0.25">
      <c r="A208" s="117"/>
      <c r="G208" s="84"/>
      <c r="H208" s="101">
        <v>203</v>
      </c>
      <c r="I208" s="102" t="str">
        <f t="shared" si="15"/>
        <v/>
      </c>
      <c r="J208" s="101">
        <f t="shared" si="18"/>
        <v>-5</v>
      </c>
      <c r="K208" s="101">
        <f t="shared" si="16"/>
        <v>-50</v>
      </c>
      <c r="L208" s="101"/>
      <c r="M208" s="103">
        <f t="shared" si="17"/>
        <v>0</v>
      </c>
    </row>
    <row r="209" spans="1:13" x14ac:dyDescent="0.25">
      <c r="A209" s="117"/>
      <c r="G209" s="84"/>
      <c r="H209" s="101">
        <v>204</v>
      </c>
      <c r="I209" s="102" t="str">
        <f t="shared" si="15"/>
        <v/>
      </c>
      <c r="J209" s="101">
        <f t="shared" si="18"/>
        <v>-5</v>
      </c>
      <c r="K209" s="101">
        <f t="shared" si="16"/>
        <v>-50</v>
      </c>
      <c r="L209" s="101"/>
      <c r="M209" s="103">
        <f t="shared" si="17"/>
        <v>0</v>
      </c>
    </row>
    <row r="210" spans="1:13" x14ac:dyDescent="0.25">
      <c r="A210" s="117"/>
      <c r="G210" s="84"/>
      <c r="H210" s="101">
        <v>205</v>
      </c>
      <c r="I210" s="102" t="str">
        <f t="shared" si="15"/>
        <v/>
      </c>
      <c r="J210" s="101">
        <f t="shared" si="18"/>
        <v>-5</v>
      </c>
      <c r="K210" s="101">
        <f t="shared" si="16"/>
        <v>-50</v>
      </c>
      <c r="L210" s="101"/>
      <c r="M210" s="103">
        <f t="shared" si="17"/>
        <v>0</v>
      </c>
    </row>
    <row r="211" spans="1:13" x14ac:dyDescent="0.25">
      <c r="A211" s="117"/>
      <c r="G211" s="84"/>
      <c r="H211" s="101">
        <v>206</v>
      </c>
      <c r="I211" s="102" t="str">
        <f t="shared" si="15"/>
        <v/>
      </c>
      <c r="J211" s="101">
        <f t="shared" si="18"/>
        <v>-5</v>
      </c>
      <c r="K211" s="101">
        <f t="shared" si="16"/>
        <v>-50</v>
      </c>
      <c r="L211" s="101"/>
      <c r="M211" s="103">
        <f t="shared" si="17"/>
        <v>0</v>
      </c>
    </row>
    <row r="212" spans="1:13" x14ac:dyDescent="0.25">
      <c r="A212" s="117"/>
      <c r="G212" s="84"/>
      <c r="H212" s="101">
        <v>207</v>
      </c>
      <c r="I212" s="102" t="str">
        <f t="shared" si="15"/>
        <v/>
      </c>
      <c r="J212" s="101">
        <f t="shared" si="18"/>
        <v>-5</v>
      </c>
      <c r="K212" s="101">
        <f t="shared" si="16"/>
        <v>-50</v>
      </c>
      <c r="L212" s="101"/>
      <c r="M212" s="103">
        <f t="shared" si="17"/>
        <v>0</v>
      </c>
    </row>
    <row r="213" spans="1:13" x14ac:dyDescent="0.25">
      <c r="A213" s="117"/>
      <c r="G213" s="84"/>
      <c r="H213" s="101">
        <v>208</v>
      </c>
      <c r="I213" s="102" t="str">
        <f t="shared" si="15"/>
        <v/>
      </c>
      <c r="J213" s="101">
        <f t="shared" si="18"/>
        <v>-5</v>
      </c>
      <c r="K213" s="101">
        <f t="shared" si="16"/>
        <v>-50</v>
      </c>
      <c r="L213" s="101"/>
      <c r="M213" s="103">
        <f t="shared" si="17"/>
        <v>0</v>
      </c>
    </row>
    <row r="214" spans="1:13" x14ac:dyDescent="0.25">
      <c r="A214" s="117"/>
      <c r="G214" s="84"/>
      <c r="H214" s="101">
        <v>209</v>
      </c>
      <c r="I214" s="102" t="str">
        <f t="shared" si="15"/>
        <v/>
      </c>
      <c r="J214" s="101">
        <f t="shared" si="18"/>
        <v>-5</v>
      </c>
      <c r="K214" s="101">
        <f t="shared" si="16"/>
        <v>-50</v>
      </c>
      <c r="L214" s="101"/>
      <c r="M214" s="103">
        <f t="shared" si="17"/>
        <v>0</v>
      </c>
    </row>
    <row r="215" spans="1:13" x14ac:dyDescent="0.25">
      <c r="A215" s="117"/>
      <c r="G215" s="84"/>
      <c r="H215" s="101">
        <v>210</v>
      </c>
      <c r="I215" s="102" t="str">
        <f t="shared" si="15"/>
        <v/>
      </c>
      <c r="J215" s="101">
        <f t="shared" si="18"/>
        <v>-5</v>
      </c>
      <c r="K215" s="101">
        <f t="shared" si="16"/>
        <v>-50</v>
      </c>
      <c r="L215" s="101"/>
      <c r="M215" s="103">
        <f t="shared" si="17"/>
        <v>0</v>
      </c>
    </row>
    <row r="216" spans="1:13" x14ac:dyDescent="0.25">
      <c r="A216" s="117"/>
      <c r="G216" s="84"/>
      <c r="H216" s="101">
        <v>211</v>
      </c>
      <c r="I216" s="102" t="str">
        <f t="shared" si="15"/>
        <v/>
      </c>
      <c r="J216" s="101">
        <f t="shared" si="18"/>
        <v>-5</v>
      </c>
      <c r="K216" s="101">
        <f t="shared" si="16"/>
        <v>-50</v>
      </c>
      <c r="L216" s="101"/>
      <c r="M216" s="103">
        <f t="shared" si="17"/>
        <v>0</v>
      </c>
    </row>
    <row r="217" spans="1:13" x14ac:dyDescent="0.25">
      <c r="A217" s="117"/>
      <c r="G217" s="84"/>
      <c r="H217" s="101">
        <v>212</v>
      </c>
      <c r="I217" s="102" t="str">
        <f t="shared" si="15"/>
        <v/>
      </c>
      <c r="J217" s="101">
        <f t="shared" si="18"/>
        <v>-5</v>
      </c>
      <c r="K217" s="101">
        <f t="shared" si="16"/>
        <v>-50</v>
      </c>
      <c r="L217" s="101"/>
      <c r="M217" s="103">
        <f t="shared" si="17"/>
        <v>0</v>
      </c>
    </row>
    <row r="218" spans="1:13" x14ac:dyDescent="0.25">
      <c r="A218" s="117"/>
      <c r="G218" s="84"/>
      <c r="H218" s="101">
        <v>213</v>
      </c>
      <c r="I218" s="102" t="str">
        <f t="shared" si="15"/>
        <v/>
      </c>
      <c r="J218" s="101">
        <f t="shared" si="18"/>
        <v>-5</v>
      </c>
      <c r="K218" s="101">
        <f t="shared" si="16"/>
        <v>-50</v>
      </c>
      <c r="L218" s="101"/>
      <c r="M218" s="103">
        <f t="shared" si="17"/>
        <v>0</v>
      </c>
    </row>
    <row r="219" spans="1:13" x14ac:dyDescent="0.25">
      <c r="A219" s="117"/>
      <c r="G219" s="84"/>
      <c r="H219" s="101">
        <v>214</v>
      </c>
      <c r="I219" s="102" t="str">
        <f t="shared" si="15"/>
        <v/>
      </c>
      <c r="J219" s="101">
        <f t="shared" si="18"/>
        <v>-5</v>
      </c>
      <c r="K219" s="101">
        <f t="shared" si="16"/>
        <v>-50</v>
      </c>
      <c r="L219" s="101"/>
      <c r="M219" s="103">
        <f t="shared" si="17"/>
        <v>0</v>
      </c>
    </row>
    <row r="220" spans="1:13" x14ac:dyDescent="0.25">
      <c r="A220" s="117"/>
      <c r="G220" s="84"/>
      <c r="H220" s="101">
        <v>215</v>
      </c>
      <c r="I220" s="102" t="str">
        <f t="shared" si="15"/>
        <v/>
      </c>
      <c r="J220" s="101">
        <f t="shared" si="18"/>
        <v>-5</v>
      </c>
      <c r="K220" s="101">
        <f t="shared" si="16"/>
        <v>-50</v>
      </c>
      <c r="L220" s="101"/>
      <c r="M220" s="103">
        <f t="shared" si="17"/>
        <v>0</v>
      </c>
    </row>
    <row r="221" spans="1:13" x14ac:dyDescent="0.25">
      <c r="A221" s="117"/>
      <c r="G221" s="84"/>
      <c r="H221" s="101">
        <v>216</v>
      </c>
      <c r="I221" s="102" t="str">
        <f t="shared" si="15"/>
        <v/>
      </c>
      <c r="J221" s="101">
        <f t="shared" si="18"/>
        <v>-5</v>
      </c>
      <c r="K221" s="101">
        <f t="shared" si="16"/>
        <v>-50</v>
      </c>
      <c r="L221" s="101"/>
      <c r="M221" s="103">
        <f t="shared" si="17"/>
        <v>0</v>
      </c>
    </row>
    <row r="222" spans="1:13" x14ac:dyDescent="0.25">
      <c r="A222" s="117"/>
      <c r="G222" s="84"/>
      <c r="H222" s="101">
        <v>217</v>
      </c>
      <c r="I222" s="102" t="str">
        <f t="shared" si="15"/>
        <v/>
      </c>
      <c r="J222" s="101">
        <f t="shared" si="18"/>
        <v>-5</v>
      </c>
      <c r="K222" s="101">
        <f t="shared" si="16"/>
        <v>-50</v>
      </c>
      <c r="L222" s="101"/>
      <c r="M222" s="103">
        <f t="shared" si="17"/>
        <v>0</v>
      </c>
    </row>
    <row r="223" spans="1:13" x14ac:dyDescent="0.25">
      <c r="A223" s="117"/>
      <c r="G223" s="84"/>
      <c r="H223" s="101">
        <v>218</v>
      </c>
      <c r="I223" s="102" t="str">
        <f t="shared" si="15"/>
        <v/>
      </c>
      <c r="J223" s="101">
        <f t="shared" si="18"/>
        <v>-5</v>
      </c>
      <c r="K223" s="101">
        <f t="shared" si="16"/>
        <v>-50</v>
      </c>
      <c r="L223" s="101"/>
      <c r="M223" s="103">
        <f t="shared" si="17"/>
        <v>0</v>
      </c>
    </row>
    <row r="224" spans="1:13" x14ac:dyDescent="0.25">
      <c r="A224" s="117"/>
      <c r="G224" s="84"/>
      <c r="H224" s="101">
        <v>219</v>
      </c>
      <c r="I224" s="102" t="str">
        <f t="shared" si="15"/>
        <v/>
      </c>
      <c r="J224" s="101">
        <f t="shared" si="18"/>
        <v>-5</v>
      </c>
      <c r="K224" s="101">
        <f t="shared" si="16"/>
        <v>-50</v>
      </c>
      <c r="L224" s="101"/>
      <c r="M224" s="103">
        <f t="shared" si="17"/>
        <v>0</v>
      </c>
    </row>
    <row r="225" spans="1:13" x14ac:dyDescent="0.25">
      <c r="A225" s="117"/>
      <c r="G225" s="84"/>
      <c r="H225" s="101">
        <v>220</v>
      </c>
      <c r="I225" s="102" t="str">
        <f t="shared" si="15"/>
        <v/>
      </c>
      <c r="J225" s="101">
        <f t="shared" si="18"/>
        <v>-5</v>
      </c>
      <c r="K225" s="101">
        <f t="shared" si="16"/>
        <v>-50</v>
      </c>
      <c r="L225" s="101"/>
      <c r="M225" s="103">
        <f t="shared" si="17"/>
        <v>0</v>
      </c>
    </row>
    <row r="226" spans="1:13" x14ac:dyDescent="0.25">
      <c r="A226" s="117"/>
      <c r="G226" s="84"/>
      <c r="H226" s="101">
        <v>221</v>
      </c>
      <c r="I226" s="102" t="str">
        <f t="shared" si="15"/>
        <v/>
      </c>
      <c r="J226" s="101">
        <f t="shared" si="18"/>
        <v>-5</v>
      </c>
      <c r="K226" s="101">
        <f t="shared" si="16"/>
        <v>-50</v>
      </c>
      <c r="L226" s="101"/>
      <c r="M226" s="103">
        <f t="shared" si="17"/>
        <v>0</v>
      </c>
    </row>
    <row r="227" spans="1:13" x14ac:dyDescent="0.25">
      <c r="A227" s="117"/>
      <c r="G227" s="84"/>
      <c r="H227" s="101">
        <v>222</v>
      </c>
      <c r="I227" s="102" t="str">
        <f t="shared" si="15"/>
        <v/>
      </c>
      <c r="J227" s="101">
        <f t="shared" si="18"/>
        <v>-5</v>
      </c>
      <c r="K227" s="101">
        <f t="shared" si="16"/>
        <v>-50</v>
      </c>
      <c r="L227" s="101"/>
      <c r="M227" s="103">
        <f t="shared" si="17"/>
        <v>0</v>
      </c>
    </row>
    <row r="228" spans="1:13" x14ac:dyDescent="0.25">
      <c r="A228" s="117"/>
      <c r="G228" s="84"/>
      <c r="H228" s="101">
        <v>223</v>
      </c>
      <c r="I228" s="102" t="str">
        <f t="shared" si="15"/>
        <v/>
      </c>
      <c r="J228" s="101">
        <f t="shared" si="18"/>
        <v>-5</v>
      </c>
      <c r="K228" s="101">
        <f t="shared" si="16"/>
        <v>-50</v>
      </c>
      <c r="L228" s="101"/>
      <c r="M228" s="103">
        <f t="shared" si="17"/>
        <v>0</v>
      </c>
    </row>
    <row r="229" spans="1:13" x14ac:dyDescent="0.25">
      <c r="A229" s="117"/>
      <c r="G229" s="84"/>
      <c r="H229" s="101">
        <v>224</v>
      </c>
      <c r="I229" s="102" t="str">
        <f t="shared" si="15"/>
        <v/>
      </c>
      <c r="J229" s="101">
        <f t="shared" si="18"/>
        <v>-5</v>
      </c>
      <c r="K229" s="101">
        <f t="shared" si="16"/>
        <v>-50</v>
      </c>
      <c r="L229" s="101"/>
      <c r="M229" s="103">
        <f t="shared" si="17"/>
        <v>0</v>
      </c>
    </row>
    <row r="230" spans="1:13" x14ac:dyDescent="0.25">
      <c r="A230" s="117"/>
      <c r="G230" s="84"/>
      <c r="H230" s="101">
        <v>225</v>
      </c>
      <c r="I230" s="102" t="str">
        <f t="shared" si="15"/>
        <v/>
      </c>
      <c r="J230" s="101">
        <f t="shared" si="18"/>
        <v>-5</v>
      </c>
      <c r="K230" s="101">
        <f t="shared" si="16"/>
        <v>-50</v>
      </c>
      <c r="L230" s="101"/>
      <c r="M230" s="103">
        <f t="shared" si="17"/>
        <v>0</v>
      </c>
    </row>
    <row r="231" spans="1:13" x14ac:dyDescent="0.25">
      <c r="A231" s="117"/>
      <c r="G231" s="84"/>
      <c r="H231" s="101">
        <v>226</v>
      </c>
      <c r="I231" s="102" t="str">
        <f t="shared" si="15"/>
        <v/>
      </c>
      <c r="J231" s="101">
        <f t="shared" si="18"/>
        <v>-5</v>
      </c>
      <c r="K231" s="101">
        <f t="shared" si="16"/>
        <v>-50</v>
      </c>
      <c r="L231" s="101"/>
      <c r="M231" s="103">
        <f t="shared" si="17"/>
        <v>0</v>
      </c>
    </row>
    <row r="232" spans="1:13" x14ac:dyDescent="0.25">
      <c r="A232" s="117"/>
      <c r="G232" s="84"/>
      <c r="H232" s="101">
        <v>227</v>
      </c>
      <c r="I232" s="102" t="str">
        <f t="shared" si="15"/>
        <v/>
      </c>
      <c r="J232" s="101">
        <f t="shared" si="18"/>
        <v>-5</v>
      </c>
      <c r="K232" s="101">
        <f t="shared" si="16"/>
        <v>-50</v>
      </c>
      <c r="L232" s="101"/>
      <c r="M232" s="103">
        <f t="shared" si="17"/>
        <v>0</v>
      </c>
    </row>
    <row r="233" spans="1:13" x14ac:dyDescent="0.25">
      <c r="A233" s="117"/>
      <c r="G233" s="84"/>
      <c r="H233" s="101">
        <v>228</v>
      </c>
      <c r="I233" s="102" t="str">
        <f t="shared" si="15"/>
        <v/>
      </c>
      <c r="J233" s="101">
        <f t="shared" si="18"/>
        <v>-5</v>
      </c>
      <c r="K233" s="101">
        <f t="shared" si="16"/>
        <v>-50</v>
      </c>
      <c r="L233" s="101"/>
      <c r="M233" s="103">
        <f t="shared" si="17"/>
        <v>0</v>
      </c>
    </row>
    <row r="234" spans="1:13" x14ac:dyDescent="0.25">
      <c r="A234" s="117"/>
      <c r="G234" s="84"/>
      <c r="H234" s="101">
        <v>229</v>
      </c>
      <c r="I234" s="102" t="str">
        <f t="shared" si="15"/>
        <v/>
      </c>
      <c r="J234" s="101">
        <f t="shared" si="18"/>
        <v>-5</v>
      </c>
      <c r="K234" s="101">
        <f t="shared" si="16"/>
        <v>-50</v>
      </c>
      <c r="L234" s="101"/>
      <c r="M234" s="103">
        <f t="shared" si="17"/>
        <v>0</v>
      </c>
    </row>
    <row r="235" spans="1:13" x14ac:dyDescent="0.25">
      <c r="A235" s="117"/>
      <c r="G235" s="84"/>
      <c r="H235" s="101">
        <v>230</v>
      </c>
      <c r="I235" s="102" t="str">
        <f t="shared" si="15"/>
        <v/>
      </c>
      <c r="J235" s="101">
        <f t="shared" si="18"/>
        <v>-5</v>
      </c>
      <c r="K235" s="101">
        <f t="shared" si="16"/>
        <v>-50</v>
      </c>
      <c r="L235" s="101"/>
      <c r="M235" s="103">
        <f t="shared" si="17"/>
        <v>0</v>
      </c>
    </row>
    <row r="236" spans="1:13" x14ac:dyDescent="0.25">
      <c r="A236" s="117"/>
      <c r="G236" s="84"/>
      <c r="H236" s="101">
        <v>231</v>
      </c>
      <c r="I236" s="102" t="str">
        <f t="shared" si="15"/>
        <v/>
      </c>
      <c r="J236" s="101">
        <f t="shared" si="18"/>
        <v>-5</v>
      </c>
      <c r="K236" s="101">
        <f t="shared" si="16"/>
        <v>-50</v>
      </c>
      <c r="L236" s="101"/>
      <c r="M236" s="103">
        <f t="shared" si="17"/>
        <v>0</v>
      </c>
    </row>
    <row r="237" spans="1:13" x14ac:dyDescent="0.25">
      <c r="A237" s="117"/>
      <c r="G237" s="84"/>
      <c r="H237" s="101">
        <v>232</v>
      </c>
      <c r="I237" s="102" t="str">
        <f t="shared" si="15"/>
        <v/>
      </c>
      <c r="J237" s="101">
        <f t="shared" si="18"/>
        <v>-5</v>
      </c>
      <c r="K237" s="101">
        <f t="shared" si="16"/>
        <v>-50</v>
      </c>
      <c r="L237" s="101"/>
      <c r="M237" s="103">
        <f t="shared" si="17"/>
        <v>0</v>
      </c>
    </row>
    <row r="238" spans="1:13" x14ac:dyDescent="0.25">
      <c r="A238" s="117"/>
      <c r="G238" s="84"/>
      <c r="H238" s="101">
        <v>233</v>
      </c>
      <c r="I238" s="102" t="str">
        <f t="shared" si="15"/>
        <v/>
      </c>
      <c r="J238" s="101">
        <f t="shared" si="18"/>
        <v>-5</v>
      </c>
      <c r="K238" s="101">
        <f t="shared" si="16"/>
        <v>-50</v>
      </c>
      <c r="L238" s="101"/>
      <c r="M238" s="103">
        <f t="shared" si="17"/>
        <v>0</v>
      </c>
    </row>
    <row r="239" spans="1:13" x14ac:dyDescent="0.25">
      <c r="A239" s="117"/>
      <c r="G239" s="84"/>
      <c r="H239" s="101">
        <v>234</v>
      </c>
      <c r="I239" s="102" t="str">
        <f t="shared" si="15"/>
        <v/>
      </c>
      <c r="J239" s="101">
        <f t="shared" si="18"/>
        <v>-5</v>
      </c>
      <c r="K239" s="101">
        <f t="shared" si="16"/>
        <v>-50</v>
      </c>
      <c r="L239" s="101"/>
      <c r="M239" s="103">
        <f t="shared" si="17"/>
        <v>0</v>
      </c>
    </row>
    <row r="240" spans="1:13" x14ac:dyDescent="0.25">
      <c r="A240" s="117"/>
      <c r="G240" s="84"/>
      <c r="H240" s="101">
        <v>235</v>
      </c>
      <c r="I240" s="102" t="str">
        <f t="shared" si="15"/>
        <v/>
      </c>
      <c r="J240" s="101">
        <f t="shared" si="18"/>
        <v>-5</v>
      </c>
      <c r="K240" s="101">
        <f t="shared" si="16"/>
        <v>-50</v>
      </c>
      <c r="L240" s="101"/>
      <c r="M240" s="103">
        <f t="shared" si="17"/>
        <v>0</v>
      </c>
    </row>
    <row r="241" spans="1:13" x14ac:dyDescent="0.25">
      <c r="A241" s="117"/>
      <c r="G241" s="84"/>
      <c r="H241" s="101">
        <v>236</v>
      </c>
      <c r="I241" s="102" t="str">
        <f t="shared" si="15"/>
        <v/>
      </c>
      <c r="J241" s="101">
        <f t="shared" si="18"/>
        <v>-5</v>
      </c>
      <c r="K241" s="101">
        <f t="shared" si="16"/>
        <v>-50</v>
      </c>
      <c r="L241" s="101"/>
      <c r="M241" s="103">
        <f t="shared" si="17"/>
        <v>0</v>
      </c>
    </row>
    <row r="242" spans="1:13" x14ac:dyDescent="0.25">
      <c r="A242" s="117"/>
      <c r="G242" s="84"/>
      <c r="H242" s="101">
        <v>237</v>
      </c>
      <c r="I242" s="102" t="str">
        <f t="shared" si="15"/>
        <v/>
      </c>
      <c r="J242" s="101">
        <f t="shared" si="18"/>
        <v>-5</v>
      </c>
      <c r="K242" s="101">
        <f t="shared" si="16"/>
        <v>-50</v>
      </c>
      <c r="L242" s="101"/>
      <c r="M242" s="103">
        <f t="shared" si="17"/>
        <v>0</v>
      </c>
    </row>
    <row r="243" spans="1:13" x14ac:dyDescent="0.25">
      <c r="A243" s="117"/>
      <c r="G243" s="84"/>
      <c r="H243" s="101">
        <v>238</v>
      </c>
      <c r="I243" s="102" t="str">
        <f t="shared" si="15"/>
        <v/>
      </c>
      <c r="J243" s="101">
        <f t="shared" si="18"/>
        <v>-5</v>
      </c>
      <c r="K243" s="101">
        <f t="shared" si="16"/>
        <v>-50</v>
      </c>
      <c r="L243" s="101"/>
      <c r="M243" s="103">
        <f t="shared" si="17"/>
        <v>0</v>
      </c>
    </row>
    <row r="244" spans="1:13" x14ac:dyDescent="0.25">
      <c r="A244" s="117"/>
      <c r="G244" s="84"/>
      <c r="H244" s="101">
        <v>239</v>
      </c>
      <c r="I244" s="102" t="str">
        <f t="shared" si="15"/>
        <v/>
      </c>
      <c r="J244" s="101">
        <f t="shared" si="18"/>
        <v>-5</v>
      </c>
      <c r="K244" s="101">
        <f t="shared" si="16"/>
        <v>-50</v>
      </c>
      <c r="L244" s="101"/>
      <c r="M244" s="103">
        <f t="shared" si="17"/>
        <v>0</v>
      </c>
    </row>
    <row r="245" spans="1:13" x14ac:dyDescent="0.25">
      <c r="A245" s="117"/>
      <c r="G245" s="84"/>
      <c r="H245" s="101">
        <v>240</v>
      </c>
      <c r="I245" s="102" t="str">
        <f t="shared" si="15"/>
        <v/>
      </c>
      <c r="J245" s="101">
        <f t="shared" si="18"/>
        <v>-5</v>
      </c>
      <c r="K245" s="101">
        <f t="shared" si="16"/>
        <v>-50</v>
      </c>
      <c r="L245" s="101"/>
      <c r="M245" s="103">
        <f t="shared" si="17"/>
        <v>0</v>
      </c>
    </row>
    <row r="246" spans="1:13" x14ac:dyDescent="0.25">
      <c r="A246" s="117"/>
      <c r="G246" s="84"/>
      <c r="H246" s="101">
        <v>241</v>
      </c>
      <c r="I246" s="102" t="str">
        <f t="shared" si="15"/>
        <v/>
      </c>
      <c r="J246" s="101">
        <f t="shared" si="18"/>
        <v>-5</v>
      </c>
      <c r="K246" s="101">
        <f t="shared" si="16"/>
        <v>-50</v>
      </c>
      <c r="L246" s="101"/>
      <c r="M246" s="103">
        <f t="shared" si="17"/>
        <v>0</v>
      </c>
    </row>
    <row r="247" spans="1:13" x14ac:dyDescent="0.25">
      <c r="A247" s="117"/>
      <c r="G247" s="84"/>
      <c r="H247" s="101">
        <v>242</v>
      </c>
      <c r="I247" s="102" t="str">
        <f t="shared" si="15"/>
        <v/>
      </c>
      <c r="J247" s="101">
        <f t="shared" si="18"/>
        <v>-5</v>
      </c>
      <c r="K247" s="101">
        <f t="shared" si="16"/>
        <v>-50</v>
      </c>
      <c r="L247" s="101"/>
      <c r="M247" s="103">
        <f t="shared" si="17"/>
        <v>0</v>
      </c>
    </row>
    <row r="248" spans="1:13" x14ac:dyDescent="0.25">
      <c r="A248" s="117"/>
      <c r="G248" s="84"/>
      <c r="H248" s="101">
        <v>243</v>
      </c>
      <c r="I248" s="102" t="str">
        <f t="shared" si="15"/>
        <v/>
      </c>
      <c r="J248" s="101">
        <f t="shared" si="18"/>
        <v>-5</v>
      </c>
      <c r="K248" s="101">
        <f t="shared" si="16"/>
        <v>-50</v>
      </c>
      <c r="L248" s="101"/>
      <c r="M248" s="103">
        <f t="shared" si="17"/>
        <v>0</v>
      </c>
    </row>
    <row r="249" spans="1:13" x14ac:dyDescent="0.25">
      <c r="A249" s="117"/>
      <c r="G249" s="84"/>
      <c r="H249" s="101">
        <v>244</v>
      </c>
      <c r="I249" s="102" t="str">
        <f t="shared" si="15"/>
        <v/>
      </c>
      <c r="J249" s="101">
        <f t="shared" si="18"/>
        <v>-5</v>
      </c>
      <c r="K249" s="101">
        <f t="shared" si="16"/>
        <v>-50</v>
      </c>
      <c r="L249" s="101"/>
      <c r="M249" s="103">
        <f t="shared" si="17"/>
        <v>0</v>
      </c>
    </row>
    <row r="250" spans="1:13" x14ac:dyDescent="0.25">
      <c r="A250" s="117"/>
      <c r="G250" s="84"/>
      <c r="H250" s="101">
        <v>245</v>
      </c>
      <c r="I250" s="102" t="str">
        <f t="shared" si="15"/>
        <v/>
      </c>
      <c r="J250" s="101">
        <f t="shared" si="18"/>
        <v>-5</v>
      </c>
      <c r="K250" s="101">
        <f t="shared" si="16"/>
        <v>-50</v>
      </c>
      <c r="L250" s="101"/>
      <c r="M250" s="103">
        <f t="shared" si="17"/>
        <v>0</v>
      </c>
    </row>
    <row r="251" spans="1:13" x14ac:dyDescent="0.25">
      <c r="A251" s="117"/>
      <c r="G251" s="84"/>
      <c r="H251" s="101">
        <v>246</v>
      </c>
      <c r="I251" s="102" t="str">
        <f t="shared" si="15"/>
        <v/>
      </c>
      <c r="J251" s="101">
        <f t="shared" si="18"/>
        <v>-5</v>
      </c>
      <c r="K251" s="101">
        <f t="shared" si="16"/>
        <v>-50</v>
      </c>
      <c r="L251" s="101"/>
      <c r="M251" s="103">
        <f t="shared" si="17"/>
        <v>0</v>
      </c>
    </row>
    <row r="252" spans="1:13" x14ac:dyDescent="0.25">
      <c r="A252" s="117"/>
      <c r="G252" s="84"/>
      <c r="H252" s="101">
        <v>247</v>
      </c>
      <c r="I252" s="102" t="str">
        <f t="shared" si="15"/>
        <v/>
      </c>
      <c r="J252" s="101">
        <f t="shared" si="18"/>
        <v>-5</v>
      </c>
      <c r="K252" s="101">
        <f t="shared" si="16"/>
        <v>-50</v>
      </c>
      <c r="L252" s="101"/>
      <c r="M252" s="103">
        <f t="shared" si="17"/>
        <v>0</v>
      </c>
    </row>
    <row r="253" spans="1:13" x14ac:dyDescent="0.25">
      <c r="A253" s="117"/>
      <c r="G253" s="84"/>
      <c r="H253" s="101">
        <v>248</v>
      </c>
      <c r="I253" s="102" t="str">
        <f t="shared" si="15"/>
        <v/>
      </c>
      <c r="J253" s="101">
        <f t="shared" si="18"/>
        <v>-5</v>
      </c>
      <c r="K253" s="101">
        <f t="shared" si="16"/>
        <v>-50</v>
      </c>
      <c r="L253" s="101"/>
      <c r="M253" s="103">
        <f t="shared" si="17"/>
        <v>0</v>
      </c>
    </row>
    <row r="254" spans="1:13" x14ac:dyDescent="0.25">
      <c r="A254" s="117"/>
      <c r="G254" s="84"/>
      <c r="H254" s="101">
        <v>249</v>
      </c>
      <c r="I254" s="102" t="str">
        <f t="shared" si="15"/>
        <v/>
      </c>
      <c r="J254" s="101">
        <f t="shared" si="18"/>
        <v>-5</v>
      </c>
      <c r="K254" s="101">
        <f t="shared" si="16"/>
        <v>-50</v>
      </c>
      <c r="L254" s="101"/>
      <c r="M254" s="103">
        <f t="shared" si="17"/>
        <v>0</v>
      </c>
    </row>
    <row r="255" spans="1:13" x14ac:dyDescent="0.25">
      <c r="A255" s="117"/>
      <c r="G255" s="84"/>
      <c r="H255" s="101">
        <v>250</v>
      </c>
      <c r="I255" s="102" t="str">
        <f t="shared" si="15"/>
        <v/>
      </c>
      <c r="J255" s="101">
        <f t="shared" si="18"/>
        <v>-5</v>
      </c>
      <c r="K255" s="101">
        <f t="shared" si="16"/>
        <v>-50</v>
      </c>
      <c r="L255" s="101"/>
      <c r="M255" s="103">
        <f t="shared" si="17"/>
        <v>0</v>
      </c>
    </row>
    <row r="256" spans="1:13" x14ac:dyDescent="0.25">
      <c r="A256" s="117"/>
      <c r="G256" s="84"/>
      <c r="H256" s="101">
        <v>251</v>
      </c>
      <c r="I256" s="102" t="str">
        <f t="shared" si="15"/>
        <v/>
      </c>
      <c r="J256" s="101">
        <f t="shared" si="18"/>
        <v>-5</v>
      </c>
      <c r="K256" s="101">
        <f t="shared" si="16"/>
        <v>-50</v>
      </c>
      <c r="L256" s="101"/>
      <c r="M256" s="103">
        <f t="shared" si="17"/>
        <v>0</v>
      </c>
    </row>
    <row r="257" spans="1:13" x14ac:dyDescent="0.25">
      <c r="A257" s="117"/>
      <c r="G257" s="84"/>
      <c r="H257" s="101">
        <v>252</v>
      </c>
      <c r="I257" s="102" t="str">
        <f t="shared" si="15"/>
        <v/>
      </c>
      <c r="J257" s="101">
        <f t="shared" si="18"/>
        <v>-5</v>
      </c>
      <c r="K257" s="101">
        <f t="shared" si="16"/>
        <v>-50</v>
      </c>
      <c r="L257" s="101"/>
      <c r="M257" s="103">
        <f t="shared" si="17"/>
        <v>0</v>
      </c>
    </row>
    <row r="258" spans="1:13" x14ac:dyDescent="0.25">
      <c r="A258" s="117"/>
      <c r="G258" s="84"/>
      <c r="H258" s="101">
        <v>253</v>
      </c>
      <c r="I258" s="102" t="str">
        <f t="shared" si="15"/>
        <v/>
      </c>
      <c r="J258" s="101">
        <f t="shared" si="18"/>
        <v>-5</v>
      </c>
      <c r="K258" s="101">
        <f t="shared" si="16"/>
        <v>-50</v>
      </c>
      <c r="L258" s="101"/>
      <c r="M258" s="103">
        <f t="shared" si="17"/>
        <v>0</v>
      </c>
    </row>
    <row r="259" spans="1:13" x14ac:dyDescent="0.25">
      <c r="A259" s="117"/>
      <c r="G259" s="84"/>
      <c r="H259" s="101">
        <v>254</v>
      </c>
      <c r="I259" s="102" t="str">
        <f t="shared" si="15"/>
        <v/>
      </c>
      <c r="J259" s="101">
        <f t="shared" si="18"/>
        <v>-5</v>
      </c>
      <c r="K259" s="101">
        <f t="shared" si="16"/>
        <v>-50</v>
      </c>
      <c r="L259" s="101"/>
      <c r="M259" s="103">
        <f t="shared" si="17"/>
        <v>0</v>
      </c>
    </row>
    <row r="260" spans="1:13" x14ac:dyDescent="0.25">
      <c r="A260" s="117"/>
      <c r="G260" s="84"/>
      <c r="H260" s="101">
        <v>255</v>
      </c>
      <c r="I260" s="102" t="str">
        <f t="shared" si="15"/>
        <v/>
      </c>
      <c r="J260" s="101">
        <f t="shared" si="18"/>
        <v>-5</v>
      </c>
      <c r="K260" s="101">
        <f t="shared" si="16"/>
        <v>-50</v>
      </c>
      <c r="L260" s="101"/>
      <c r="M260" s="103">
        <f t="shared" si="17"/>
        <v>0</v>
      </c>
    </row>
    <row r="261" spans="1:13" x14ac:dyDescent="0.25">
      <c r="A261" s="117"/>
      <c r="G261" s="84"/>
      <c r="H261" s="101">
        <v>256</v>
      </c>
      <c r="I261" s="102" t="str">
        <f t="shared" si="15"/>
        <v/>
      </c>
      <c r="J261" s="101">
        <f t="shared" si="18"/>
        <v>-5</v>
      </c>
      <c r="K261" s="101">
        <f t="shared" si="16"/>
        <v>-50</v>
      </c>
      <c r="L261" s="101"/>
      <c r="M261" s="103">
        <f t="shared" si="17"/>
        <v>0</v>
      </c>
    </row>
    <row r="262" spans="1:13" x14ac:dyDescent="0.25">
      <c r="A262" s="117"/>
      <c r="G262" s="84"/>
      <c r="H262" s="101">
        <v>257</v>
      </c>
      <c r="I262" s="102" t="str">
        <f t="shared" ref="I262:I305" si="19">IF(H262&lt;$H$2+1,($I$2-($I$2-1)*(LOG(H262)/LOG($H$2))),"")</f>
        <v/>
      </c>
      <c r="J262" s="101">
        <f t="shared" si="18"/>
        <v>-6</v>
      </c>
      <c r="K262" s="101">
        <f t="shared" ref="K262:K305" si="20">J262*$J$2</f>
        <v>-60</v>
      </c>
      <c r="L262" s="101"/>
      <c r="M262" s="103">
        <f t="shared" ref="M262:M305" si="21">IF(I262&lt;&gt;"",K262+I262+L262,0)</f>
        <v>0</v>
      </c>
    </row>
    <row r="263" spans="1:13" x14ac:dyDescent="0.25">
      <c r="A263" s="117"/>
      <c r="G263" s="84"/>
      <c r="H263" s="101">
        <v>258</v>
      </c>
      <c r="I263" s="102" t="str">
        <f t="shared" si="19"/>
        <v/>
      </c>
      <c r="J263" s="101">
        <f t="shared" ref="J263:J305" si="22">INT(LOG($H$2,2))-ROUNDUP(LOG(H263,2),0)+IF(OR($H$2=1,$H$2=2,$H$2=4,$H$2=8,$H$2=16,$H$2=32,$H$2=64,$H$2=128,$H$2=256),0,1)</f>
        <v>-6</v>
      </c>
      <c r="K263" s="101">
        <f t="shared" si="20"/>
        <v>-60</v>
      </c>
      <c r="L263" s="101"/>
      <c r="M263" s="103">
        <f t="shared" si="21"/>
        <v>0</v>
      </c>
    </row>
    <row r="264" spans="1:13" x14ac:dyDescent="0.25">
      <c r="A264" s="117"/>
      <c r="G264" s="84"/>
      <c r="H264" s="101">
        <v>259</v>
      </c>
      <c r="I264" s="102" t="str">
        <f t="shared" si="19"/>
        <v/>
      </c>
      <c r="J264" s="101">
        <f t="shared" si="22"/>
        <v>-6</v>
      </c>
      <c r="K264" s="101">
        <f t="shared" si="20"/>
        <v>-60</v>
      </c>
      <c r="L264" s="101"/>
      <c r="M264" s="103">
        <f t="shared" si="21"/>
        <v>0</v>
      </c>
    </row>
    <row r="265" spans="1:13" x14ac:dyDescent="0.25">
      <c r="A265" s="117"/>
      <c r="G265" s="84"/>
      <c r="H265" s="101">
        <v>260</v>
      </c>
      <c r="I265" s="102" t="str">
        <f t="shared" si="19"/>
        <v/>
      </c>
      <c r="J265" s="101">
        <f t="shared" si="22"/>
        <v>-6</v>
      </c>
      <c r="K265" s="101">
        <f t="shared" si="20"/>
        <v>-60</v>
      </c>
      <c r="L265" s="101"/>
      <c r="M265" s="103">
        <f t="shared" si="21"/>
        <v>0</v>
      </c>
    </row>
    <row r="266" spans="1:13" x14ac:dyDescent="0.25">
      <c r="A266" s="117"/>
      <c r="G266" s="84"/>
      <c r="H266" s="101">
        <v>261</v>
      </c>
      <c r="I266" s="102" t="str">
        <f t="shared" si="19"/>
        <v/>
      </c>
      <c r="J266" s="101">
        <f t="shared" si="22"/>
        <v>-6</v>
      </c>
      <c r="K266" s="101">
        <f t="shared" si="20"/>
        <v>-60</v>
      </c>
      <c r="L266" s="101"/>
      <c r="M266" s="103">
        <f t="shared" si="21"/>
        <v>0</v>
      </c>
    </row>
    <row r="267" spans="1:13" x14ac:dyDescent="0.25">
      <c r="A267" s="117"/>
      <c r="G267" s="84"/>
      <c r="H267" s="101">
        <v>262</v>
      </c>
      <c r="I267" s="102" t="str">
        <f t="shared" si="19"/>
        <v/>
      </c>
      <c r="J267" s="101">
        <f t="shared" si="22"/>
        <v>-6</v>
      </c>
      <c r="K267" s="101">
        <f t="shared" si="20"/>
        <v>-60</v>
      </c>
      <c r="L267" s="101"/>
      <c r="M267" s="103">
        <f t="shared" si="21"/>
        <v>0</v>
      </c>
    </row>
    <row r="268" spans="1:13" x14ac:dyDescent="0.25">
      <c r="A268" s="117"/>
      <c r="G268" s="84"/>
      <c r="H268" s="101">
        <v>263</v>
      </c>
      <c r="I268" s="102" t="str">
        <f t="shared" si="19"/>
        <v/>
      </c>
      <c r="J268" s="101">
        <f t="shared" si="22"/>
        <v>-6</v>
      </c>
      <c r="K268" s="101">
        <f t="shared" si="20"/>
        <v>-60</v>
      </c>
      <c r="L268" s="101"/>
      <c r="M268" s="103">
        <f t="shared" si="21"/>
        <v>0</v>
      </c>
    </row>
    <row r="269" spans="1:13" x14ac:dyDescent="0.25">
      <c r="A269" s="117"/>
      <c r="G269" s="84"/>
      <c r="H269" s="101">
        <v>264</v>
      </c>
      <c r="I269" s="102" t="str">
        <f t="shared" si="19"/>
        <v/>
      </c>
      <c r="J269" s="101">
        <f t="shared" si="22"/>
        <v>-6</v>
      </c>
      <c r="K269" s="101">
        <f t="shared" si="20"/>
        <v>-60</v>
      </c>
      <c r="L269" s="101"/>
      <c r="M269" s="103">
        <f t="shared" si="21"/>
        <v>0</v>
      </c>
    </row>
    <row r="270" spans="1:13" x14ac:dyDescent="0.25">
      <c r="A270" s="117"/>
      <c r="G270" s="84"/>
      <c r="H270" s="101">
        <v>265</v>
      </c>
      <c r="I270" s="102" t="str">
        <f t="shared" si="19"/>
        <v/>
      </c>
      <c r="J270" s="101">
        <f t="shared" si="22"/>
        <v>-6</v>
      </c>
      <c r="K270" s="101">
        <f t="shared" si="20"/>
        <v>-60</v>
      </c>
      <c r="L270" s="101"/>
      <c r="M270" s="103">
        <f t="shared" si="21"/>
        <v>0</v>
      </c>
    </row>
    <row r="271" spans="1:13" x14ac:dyDescent="0.25">
      <c r="A271" s="117"/>
      <c r="G271" s="84"/>
      <c r="H271" s="101">
        <v>266</v>
      </c>
      <c r="I271" s="102" t="str">
        <f t="shared" si="19"/>
        <v/>
      </c>
      <c r="J271" s="101">
        <f t="shared" si="22"/>
        <v>-6</v>
      </c>
      <c r="K271" s="101">
        <f t="shared" si="20"/>
        <v>-60</v>
      </c>
      <c r="L271" s="101"/>
      <c r="M271" s="103">
        <f t="shared" si="21"/>
        <v>0</v>
      </c>
    </row>
    <row r="272" spans="1:13" x14ac:dyDescent="0.25">
      <c r="A272" s="117"/>
      <c r="G272" s="84"/>
      <c r="H272" s="101">
        <v>267</v>
      </c>
      <c r="I272" s="102" t="str">
        <f t="shared" si="19"/>
        <v/>
      </c>
      <c r="J272" s="101">
        <f t="shared" si="22"/>
        <v>-6</v>
      </c>
      <c r="K272" s="101">
        <f t="shared" si="20"/>
        <v>-60</v>
      </c>
      <c r="L272" s="101"/>
      <c r="M272" s="103">
        <f t="shared" si="21"/>
        <v>0</v>
      </c>
    </row>
    <row r="273" spans="1:13" x14ac:dyDescent="0.25">
      <c r="A273" s="117"/>
      <c r="G273" s="84"/>
      <c r="H273" s="101">
        <v>268</v>
      </c>
      <c r="I273" s="102" t="str">
        <f t="shared" si="19"/>
        <v/>
      </c>
      <c r="J273" s="101">
        <f t="shared" si="22"/>
        <v>-6</v>
      </c>
      <c r="K273" s="101">
        <f t="shared" si="20"/>
        <v>-60</v>
      </c>
      <c r="L273" s="101"/>
      <c r="M273" s="103">
        <f t="shared" si="21"/>
        <v>0</v>
      </c>
    </row>
    <row r="274" spans="1:13" x14ac:dyDescent="0.25">
      <c r="A274" s="117"/>
      <c r="G274" s="84"/>
      <c r="H274" s="101">
        <v>269</v>
      </c>
      <c r="I274" s="102" t="str">
        <f t="shared" si="19"/>
        <v/>
      </c>
      <c r="J274" s="101">
        <f t="shared" si="22"/>
        <v>-6</v>
      </c>
      <c r="K274" s="101">
        <f t="shared" si="20"/>
        <v>-60</v>
      </c>
      <c r="L274" s="101"/>
      <c r="M274" s="103">
        <f t="shared" si="21"/>
        <v>0</v>
      </c>
    </row>
    <row r="275" spans="1:13" x14ac:dyDescent="0.25">
      <c r="A275" s="117"/>
      <c r="G275" s="84"/>
      <c r="H275" s="101">
        <v>270</v>
      </c>
      <c r="I275" s="102" t="str">
        <f t="shared" si="19"/>
        <v/>
      </c>
      <c r="J275" s="101">
        <f t="shared" si="22"/>
        <v>-6</v>
      </c>
      <c r="K275" s="101">
        <f t="shared" si="20"/>
        <v>-60</v>
      </c>
      <c r="L275" s="101"/>
      <c r="M275" s="103">
        <f t="shared" si="21"/>
        <v>0</v>
      </c>
    </row>
    <row r="276" spans="1:13" x14ac:dyDescent="0.25">
      <c r="A276" s="117"/>
      <c r="G276" s="84"/>
      <c r="H276" s="101">
        <v>271</v>
      </c>
      <c r="I276" s="102" t="str">
        <f t="shared" si="19"/>
        <v/>
      </c>
      <c r="J276" s="101">
        <f t="shared" si="22"/>
        <v>-6</v>
      </c>
      <c r="K276" s="101">
        <f t="shared" si="20"/>
        <v>-60</v>
      </c>
      <c r="L276" s="101"/>
      <c r="M276" s="103">
        <f t="shared" si="21"/>
        <v>0</v>
      </c>
    </row>
    <row r="277" spans="1:13" x14ac:dyDescent="0.25">
      <c r="A277" s="117"/>
      <c r="G277" s="84"/>
      <c r="H277" s="101">
        <v>272</v>
      </c>
      <c r="I277" s="102" t="str">
        <f t="shared" si="19"/>
        <v/>
      </c>
      <c r="J277" s="101">
        <f t="shared" si="22"/>
        <v>-6</v>
      </c>
      <c r="K277" s="101">
        <f t="shared" si="20"/>
        <v>-60</v>
      </c>
      <c r="L277" s="101"/>
      <c r="M277" s="103">
        <f t="shared" si="21"/>
        <v>0</v>
      </c>
    </row>
    <row r="278" spans="1:13" x14ac:dyDescent="0.25">
      <c r="A278" s="117"/>
      <c r="G278" s="84"/>
      <c r="H278" s="101">
        <v>273</v>
      </c>
      <c r="I278" s="102" t="str">
        <f t="shared" si="19"/>
        <v/>
      </c>
      <c r="J278" s="101">
        <f t="shared" si="22"/>
        <v>-6</v>
      </c>
      <c r="K278" s="101">
        <f t="shared" si="20"/>
        <v>-60</v>
      </c>
      <c r="L278" s="101"/>
      <c r="M278" s="103">
        <f t="shared" si="21"/>
        <v>0</v>
      </c>
    </row>
    <row r="279" spans="1:13" x14ac:dyDescent="0.25">
      <c r="A279" s="117"/>
      <c r="G279" s="84"/>
      <c r="H279" s="101">
        <v>274</v>
      </c>
      <c r="I279" s="102" t="str">
        <f t="shared" si="19"/>
        <v/>
      </c>
      <c r="J279" s="101">
        <f t="shared" si="22"/>
        <v>-6</v>
      </c>
      <c r="K279" s="101">
        <f t="shared" si="20"/>
        <v>-60</v>
      </c>
      <c r="L279" s="101"/>
      <c r="M279" s="103">
        <f t="shared" si="21"/>
        <v>0</v>
      </c>
    </row>
    <row r="280" spans="1:13" x14ac:dyDescent="0.25">
      <c r="A280" s="117"/>
      <c r="G280" s="84"/>
      <c r="H280" s="101">
        <v>275</v>
      </c>
      <c r="I280" s="102" t="str">
        <f t="shared" si="19"/>
        <v/>
      </c>
      <c r="J280" s="101">
        <f t="shared" si="22"/>
        <v>-6</v>
      </c>
      <c r="K280" s="101">
        <f t="shared" si="20"/>
        <v>-60</v>
      </c>
      <c r="L280" s="101"/>
      <c r="M280" s="103">
        <f t="shared" si="21"/>
        <v>0</v>
      </c>
    </row>
    <row r="281" spans="1:13" x14ac:dyDescent="0.25">
      <c r="A281" s="117"/>
      <c r="G281" s="84"/>
      <c r="H281" s="101">
        <v>276</v>
      </c>
      <c r="I281" s="102" t="str">
        <f t="shared" si="19"/>
        <v/>
      </c>
      <c r="J281" s="101">
        <f t="shared" si="22"/>
        <v>-6</v>
      </c>
      <c r="K281" s="101">
        <f t="shared" si="20"/>
        <v>-60</v>
      </c>
      <c r="L281" s="101"/>
      <c r="M281" s="103">
        <f t="shared" si="21"/>
        <v>0</v>
      </c>
    </row>
    <row r="282" spans="1:13" x14ac:dyDescent="0.25">
      <c r="A282" s="117"/>
      <c r="G282" s="84"/>
      <c r="H282" s="101">
        <v>277</v>
      </c>
      <c r="I282" s="102" t="str">
        <f t="shared" si="19"/>
        <v/>
      </c>
      <c r="J282" s="101">
        <f t="shared" si="22"/>
        <v>-6</v>
      </c>
      <c r="K282" s="101">
        <f t="shared" si="20"/>
        <v>-60</v>
      </c>
      <c r="L282" s="101"/>
      <c r="M282" s="103">
        <f t="shared" si="21"/>
        <v>0</v>
      </c>
    </row>
    <row r="283" spans="1:13" x14ac:dyDescent="0.25">
      <c r="A283" s="117"/>
      <c r="G283" s="84"/>
      <c r="H283" s="101">
        <v>278</v>
      </c>
      <c r="I283" s="102" t="str">
        <f t="shared" si="19"/>
        <v/>
      </c>
      <c r="J283" s="101">
        <f t="shared" si="22"/>
        <v>-6</v>
      </c>
      <c r="K283" s="101">
        <f t="shared" si="20"/>
        <v>-60</v>
      </c>
      <c r="L283" s="101"/>
      <c r="M283" s="103">
        <f t="shared" si="21"/>
        <v>0</v>
      </c>
    </row>
    <row r="284" spans="1:13" x14ac:dyDescent="0.25">
      <c r="A284" s="117"/>
      <c r="G284" s="84"/>
      <c r="H284" s="101">
        <v>279</v>
      </c>
      <c r="I284" s="102" t="str">
        <f t="shared" si="19"/>
        <v/>
      </c>
      <c r="J284" s="101">
        <f t="shared" si="22"/>
        <v>-6</v>
      </c>
      <c r="K284" s="101">
        <f t="shared" si="20"/>
        <v>-60</v>
      </c>
      <c r="L284" s="101"/>
      <c r="M284" s="103">
        <f t="shared" si="21"/>
        <v>0</v>
      </c>
    </row>
    <row r="285" spans="1:13" x14ac:dyDescent="0.25">
      <c r="A285" s="117"/>
      <c r="G285" s="84"/>
      <c r="H285" s="101">
        <v>280</v>
      </c>
      <c r="I285" s="102" t="str">
        <f t="shared" si="19"/>
        <v/>
      </c>
      <c r="J285" s="101">
        <f t="shared" si="22"/>
        <v>-6</v>
      </c>
      <c r="K285" s="101">
        <f t="shared" si="20"/>
        <v>-60</v>
      </c>
      <c r="L285" s="101"/>
      <c r="M285" s="103">
        <f t="shared" si="21"/>
        <v>0</v>
      </c>
    </row>
    <row r="286" spans="1:13" x14ac:dyDescent="0.25">
      <c r="A286" s="117"/>
      <c r="G286" s="84"/>
      <c r="H286" s="101">
        <v>281</v>
      </c>
      <c r="I286" s="102" t="str">
        <f t="shared" si="19"/>
        <v/>
      </c>
      <c r="J286" s="101">
        <f t="shared" si="22"/>
        <v>-6</v>
      </c>
      <c r="K286" s="101">
        <f t="shared" si="20"/>
        <v>-60</v>
      </c>
      <c r="L286" s="101"/>
      <c r="M286" s="103">
        <f t="shared" si="21"/>
        <v>0</v>
      </c>
    </row>
    <row r="287" spans="1:13" x14ac:dyDescent="0.25">
      <c r="A287" s="117"/>
      <c r="G287" s="84"/>
      <c r="H287" s="101">
        <v>282</v>
      </c>
      <c r="I287" s="102" t="str">
        <f t="shared" si="19"/>
        <v/>
      </c>
      <c r="J287" s="101">
        <f t="shared" si="22"/>
        <v>-6</v>
      </c>
      <c r="K287" s="101">
        <f t="shared" si="20"/>
        <v>-60</v>
      </c>
      <c r="L287" s="101"/>
      <c r="M287" s="103">
        <f t="shared" si="21"/>
        <v>0</v>
      </c>
    </row>
    <row r="288" spans="1:13" x14ac:dyDescent="0.25">
      <c r="A288" s="117"/>
      <c r="G288" s="84"/>
      <c r="H288" s="101">
        <v>283</v>
      </c>
      <c r="I288" s="102" t="str">
        <f t="shared" si="19"/>
        <v/>
      </c>
      <c r="J288" s="101">
        <f t="shared" si="22"/>
        <v>-6</v>
      </c>
      <c r="K288" s="101">
        <f t="shared" si="20"/>
        <v>-60</v>
      </c>
      <c r="L288" s="101"/>
      <c r="M288" s="103">
        <f t="shared" si="21"/>
        <v>0</v>
      </c>
    </row>
    <row r="289" spans="1:13" x14ac:dyDescent="0.25">
      <c r="A289" s="117"/>
      <c r="G289" s="84"/>
      <c r="H289" s="101">
        <v>284</v>
      </c>
      <c r="I289" s="102" t="str">
        <f t="shared" si="19"/>
        <v/>
      </c>
      <c r="J289" s="101">
        <f t="shared" si="22"/>
        <v>-6</v>
      </c>
      <c r="K289" s="101">
        <f t="shared" si="20"/>
        <v>-60</v>
      </c>
      <c r="L289" s="101"/>
      <c r="M289" s="103">
        <f t="shared" si="21"/>
        <v>0</v>
      </c>
    </row>
    <row r="290" spans="1:13" x14ac:dyDescent="0.25">
      <c r="A290" s="117"/>
      <c r="G290" s="84"/>
      <c r="H290" s="101">
        <v>285</v>
      </c>
      <c r="I290" s="102" t="str">
        <f t="shared" si="19"/>
        <v/>
      </c>
      <c r="J290" s="101">
        <f t="shared" si="22"/>
        <v>-6</v>
      </c>
      <c r="K290" s="101">
        <f t="shared" si="20"/>
        <v>-60</v>
      </c>
      <c r="L290" s="101"/>
      <c r="M290" s="103">
        <f t="shared" si="21"/>
        <v>0</v>
      </c>
    </row>
    <row r="291" spans="1:13" x14ac:dyDescent="0.25">
      <c r="A291" s="117"/>
      <c r="G291" s="84"/>
      <c r="H291" s="101">
        <v>286</v>
      </c>
      <c r="I291" s="102" t="str">
        <f t="shared" si="19"/>
        <v/>
      </c>
      <c r="J291" s="101">
        <f t="shared" si="22"/>
        <v>-6</v>
      </c>
      <c r="K291" s="101">
        <f t="shared" si="20"/>
        <v>-60</v>
      </c>
      <c r="L291" s="101"/>
      <c r="M291" s="103">
        <f t="shared" si="21"/>
        <v>0</v>
      </c>
    </row>
    <row r="292" spans="1:13" x14ac:dyDescent="0.25">
      <c r="A292" s="117"/>
      <c r="G292" s="84"/>
      <c r="H292" s="101">
        <v>287</v>
      </c>
      <c r="I292" s="102" t="str">
        <f t="shared" si="19"/>
        <v/>
      </c>
      <c r="J292" s="101">
        <f t="shared" si="22"/>
        <v>-6</v>
      </c>
      <c r="K292" s="101">
        <f t="shared" si="20"/>
        <v>-60</v>
      </c>
      <c r="L292" s="101"/>
      <c r="M292" s="103">
        <f t="shared" si="21"/>
        <v>0</v>
      </c>
    </row>
    <row r="293" spans="1:13" x14ac:dyDescent="0.25">
      <c r="A293" s="117"/>
      <c r="G293" s="84"/>
      <c r="H293" s="101">
        <v>288</v>
      </c>
      <c r="I293" s="102" t="str">
        <f t="shared" si="19"/>
        <v/>
      </c>
      <c r="J293" s="101">
        <f t="shared" si="22"/>
        <v>-6</v>
      </c>
      <c r="K293" s="101">
        <f t="shared" si="20"/>
        <v>-60</v>
      </c>
      <c r="L293" s="101"/>
      <c r="M293" s="103">
        <f t="shared" si="21"/>
        <v>0</v>
      </c>
    </row>
    <row r="294" spans="1:13" x14ac:dyDescent="0.25">
      <c r="A294" s="117"/>
      <c r="G294" s="84"/>
      <c r="H294" s="101">
        <v>289</v>
      </c>
      <c r="I294" s="102" t="str">
        <f t="shared" si="19"/>
        <v/>
      </c>
      <c r="J294" s="101">
        <f t="shared" si="22"/>
        <v>-6</v>
      </c>
      <c r="K294" s="101">
        <f t="shared" si="20"/>
        <v>-60</v>
      </c>
      <c r="L294" s="101"/>
      <c r="M294" s="103">
        <f t="shared" si="21"/>
        <v>0</v>
      </c>
    </row>
    <row r="295" spans="1:13" x14ac:dyDescent="0.25">
      <c r="A295" s="117"/>
      <c r="G295" s="84"/>
      <c r="H295" s="101">
        <v>290</v>
      </c>
      <c r="I295" s="102" t="str">
        <f t="shared" si="19"/>
        <v/>
      </c>
      <c r="J295" s="101">
        <f t="shared" si="22"/>
        <v>-6</v>
      </c>
      <c r="K295" s="101">
        <f t="shared" si="20"/>
        <v>-60</v>
      </c>
      <c r="L295" s="101"/>
      <c r="M295" s="103">
        <f t="shared" si="21"/>
        <v>0</v>
      </c>
    </row>
    <row r="296" spans="1:13" x14ac:dyDescent="0.25">
      <c r="A296" s="117"/>
      <c r="G296" s="84"/>
      <c r="H296" s="101">
        <v>291</v>
      </c>
      <c r="I296" s="102" t="str">
        <f t="shared" si="19"/>
        <v/>
      </c>
      <c r="J296" s="101">
        <f t="shared" si="22"/>
        <v>-6</v>
      </c>
      <c r="K296" s="101">
        <f t="shared" si="20"/>
        <v>-60</v>
      </c>
      <c r="L296" s="101"/>
      <c r="M296" s="103">
        <f t="shared" si="21"/>
        <v>0</v>
      </c>
    </row>
    <row r="297" spans="1:13" x14ac:dyDescent="0.25">
      <c r="A297" s="117"/>
      <c r="G297" s="84"/>
      <c r="H297" s="101">
        <v>292</v>
      </c>
      <c r="I297" s="102" t="str">
        <f t="shared" si="19"/>
        <v/>
      </c>
      <c r="J297" s="101">
        <f t="shared" si="22"/>
        <v>-6</v>
      </c>
      <c r="K297" s="101">
        <f t="shared" si="20"/>
        <v>-60</v>
      </c>
      <c r="L297" s="101"/>
      <c r="M297" s="103">
        <f t="shared" si="21"/>
        <v>0</v>
      </c>
    </row>
    <row r="298" spans="1:13" x14ac:dyDescent="0.25">
      <c r="A298" s="117"/>
      <c r="G298" s="84"/>
      <c r="H298" s="101">
        <v>293</v>
      </c>
      <c r="I298" s="102" t="str">
        <f t="shared" si="19"/>
        <v/>
      </c>
      <c r="J298" s="101">
        <f t="shared" si="22"/>
        <v>-6</v>
      </c>
      <c r="K298" s="101">
        <f t="shared" si="20"/>
        <v>-60</v>
      </c>
      <c r="L298" s="101"/>
      <c r="M298" s="103">
        <f t="shared" si="21"/>
        <v>0</v>
      </c>
    </row>
    <row r="299" spans="1:13" x14ac:dyDescent="0.25">
      <c r="A299" s="117"/>
      <c r="G299" s="84"/>
      <c r="H299" s="101">
        <v>294</v>
      </c>
      <c r="I299" s="102" t="str">
        <f t="shared" si="19"/>
        <v/>
      </c>
      <c r="J299" s="101">
        <f t="shared" si="22"/>
        <v>-6</v>
      </c>
      <c r="K299" s="101">
        <f t="shared" si="20"/>
        <v>-60</v>
      </c>
      <c r="L299" s="101"/>
      <c r="M299" s="103">
        <f t="shared" si="21"/>
        <v>0</v>
      </c>
    </row>
    <row r="300" spans="1:13" x14ac:dyDescent="0.25">
      <c r="A300" s="117"/>
      <c r="G300" s="84"/>
      <c r="H300" s="101">
        <v>295</v>
      </c>
      <c r="I300" s="102" t="str">
        <f t="shared" si="19"/>
        <v/>
      </c>
      <c r="J300" s="101">
        <f t="shared" si="22"/>
        <v>-6</v>
      </c>
      <c r="K300" s="101">
        <f t="shared" si="20"/>
        <v>-60</v>
      </c>
      <c r="L300" s="101"/>
      <c r="M300" s="103">
        <f t="shared" si="21"/>
        <v>0</v>
      </c>
    </row>
    <row r="301" spans="1:13" x14ac:dyDescent="0.25">
      <c r="A301" s="117"/>
      <c r="G301" s="84"/>
      <c r="H301" s="101">
        <v>296</v>
      </c>
      <c r="I301" s="102" t="str">
        <f t="shared" si="19"/>
        <v/>
      </c>
      <c r="J301" s="101">
        <f t="shared" si="22"/>
        <v>-6</v>
      </c>
      <c r="K301" s="101">
        <f t="shared" si="20"/>
        <v>-60</v>
      </c>
      <c r="L301" s="101"/>
      <c r="M301" s="103">
        <f t="shared" si="21"/>
        <v>0</v>
      </c>
    </row>
    <row r="302" spans="1:13" x14ac:dyDescent="0.25">
      <c r="A302" s="117"/>
      <c r="G302" s="84"/>
      <c r="H302" s="101">
        <v>297</v>
      </c>
      <c r="I302" s="102" t="str">
        <f t="shared" si="19"/>
        <v/>
      </c>
      <c r="J302" s="101">
        <f t="shared" si="22"/>
        <v>-6</v>
      </c>
      <c r="K302" s="101">
        <f t="shared" si="20"/>
        <v>-60</v>
      </c>
      <c r="L302" s="101"/>
      <c r="M302" s="103">
        <f t="shared" si="21"/>
        <v>0</v>
      </c>
    </row>
    <row r="303" spans="1:13" x14ac:dyDescent="0.25">
      <c r="A303" s="117"/>
      <c r="G303" s="84"/>
      <c r="H303" s="101">
        <v>298</v>
      </c>
      <c r="I303" s="102" t="str">
        <f t="shared" si="19"/>
        <v/>
      </c>
      <c r="J303" s="101">
        <f t="shared" si="22"/>
        <v>-6</v>
      </c>
      <c r="K303" s="101">
        <f t="shared" si="20"/>
        <v>-60</v>
      </c>
      <c r="L303" s="101"/>
      <c r="M303" s="103">
        <f t="shared" si="21"/>
        <v>0</v>
      </c>
    </row>
    <row r="304" spans="1:13" x14ac:dyDescent="0.25">
      <c r="A304" s="117"/>
      <c r="G304" s="84"/>
      <c r="H304" s="101">
        <v>299</v>
      </c>
      <c r="I304" s="102" t="str">
        <f t="shared" si="19"/>
        <v/>
      </c>
      <c r="J304" s="101">
        <f t="shared" si="22"/>
        <v>-6</v>
      </c>
      <c r="K304" s="101">
        <f t="shared" si="20"/>
        <v>-60</v>
      </c>
      <c r="L304" s="101"/>
      <c r="M304" s="103">
        <f t="shared" si="21"/>
        <v>0</v>
      </c>
    </row>
    <row r="305" spans="1:16" x14ac:dyDescent="0.25">
      <c r="A305" s="117"/>
      <c r="G305" s="84"/>
      <c r="H305" s="101">
        <v>300</v>
      </c>
      <c r="I305" s="102" t="str">
        <f t="shared" si="19"/>
        <v/>
      </c>
      <c r="J305" s="101">
        <f t="shared" si="22"/>
        <v>-6</v>
      </c>
      <c r="K305" s="101">
        <f t="shared" si="20"/>
        <v>-60</v>
      </c>
      <c r="L305" s="101"/>
      <c r="M305" s="103">
        <f t="shared" si="21"/>
        <v>0</v>
      </c>
    </row>
    <row r="306" spans="1:16" x14ac:dyDescent="0.25">
      <c r="A306" s="119"/>
    </row>
    <row r="314" spans="1:16" x14ac:dyDescent="0.25">
      <c r="L314" s="122"/>
      <c r="P314" s="112"/>
    </row>
    <row r="315" spans="1:16" x14ac:dyDescent="0.25">
      <c r="L315" s="122"/>
      <c r="P315" s="112"/>
    </row>
    <row r="316" spans="1:16" x14ac:dyDescent="0.25">
      <c r="L316" s="122"/>
      <c r="P316" s="112"/>
    </row>
    <row r="317" spans="1:16" x14ac:dyDescent="0.25">
      <c r="L317" s="122"/>
      <c r="P317" s="112"/>
    </row>
  </sheetData>
  <conditionalFormatting sqref="J6:K305">
    <cfRule type="cellIs" dxfId="9" priority="1" operator="lessThanOrEqual">
      <formula>0</formula>
    </cfRule>
  </conditionalFormatting>
  <dataValidations count="1">
    <dataValidation type="list" allowBlank="1" showInputMessage="1" showErrorMessage="1" sqref="C38:C69" xr:uid="{81B43B9C-3C99-4FB3-B84E-7AC815DE7401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74B18-A630-4C34-A883-D0F54138F1E9}">
  <sheetPr>
    <tabColor theme="7" tint="0.79998168889431442"/>
  </sheetPr>
  <dimension ref="A1:AL317"/>
  <sheetViews>
    <sheetView workbookViewId="0">
      <selection activeCell="B16" sqref="B16"/>
    </sheetView>
  </sheetViews>
  <sheetFormatPr defaultColWidth="8.85546875" defaultRowHeight="15" x14ac:dyDescent="0.25"/>
  <cols>
    <col min="1" max="1" width="8" style="118" customWidth="1"/>
    <col min="2" max="2" width="8.28515625" style="118" customWidth="1"/>
    <col min="3" max="3" width="34.7109375" style="118" customWidth="1"/>
    <col min="4" max="4" width="11.28515625" style="118" customWidth="1"/>
    <col min="5" max="6" width="8.85546875" style="118"/>
    <col min="7" max="7" width="0.85546875" style="118" customWidth="1"/>
    <col min="8" max="8" width="8.85546875" style="120"/>
    <col min="9" max="9" width="11" style="120" customWidth="1"/>
    <col min="10" max="10" width="15.28515625" style="120" customWidth="1"/>
    <col min="11" max="11" width="8.7109375" style="120" customWidth="1"/>
    <col min="12" max="12" width="11" style="120" customWidth="1"/>
    <col min="13" max="13" width="12.28515625" style="121" customWidth="1"/>
    <col min="14" max="15" width="13.85546875" style="84" customWidth="1"/>
    <col min="16" max="18" width="8.85546875" style="84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18"/>
  </cols>
  <sheetData>
    <row r="1" spans="1:36" x14ac:dyDescent="0.25">
      <c r="A1" s="84"/>
      <c r="B1" s="84"/>
      <c r="C1" s="84"/>
      <c r="D1" s="84"/>
      <c r="E1" s="84"/>
      <c r="F1" s="84"/>
      <c r="G1" s="84"/>
      <c r="H1" s="85" t="s">
        <v>26</v>
      </c>
      <c r="I1" s="86" t="s">
        <v>27</v>
      </c>
      <c r="J1" s="86" t="s">
        <v>28</v>
      </c>
      <c r="K1" s="87" t="s">
        <v>29</v>
      </c>
      <c r="L1" s="90"/>
      <c r="M1" s="90"/>
    </row>
    <row r="2" spans="1:36" x14ac:dyDescent="0.25">
      <c r="A2" s="84"/>
      <c r="B2" s="24" t="s">
        <v>32</v>
      </c>
      <c r="C2" s="83" t="s">
        <v>98</v>
      </c>
      <c r="D2" s="82"/>
      <c r="E2" s="25"/>
      <c r="F2" s="25"/>
      <c r="G2" s="25"/>
      <c r="H2" s="92">
        <v>0</v>
      </c>
      <c r="I2" s="93">
        <v>50</v>
      </c>
      <c r="J2" s="93">
        <v>10</v>
      </c>
      <c r="K2" s="94">
        <f>3*H2^(1/3)</f>
        <v>0</v>
      </c>
      <c r="L2" s="90"/>
      <c r="M2" s="90"/>
    </row>
    <row r="3" spans="1:36" x14ac:dyDescent="0.25">
      <c r="A3" s="84"/>
      <c r="B3" s="96" t="s">
        <v>34</v>
      </c>
      <c r="C3" s="83" t="s">
        <v>99</v>
      </c>
      <c r="D3" s="83"/>
      <c r="E3" s="30"/>
      <c r="F3" s="30"/>
      <c r="G3" s="30"/>
      <c r="H3" s="90"/>
      <c r="I3" s="90"/>
      <c r="J3" s="97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7"/>
      <c r="K4" s="90"/>
      <c r="L4" s="90"/>
      <c r="M4" s="90"/>
    </row>
    <row r="5" spans="1:36" ht="36" x14ac:dyDescent="0.25">
      <c r="A5" s="1" t="s">
        <v>36</v>
      </c>
      <c r="B5" s="33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32"/>
      <c r="H5" s="98" t="s">
        <v>42</v>
      </c>
      <c r="I5" s="99" t="s">
        <v>43</v>
      </c>
      <c r="J5" s="100" t="s">
        <v>44</v>
      </c>
      <c r="K5" s="99" t="s">
        <v>45</v>
      </c>
      <c r="L5" s="99" t="s">
        <v>46</v>
      </c>
      <c r="M5" s="98" t="s">
        <v>47</v>
      </c>
    </row>
    <row r="6" spans="1:36" ht="14.45" customHeight="1" x14ac:dyDescent="0.25">
      <c r="A6" s="137">
        <f>M6</f>
        <v>0</v>
      </c>
      <c r="B6" s="38" t="str">
        <f t="shared" ref="B6:B65" si="0">IF(H6&gt;$H$2,"",(ROW()-5))</f>
        <v/>
      </c>
      <c r="C6" s="39"/>
      <c r="D6" s="39"/>
      <c r="E6" s="39"/>
      <c r="F6" s="39"/>
      <c r="G6" s="32"/>
      <c r="H6" s="101">
        <v>1</v>
      </c>
      <c r="I6" s="102" t="str">
        <f t="shared" ref="I6:I69" si="1">IF(H6&lt;$H$2+1,($I$2-($I$2-1)*(LOG(H6)/LOG($H$2))),"")</f>
        <v/>
      </c>
      <c r="J6" s="101" t="e">
        <f>INT(LOG($H$2,2))-ROUNDUP(LOG(H6,2),0)+IF(OR($H$2=1,$H$2=2,$H$2=4,$H$2=8,$H$2=16,$H$2=32,$H$2=64,$H$2=128,$H$2=256),0,1)</f>
        <v>#NUM!</v>
      </c>
      <c r="K6" s="101" t="e">
        <f t="shared" ref="K6:K69" si="2">J6*$J$2</f>
        <v>#NUM!</v>
      </c>
      <c r="L6" s="103">
        <f>3*K2</f>
        <v>0</v>
      </c>
      <c r="M6" s="103">
        <f t="shared" ref="M6:M69" si="3">IF(I6&lt;&gt;"",K6+I6+L6,0)</f>
        <v>0</v>
      </c>
    </row>
    <row r="7" spans="1:36" ht="14.45" customHeight="1" x14ac:dyDescent="0.25">
      <c r="A7" s="138">
        <f t="shared" ref="A7:A37" si="4">M7</f>
        <v>0</v>
      </c>
      <c r="B7" s="44" t="str">
        <f t="shared" si="0"/>
        <v/>
      </c>
      <c r="C7" s="45"/>
      <c r="D7" s="45"/>
      <c r="E7" s="45"/>
      <c r="F7" s="45"/>
      <c r="G7" s="32"/>
      <c r="H7" s="104">
        <v>2</v>
      </c>
      <c r="I7" s="105" t="str">
        <f t="shared" si="1"/>
        <v/>
      </c>
      <c r="J7" s="104" t="e">
        <f t="shared" ref="J7:J70" si="5">INT(LOG($H$2,2))-ROUNDUP(LOG(H7,2),0)+IF(OR($H$2=1,$H$2=2,$H$2=4,$H$2=8,$H$2=16,$H$2=32,$H$2=64,$H$2=128,$H$2=256),0,1)</f>
        <v>#NUM!</v>
      </c>
      <c r="K7" s="104" t="e">
        <f t="shared" si="2"/>
        <v>#NUM!</v>
      </c>
      <c r="L7" s="106">
        <f>2*K2</f>
        <v>0</v>
      </c>
      <c r="M7" s="106">
        <f t="shared" si="3"/>
        <v>0</v>
      </c>
    </row>
    <row r="8" spans="1:36" ht="14.45" customHeight="1" x14ac:dyDescent="0.25">
      <c r="A8" s="137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101">
        <v>3</v>
      </c>
      <c r="I8" s="102" t="str">
        <f t="shared" si="1"/>
        <v/>
      </c>
      <c r="J8" s="101" t="e">
        <f t="shared" si="5"/>
        <v>#NUM!</v>
      </c>
      <c r="K8" s="101" t="e">
        <f t="shared" si="2"/>
        <v>#NUM!</v>
      </c>
      <c r="L8" s="103">
        <f>K2</f>
        <v>0</v>
      </c>
      <c r="M8" s="103">
        <f t="shared" si="3"/>
        <v>0</v>
      </c>
    </row>
    <row r="9" spans="1:36" s="91" customFormat="1" ht="14.45" customHeight="1" x14ac:dyDescent="0.25">
      <c r="A9" s="138">
        <f t="shared" si="4"/>
        <v>0</v>
      </c>
      <c r="B9" s="44" t="str">
        <f>IF(H9&gt;$H$2,"",3)</f>
        <v/>
      </c>
      <c r="C9" s="45"/>
      <c r="D9" s="45"/>
      <c r="E9" s="45"/>
      <c r="F9" s="45"/>
      <c r="G9" s="32"/>
      <c r="H9" s="104">
        <v>3</v>
      </c>
      <c r="I9" s="105" t="str">
        <f t="shared" si="1"/>
        <v/>
      </c>
      <c r="J9" s="104" t="e">
        <f t="shared" si="5"/>
        <v>#NUM!</v>
      </c>
      <c r="K9" s="104" t="e">
        <f t="shared" si="2"/>
        <v>#NUM!</v>
      </c>
      <c r="L9" s="106">
        <f>K2</f>
        <v>0</v>
      </c>
      <c r="M9" s="106">
        <f t="shared" si="3"/>
        <v>0</v>
      </c>
      <c r="N9" s="84"/>
      <c r="O9" s="84"/>
      <c r="P9" s="84"/>
      <c r="Q9" s="84"/>
      <c r="R9" s="84"/>
      <c r="V9" s="107"/>
      <c r="Z9" s="108"/>
      <c r="AA9" s="108"/>
      <c r="AG9" s="109"/>
      <c r="AH9" s="91" t="s">
        <v>54</v>
      </c>
      <c r="AI9" s="91">
        <v>23</v>
      </c>
    </row>
    <row r="10" spans="1:36" ht="14.45" customHeight="1" x14ac:dyDescent="0.25">
      <c r="A10" s="137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101">
        <v>5</v>
      </c>
      <c r="I10" s="102" t="str">
        <f t="shared" si="1"/>
        <v/>
      </c>
      <c r="J10" s="101" t="e">
        <f t="shared" si="5"/>
        <v>#NUM!</v>
      </c>
      <c r="K10" s="101" t="e">
        <f t="shared" si="2"/>
        <v>#NUM!</v>
      </c>
      <c r="L10" s="101"/>
      <c r="M10" s="103">
        <f t="shared" si="3"/>
        <v>0</v>
      </c>
      <c r="V10" s="107"/>
      <c r="Z10" s="108"/>
      <c r="AA10" s="108"/>
      <c r="AG10" s="109"/>
      <c r="AH10" s="91" t="s">
        <v>55</v>
      </c>
      <c r="AI10" s="91">
        <v>45</v>
      </c>
    </row>
    <row r="11" spans="1:36" ht="14.45" customHeight="1" x14ac:dyDescent="0.25">
      <c r="A11" s="138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104">
        <v>6</v>
      </c>
      <c r="I11" s="105" t="str">
        <f t="shared" si="1"/>
        <v/>
      </c>
      <c r="J11" s="104" t="e">
        <f t="shared" si="5"/>
        <v>#NUM!</v>
      </c>
      <c r="K11" s="104" t="e">
        <f t="shared" si="2"/>
        <v>#NUM!</v>
      </c>
      <c r="L11" s="104"/>
      <c r="M11" s="106">
        <f t="shared" si="3"/>
        <v>0</v>
      </c>
      <c r="V11" s="110"/>
      <c r="Z11" s="108"/>
      <c r="AA11" s="108"/>
      <c r="AG11" s="109"/>
      <c r="AH11" s="91" t="s">
        <v>56</v>
      </c>
      <c r="AI11" s="91">
        <v>50</v>
      </c>
    </row>
    <row r="12" spans="1:36" ht="14.45" customHeight="1" x14ac:dyDescent="0.25">
      <c r="A12" s="137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101">
        <v>7</v>
      </c>
      <c r="I12" s="102" t="str">
        <f t="shared" si="1"/>
        <v/>
      </c>
      <c r="J12" s="101" t="e">
        <f t="shared" si="5"/>
        <v>#NUM!</v>
      </c>
      <c r="K12" s="101" t="e">
        <f t="shared" si="2"/>
        <v>#NUM!</v>
      </c>
      <c r="L12" s="101"/>
      <c r="M12" s="103">
        <f t="shared" si="3"/>
        <v>0</v>
      </c>
      <c r="Z12" s="108"/>
      <c r="AA12" s="108"/>
      <c r="AG12" s="109"/>
      <c r="AH12" s="91" t="s">
        <v>57</v>
      </c>
      <c r="AI12" s="91">
        <f>AI11-1</f>
        <v>49</v>
      </c>
    </row>
    <row r="13" spans="1:36" ht="14.45" customHeight="1" x14ac:dyDescent="0.25">
      <c r="A13" s="138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4">
        <v>8</v>
      </c>
      <c r="I13" s="105" t="str">
        <f t="shared" si="1"/>
        <v/>
      </c>
      <c r="J13" s="104" t="e">
        <f t="shared" si="5"/>
        <v>#NUM!</v>
      </c>
      <c r="K13" s="104" t="e">
        <f t="shared" si="2"/>
        <v>#NUM!</v>
      </c>
      <c r="L13" s="104"/>
      <c r="M13" s="106">
        <f t="shared" si="3"/>
        <v>0</v>
      </c>
      <c r="X13" s="107"/>
      <c r="AG13" s="109"/>
      <c r="AH13" s="91" t="s">
        <v>58</v>
      </c>
      <c r="AI13" s="91">
        <f>LOG(AI9)</f>
        <v>1.3617278360175928</v>
      </c>
    </row>
    <row r="14" spans="1:36" x14ac:dyDescent="0.25">
      <c r="A14" s="137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101">
        <v>9</v>
      </c>
      <c r="I14" s="102" t="str">
        <f t="shared" si="1"/>
        <v/>
      </c>
      <c r="J14" s="101" t="e">
        <f t="shared" si="5"/>
        <v>#NUM!</v>
      </c>
      <c r="K14" s="101" t="e">
        <f t="shared" si="2"/>
        <v>#NUM!</v>
      </c>
      <c r="L14" s="101"/>
      <c r="M14" s="103">
        <f t="shared" si="3"/>
        <v>0</v>
      </c>
      <c r="X14" s="111"/>
      <c r="Z14" s="108"/>
      <c r="AA14" s="108"/>
      <c r="AG14" s="109"/>
      <c r="AH14" s="91" t="s">
        <v>59</v>
      </c>
      <c r="AI14" s="91">
        <f>LOG(AI10)</f>
        <v>1.6532125137753437</v>
      </c>
    </row>
    <row r="15" spans="1:36" x14ac:dyDescent="0.25">
      <c r="A15" s="138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104">
        <v>10</v>
      </c>
      <c r="I15" s="105" t="str">
        <f t="shared" si="1"/>
        <v/>
      </c>
      <c r="J15" s="104" t="e">
        <f t="shared" si="5"/>
        <v>#NUM!</v>
      </c>
      <c r="K15" s="104" t="e">
        <f t="shared" si="2"/>
        <v>#NUM!</v>
      </c>
      <c r="L15" s="104"/>
      <c r="M15" s="106">
        <f t="shared" si="3"/>
        <v>0</v>
      </c>
      <c r="X15" s="107"/>
      <c r="Z15" s="108"/>
      <c r="AA15" s="108"/>
    </row>
    <row r="16" spans="1:36" x14ac:dyDescent="0.25">
      <c r="A16" s="137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101">
        <v>11</v>
      </c>
      <c r="I16" s="102" t="str">
        <f t="shared" si="1"/>
        <v/>
      </c>
      <c r="J16" s="101" t="e">
        <f t="shared" si="5"/>
        <v>#NUM!</v>
      </c>
      <c r="K16" s="101" t="e">
        <f t="shared" si="2"/>
        <v>#NUM!</v>
      </c>
      <c r="L16" s="101"/>
      <c r="M16" s="103">
        <f t="shared" si="3"/>
        <v>0</v>
      </c>
      <c r="R16" s="112"/>
      <c r="Z16" s="108"/>
      <c r="AA16" s="108"/>
      <c r="AH16" s="113" t="s">
        <v>60</v>
      </c>
      <c r="AI16" s="91">
        <f>AI11-AI12*AI13/AI14</f>
        <v>9.6393909380186855</v>
      </c>
      <c r="AJ16" s="91" t="s">
        <v>61</v>
      </c>
    </row>
    <row r="17" spans="1:19" x14ac:dyDescent="0.25">
      <c r="A17" s="138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4">
        <v>12</v>
      </c>
      <c r="I17" s="105" t="str">
        <f t="shared" si="1"/>
        <v/>
      </c>
      <c r="J17" s="104" t="e">
        <f t="shared" si="5"/>
        <v>#NUM!</v>
      </c>
      <c r="K17" s="104" t="e">
        <f t="shared" si="2"/>
        <v>#NUM!</v>
      </c>
      <c r="L17" s="104"/>
      <c r="M17" s="106">
        <f t="shared" si="3"/>
        <v>0</v>
      </c>
    </row>
    <row r="18" spans="1:19" x14ac:dyDescent="0.25">
      <c r="A18" s="137">
        <f t="shared" si="4"/>
        <v>0</v>
      </c>
      <c r="B18" s="38" t="str">
        <f t="shared" si="0"/>
        <v/>
      </c>
      <c r="C18" s="39"/>
      <c r="D18" s="39"/>
      <c r="E18" s="39"/>
      <c r="F18" s="39"/>
      <c r="G18" s="32"/>
      <c r="H18" s="101">
        <v>13</v>
      </c>
      <c r="I18" s="102" t="str">
        <f t="shared" si="1"/>
        <v/>
      </c>
      <c r="J18" s="101" t="e">
        <f t="shared" si="5"/>
        <v>#NUM!</v>
      </c>
      <c r="K18" s="101" t="e">
        <f t="shared" si="2"/>
        <v>#NUM!</v>
      </c>
      <c r="L18" s="101"/>
      <c r="M18" s="103">
        <f t="shared" si="3"/>
        <v>0</v>
      </c>
    </row>
    <row r="19" spans="1:19" x14ac:dyDescent="0.25">
      <c r="A19" s="138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4">
        <v>14</v>
      </c>
      <c r="I19" s="105" t="str">
        <f t="shared" si="1"/>
        <v/>
      </c>
      <c r="J19" s="104" t="e">
        <f t="shared" si="5"/>
        <v>#NUM!</v>
      </c>
      <c r="K19" s="104" t="e">
        <f t="shared" si="2"/>
        <v>#NUM!</v>
      </c>
      <c r="L19" s="104"/>
      <c r="M19" s="106">
        <f t="shared" si="3"/>
        <v>0</v>
      </c>
    </row>
    <row r="20" spans="1:19" x14ac:dyDescent="0.25">
      <c r="A20" s="137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1">
        <v>15</v>
      </c>
      <c r="I20" s="102" t="str">
        <f t="shared" si="1"/>
        <v/>
      </c>
      <c r="J20" s="101" t="e">
        <f t="shared" si="5"/>
        <v>#NUM!</v>
      </c>
      <c r="K20" s="101" t="e">
        <f t="shared" si="2"/>
        <v>#NUM!</v>
      </c>
      <c r="L20" s="101"/>
      <c r="M20" s="103">
        <f t="shared" si="3"/>
        <v>0</v>
      </c>
      <c r="R20" s="114"/>
      <c r="S20" s="115"/>
    </row>
    <row r="21" spans="1:19" x14ac:dyDescent="0.25">
      <c r="A21" s="138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4">
        <v>16</v>
      </c>
      <c r="I21" s="105" t="str">
        <f t="shared" si="1"/>
        <v/>
      </c>
      <c r="J21" s="104" t="e">
        <f t="shared" si="5"/>
        <v>#NUM!</v>
      </c>
      <c r="K21" s="104" t="e">
        <f t="shared" si="2"/>
        <v>#NUM!</v>
      </c>
      <c r="L21" s="104"/>
      <c r="M21" s="106">
        <f t="shared" si="3"/>
        <v>0</v>
      </c>
    </row>
    <row r="22" spans="1:19" x14ac:dyDescent="0.25">
      <c r="A22" s="137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1">
        <v>17</v>
      </c>
      <c r="I22" s="102" t="str">
        <f t="shared" si="1"/>
        <v/>
      </c>
      <c r="J22" s="101" t="e">
        <f t="shared" si="5"/>
        <v>#NUM!</v>
      </c>
      <c r="K22" s="101" t="e">
        <f t="shared" si="2"/>
        <v>#NUM!</v>
      </c>
      <c r="L22" s="101"/>
      <c r="M22" s="103">
        <f t="shared" si="3"/>
        <v>0</v>
      </c>
    </row>
    <row r="23" spans="1:19" x14ac:dyDescent="0.25">
      <c r="A23" s="138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4">
        <v>18</v>
      </c>
      <c r="I23" s="105" t="str">
        <f t="shared" si="1"/>
        <v/>
      </c>
      <c r="J23" s="104" t="e">
        <f t="shared" si="5"/>
        <v>#NUM!</v>
      </c>
      <c r="K23" s="104" t="e">
        <f t="shared" si="2"/>
        <v>#NUM!</v>
      </c>
      <c r="L23" s="104"/>
      <c r="M23" s="106">
        <f t="shared" si="3"/>
        <v>0</v>
      </c>
    </row>
    <row r="24" spans="1:19" x14ac:dyDescent="0.25">
      <c r="A24" s="137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1" t="e">
        <f t="shared" si="5"/>
        <v>#NUM!</v>
      </c>
      <c r="K24" s="101" t="e">
        <f t="shared" si="2"/>
        <v>#NUM!</v>
      </c>
      <c r="L24" s="101"/>
      <c r="M24" s="103">
        <f t="shared" si="3"/>
        <v>0</v>
      </c>
      <c r="R24" s="114"/>
      <c r="S24" s="115"/>
    </row>
    <row r="25" spans="1:19" x14ac:dyDescent="0.25">
      <c r="A25" s="138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4">
        <v>20</v>
      </c>
      <c r="I25" s="105" t="str">
        <f t="shared" si="1"/>
        <v/>
      </c>
      <c r="J25" s="104" t="e">
        <f t="shared" si="5"/>
        <v>#NUM!</v>
      </c>
      <c r="K25" s="104" t="e">
        <f t="shared" si="2"/>
        <v>#NUM!</v>
      </c>
      <c r="L25" s="104"/>
      <c r="M25" s="106">
        <f t="shared" si="3"/>
        <v>0</v>
      </c>
    </row>
    <row r="26" spans="1:19" x14ac:dyDescent="0.25">
      <c r="A26" s="137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1" t="e">
        <f t="shared" si="5"/>
        <v>#NUM!</v>
      </c>
      <c r="K26" s="101" t="e">
        <f t="shared" si="2"/>
        <v>#NUM!</v>
      </c>
      <c r="L26" s="101"/>
      <c r="M26" s="103">
        <f t="shared" si="3"/>
        <v>0</v>
      </c>
    </row>
    <row r="27" spans="1:19" x14ac:dyDescent="0.25">
      <c r="A27" s="138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4">
        <v>22</v>
      </c>
      <c r="I27" s="105" t="str">
        <f t="shared" si="1"/>
        <v/>
      </c>
      <c r="J27" s="104" t="e">
        <f t="shared" si="5"/>
        <v>#NUM!</v>
      </c>
      <c r="K27" s="104" t="e">
        <f t="shared" si="2"/>
        <v>#NUM!</v>
      </c>
      <c r="L27" s="104"/>
      <c r="M27" s="106">
        <f t="shared" si="3"/>
        <v>0</v>
      </c>
    </row>
    <row r="28" spans="1:19" x14ac:dyDescent="0.25">
      <c r="A28" s="137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1" t="e">
        <f t="shared" si="5"/>
        <v>#NUM!</v>
      </c>
      <c r="K28" s="101" t="e">
        <f t="shared" si="2"/>
        <v>#NUM!</v>
      </c>
      <c r="L28" s="101"/>
      <c r="M28" s="103">
        <f t="shared" si="3"/>
        <v>0</v>
      </c>
      <c r="R28" s="114"/>
      <c r="S28" s="115"/>
    </row>
    <row r="29" spans="1:19" x14ac:dyDescent="0.25">
      <c r="A29" s="138">
        <f t="shared" si="4"/>
        <v>0</v>
      </c>
      <c r="B29" s="44" t="str">
        <f t="shared" si="0"/>
        <v/>
      </c>
      <c r="C29" s="45"/>
      <c r="D29" s="45"/>
      <c r="E29" s="45"/>
      <c r="F29" s="45"/>
      <c r="G29" s="84"/>
      <c r="H29" s="104">
        <v>24</v>
      </c>
      <c r="I29" s="105" t="str">
        <f t="shared" si="1"/>
        <v/>
      </c>
      <c r="J29" s="104" t="e">
        <f t="shared" si="5"/>
        <v>#NUM!</v>
      </c>
      <c r="K29" s="104" t="e">
        <f t="shared" si="2"/>
        <v>#NUM!</v>
      </c>
      <c r="L29" s="104"/>
      <c r="M29" s="106">
        <f t="shared" si="3"/>
        <v>0</v>
      </c>
    </row>
    <row r="30" spans="1:19" x14ac:dyDescent="0.25">
      <c r="A30" s="137">
        <f t="shared" si="4"/>
        <v>0</v>
      </c>
      <c r="B30" s="38" t="str">
        <f t="shared" si="0"/>
        <v/>
      </c>
      <c r="C30" s="39"/>
      <c r="D30" s="39"/>
      <c r="E30" s="39"/>
      <c r="F30" s="39"/>
      <c r="G30" s="84"/>
      <c r="H30" s="101">
        <v>25</v>
      </c>
      <c r="I30" s="102" t="str">
        <f t="shared" si="1"/>
        <v/>
      </c>
      <c r="J30" s="101" t="e">
        <f t="shared" si="5"/>
        <v>#NUM!</v>
      </c>
      <c r="K30" s="101" t="e">
        <f t="shared" si="2"/>
        <v>#NUM!</v>
      </c>
      <c r="L30" s="101"/>
      <c r="M30" s="103">
        <f t="shared" si="3"/>
        <v>0</v>
      </c>
    </row>
    <row r="31" spans="1:19" x14ac:dyDescent="0.25">
      <c r="A31" s="138">
        <f t="shared" si="4"/>
        <v>0</v>
      </c>
      <c r="B31" s="44" t="str">
        <f t="shared" si="0"/>
        <v/>
      </c>
      <c r="C31" s="45"/>
      <c r="D31" s="45"/>
      <c r="E31" s="45"/>
      <c r="F31" s="45"/>
      <c r="G31" s="84"/>
      <c r="H31" s="104">
        <v>26</v>
      </c>
      <c r="I31" s="105" t="str">
        <f t="shared" si="1"/>
        <v/>
      </c>
      <c r="J31" s="104" t="e">
        <f t="shared" si="5"/>
        <v>#NUM!</v>
      </c>
      <c r="K31" s="104" t="e">
        <f t="shared" si="2"/>
        <v>#NUM!</v>
      </c>
      <c r="L31" s="104"/>
      <c r="M31" s="106">
        <f t="shared" si="3"/>
        <v>0</v>
      </c>
    </row>
    <row r="32" spans="1:19" x14ac:dyDescent="0.25">
      <c r="A32" s="137">
        <f t="shared" si="4"/>
        <v>0</v>
      </c>
      <c r="B32" s="38" t="str">
        <f t="shared" si="0"/>
        <v/>
      </c>
      <c r="C32" s="39"/>
      <c r="D32" s="39"/>
      <c r="E32" s="39"/>
      <c r="F32" s="39"/>
      <c r="G32" s="84"/>
      <c r="H32" s="101">
        <v>27</v>
      </c>
      <c r="I32" s="102" t="str">
        <f t="shared" si="1"/>
        <v/>
      </c>
      <c r="J32" s="101" t="e">
        <f t="shared" si="5"/>
        <v>#NUM!</v>
      </c>
      <c r="K32" s="101" t="e">
        <f t="shared" si="2"/>
        <v>#NUM!</v>
      </c>
      <c r="L32" s="101"/>
      <c r="M32" s="103">
        <f t="shared" si="3"/>
        <v>0</v>
      </c>
      <c r="R32" s="114"/>
      <c r="S32" s="115"/>
    </row>
    <row r="33" spans="1:21" x14ac:dyDescent="0.25">
      <c r="A33" s="138">
        <f t="shared" si="4"/>
        <v>0</v>
      </c>
      <c r="B33" s="44" t="str">
        <f t="shared" si="0"/>
        <v/>
      </c>
      <c r="C33" s="45"/>
      <c r="D33" s="45"/>
      <c r="E33" s="45"/>
      <c r="F33" s="45"/>
      <c r="G33" s="84"/>
      <c r="H33" s="104">
        <v>28</v>
      </c>
      <c r="I33" s="105" t="str">
        <f t="shared" si="1"/>
        <v/>
      </c>
      <c r="J33" s="104" t="e">
        <f t="shared" si="5"/>
        <v>#NUM!</v>
      </c>
      <c r="K33" s="104" t="e">
        <f t="shared" si="2"/>
        <v>#NUM!</v>
      </c>
      <c r="L33" s="104"/>
      <c r="M33" s="106">
        <f t="shared" si="3"/>
        <v>0</v>
      </c>
    </row>
    <row r="34" spans="1:21" x14ac:dyDescent="0.25">
      <c r="A34" s="137">
        <f t="shared" si="4"/>
        <v>0</v>
      </c>
      <c r="B34" s="38" t="str">
        <f t="shared" si="0"/>
        <v/>
      </c>
      <c r="C34" s="39"/>
      <c r="D34" s="39"/>
      <c r="E34" s="39"/>
      <c r="F34" s="39"/>
      <c r="G34" s="84"/>
      <c r="H34" s="101">
        <v>29</v>
      </c>
      <c r="I34" s="102" t="str">
        <f t="shared" si="1"/>
        <v/>
      </c>
      <c r="J34" s="101" t="e">
        <f t="shared" si="5"/>
        <v>#NUM!</v>
      </c>
      <c r="K34" s="101" t="e">
        <f t="shared" si="2"/>
        <v>#NUM!</v>
      </c>
      <c r="L34" s="101"/>
      <c r="M34" s="103">
        <f t="shared" si="3"/>
        <v>0</v>
      </c>
    </row>
    <row r="35" spans="1:21" x14ac:dyDescent="0.25">
      <c r="A35" s="138">
        <f t="shared" si="4"/>
        <v>0</v>
      </c>
      <c r="B35" s="44" t="str">
        <f t="shared" si="0"/>
        <v/>
      </c>
      <c r="C35" s="45"/>
      <c r="D35" s="45"/>
      <c r="E35" s="45"/>
      <c r="F35" s="45"/>
      <c r="G35" s="84"/>
      <c r="H35" s="104">
        <v>30</v>
      </c>
      <c r="I35" s="105" t="str">
        <f t="shared" si="1"/>
        <v/>
      </c>
      <c r="J35" s="104" t="e">
        <f t="shared" si="5"/>
        <v>#NUM!</v>
      </c>
      <c r="K35" s="104" t="e">
        <f t="shared" si="2"/>
        <v>#NUM!</v>
      </c>
      <c r="L35" s="104"/>
      <c r="M35" s="106">
        <f t="shared" si="3"/>
        <v>0</v>
      </c>
    </row>
    <row r="36" spans="1:21" x14ac:dyDescent="0.25">
      <c r="A36" s="137">
        <f t="shared" si="4"/>
        <v>0</v>
      </c>
      <c r="B36" s="38" t="str">
        <f t="shared" si="0"/>
        <v/>
      </c>
      <c r="C36" s="39"/>
      <c r="D36" s="39"/>
      <c r="E36" s="39"/>
      <c r="F36" s="39"/>
      <c r="G36" s="84"/>
      <c r="H36" s="101">
        <v>31</v>
      </c>
      <c r="I36" s="102" t="str">
        <f t="shared" si="1"/>
        <v/>
      </c>
      <c r="J36" s="101" t="e">
        <f t="shared" si="5"/>
        <v>#NUM!</v>
      </c>
      <c r="K36" s="101" t="e">
        <f t="shared" si="2"/>
        <v>#NUM!</v>
      </c>
      <c r="L36" s="101"/>
      <c r="M36" s="103">
        <f t="shared" si="3"/>
        <v>0</v>
      </c>
      <c r="R36" s="114"/>
      <c r="S36" s="115"/>
    </row>
    <row r="37" spans="1:21" x14ac:dyDescent="0.25">
      <c r="A37" s="138">
        <f t="shared" si="4"/>
        <v>0</v>
      </c>
      <c r="B37" s="44" t="str">
        <f t="shared" si="0"/>
        <v/>
      </c>
      <c r="C37" s="45"/>
      <c r="D37" s="45"/>
      <c r="E37" s="45"/>
      <c r="F37" s="45"/>
      <c r="G37" s="84"/>
      <c r="H37" s="104">
        <v>32</v>
      </c>
      <c r="I37" s="105" t="str">
        <f t="shared" si="1"/>
        <v/>
      </c>
      <c r="J37" s="104" t="e">
        <f t="shared" si="5"/>
        <v>#NUM!</v>
      </c>
      <c r="K37" s="104" t="e">
        <f t="shared" si="2"/>
        <v>#NUM!</v>
      </c>
      <c r="L37" s="104"/>
      <c r="M37" s="106">
        <f t="shared" si="3"/>
        <v>0</v>
      </c>
    </row>
    <row r="38" spans="1:21" x14ac:dyDescent="0.25">
      <c r="A38" s="137"/>
      <c r="B38" s="38" t="str">
        <f t="shared" si="0"/>
        <v/>
      </c>
      <c r="C38" s="39"/>
      <c r="D38" s="39"/>
      <c r="E38" s="39"/>
      <c r="F38" s="39"/>
      <c r="G38" s="84"/>
      <c r="H38" s="101">
        <v>33</v>
      </c>
      <c r="I38" s="102" t="str">
        <f t="shared" si="1"/>
        <v/>
      </c>
      <c r="J38" s="101" t="e">
        <f t="shared" si="5"/>
        <v>#NUM!</v>
      </c>
      <c r="K38" s="101" t="e">
        <f t="shared" si="2"/>
        <v>#NUM!</v>
      </c>
      <c r="L38" s="101"/>
      <c r="M38" s="103">
        <f t="shared" si="3"/>
        <v>0</v>
      </c>
    </row>
    <row r="39" spans="1:21" x14ac:dyDescent="0.25">
      <c r="A39" s="138"/>
      <c r="B39" s="44" t="str">
        <f t="shared" si="0"/>
        <v/>
      </c>
      <c r="C39" s="45"/>
      <c r="D39" s="45"/>
      <c r="E39" s="45"/>
      <c r="F39" s="45"/>
      <c r="G39" s="84"/>
      <c r="H39" s="104">
        <v>34</v>
      </c>
      <c r="I39" s="105" t="str">
        <f t="shared" si="1"/>
        <v/>
      </c>
      <c r="J39" s="104" t="e">
        <f t="shared" si="5"/>
        <v>#NUM!</v>
      </c>
      <c r="K39" s="104" t="e">
        <f t="shared" si="2"/>
        <v>#NUM!</v>
      </c>
      <c r="L39" s="104"/>
      <c r="M39" s="106">
        <f t="shared" si="3"/>
        <v>0</v>
      </c>
    </row>
    <row r="40" spans="1:21" x14ac:dyDescent="0.25">
      <c r="A40" s="137"/>
      <c r="B40" s="38" t="str">
        <f t="shared" si="0"/>
        <v/>
      </c>
      <c r="C40" s="39"/>
      <c r="D40" s="39"/>
      <c r="E40" s="39"/>
      <c r="F40" s="39"/>
      <c r="G40" s="84"/>
      <c r="H40" s="101">
        <v>35</v>
      </c>
      <c r="I40" s="102" t="str">
        <f t="shared" si="1"/>
        <v/>
      </c>
      <c r="J40" s="101" t="e">
        <f t="shared" si="5"/>
        <v>#NUM!</v>
      </c>
      <c r="K40" s="101" t="e">
        <f t="shared" si="2"/>
        <v>#NUM!</v>
      </c>
      <c r="L40" s="101"/>
      <c r="M40" s="103">
        <f t="shared" si="3"/>
        <v>0</v>
      </c>
    </row>
    <row r="41" spans="1:21" x14ac:dyDescent="0.25">
      <c r="A41" s="138"/>
      <c r="B41" s="44" t="str">
        <f t="shared" si="0"/>
        <v/>
      </c>
      <c r="C41" s="45"/>
      <c r="D41" s="45"/>
      <c r="E41" s="45"/>
      <c r="F41" s="45"/>
      <c r="G41" s="84"/>
      <c r="H41" s="104">
        <v>36</v>
      </c>
      <c r="I41" s="105" t="str">
        <f t="shared" si="1"/>
        <v/>
      </c>
      <c r="J41" s="104" t="e">
        <f t="shared" si="5"/>
        <v>#NUM!</v>
      </c>
      <c r="K41" s="104" t="e">
        <f t="shared" si="2"/>
        <v>#NUM!</v>
      </c>
      <c r="L41" s="104"/>
      <c r="M41" s="106">
        <f t="shared" si="3"/>
        <v>0</v>
      </c>
      <c r="S41" s="116"/>
    </row>
    <row r="42" spans="1:21" x14ac:dyDescent="0.25">
      <c r="A42" s="137"/>
      <c r="B42" s="38" t="str">
        <f t="shared" si="0"/>
        <v/>
      </c>
      <c r="C42" s="39"/>
      <c r="D42" s="39"/>
      <c r="E42" s="39"/>
      <c r="F42" s="39"/>
      <c r="G42" s="84"/>
      <c r="H42" s="101">
        <v>37</v>
      </c>
      <c r="I42" s="102" t="str">
        <f t="shared" si="1"/>
        <v/>
      </c>
      <c r="J42" s="101" t="e">
        <f t="shared" si="5"/>
        <v>#NUM!</v>
      </c>
      <c r="K42" s="101" t="e">
        <f t="shared" si="2"/>
        <v>#NUM!</v>
      </c>
      <c r="L42" s="101"/>
      <c r="M42" s="103">
        <f t="shared" si="3"/>
        <v>0</v>
      </c>
    </row>
    <row r="43" spans="1:21" x14ac:dyDescent="0.25">
      <c r="A43" s="138"/>
      <c r="B43" s="44" t="str">
        <f t="shared" si="0"/>
        <v/>
      </c>
      <c r="C43" s="45"/>
      <c r="D43" s="45"/>
      <c r="E43" s="45"/>
      <c r="F43" s="45"/>
      <c r="G43" s="84"/>
      <c r="H43" s="104">
        <v>38</v>
      </c>
      <c r="I43" s="105" t="str">
        <f t="shared" si="1"/>
        <v/>
      </c>
      <c r="J43" s="104" t="e">
        <f t="shared" si="5"/>
        <v>#NUM!</v>
      </c>
      <c r="K43" s="104" t="e">
        <f t="shared" si="2"/>
        <v>#NUM!</v>
      </c>
      <c r="L43" s="104"/>
      <c r="M43" s="106">
        <f t="shared" si="3"/>
        <v>0</v>
      </c>
    </row>
    <row r="44" spans="1:21" x14ac:dyDescent="0.25">
      <c r="A44" s="137"/>
      <c r="B44" s="38" t="str">
        <f t="shared" si="0"/>
        <v/>
      </c>
      <c r="C44" s="39"/>
      <c r="D44" s="39"/>
      <c r="E44" s="39"/>
      <c r="F44" s="39"/>
      <c r="G44" s="84"/>
      <c r="H44" s="101">
        <v>39</v>
      </c>
      <c r="I44" s="102" t="str">
        <f t="shared" si="1"/>
        <v/>
      </c>
      <c r="J44" s="101" t="e">
        <f t="shared" si="5"/>
        <v>#NUM!</v>
      </c>
      <c r="K44" s="101" t="e">
        <f t="shared" si="2"/>
        <v>#NUM!</v>
      </c>
      <c r="L44" s="101"/>
      <c r="M44" s="103">
        <f t="shared" si="3"/>
        <v>0</v>
      </c>
    </row>
    <row r="45" spans="1:21" x14ac:dyDescent="0.25">
      <c r="A45" s="138"/>
      <c r="B45" s="44" t="str">
        <f t="shared" si="0"/>
        <v/>
      </c>
      <c r="C45" s="45"/>
      <c r="D45" s="45"/>
      <c r="E45" s="45"/>
      <c r="F45" s="45"/>
      <c r="G45" s="84"/>
      <c r="H45" s="104">
        <v>40</v>
      </c>
      <c r="I45" s="105" t="str">
        <f t="shared" si="1"/>
        <v/>
      </c>
      <c r="J45" s="104" t="e">
        <f t="shared" si="5"/>
        <v>#NUM!</v>
      </c>
      <c r="K45" s="104" t="e">
        <f t="shared" si="2"/>
        <v>#NUM!</v>
      </c>
      <c r="L45" s="104"/>
      <c r="M45" s="106">
        <f t="shared" si="3"/>
        <v>0</v>
      </c>
    </row>
    <row r="46" spans="1:21" x14ac:dyDescent="0.25">
      <c r="A46" s="137"/>
      <c r="B46" s="38" t="str">
        <f t="shared" si="0"/>
        <v/>
      </c>
      <c r="C46" s="39"/>
      <c r="D46" s="39"/>
      <c r="E46" s="39"/>
      <c r="F46" s="39"/>
      <c r="G46" s="84"/>
      <c r="H46" s="101">
        <v>41</v>
      </c>
      <c r="I46" s="102" t="str">
        <f t="shared" si="1"/>
        <v/>
      </c>
      <c r="J46" s="101" t="e">
        <f t="shared" si="5"/>
        <v>#NUM!</v>
      </c>
      <c r="K46" s="101" t="e">
        <f t="shared" si="2"/>
        <v>#NUM!</v>
      </c>
      <c r="L46" s="101"/>
      <c r="M46" s="103">
        <f t="shared" si="3"/>
        <v>0</v>
      </c>
      <c r="R46" s="84" t="e">
        <f>LOG($H$2,2)</f>
        <v>#NUM!</v>
      </c>
      <c r="T46" s="91">
        <f>LOG(H38,2)</f>
        <v>5.0443941193584534</v>
      </c>
      <c r="U46" s="91" t="e">
        <f>R46-T46</f>
        <v>#NUM!</v>
      </c>
    </row>
    <row r="47" spans="1:21" x14ac:dyDescent="0.25">
      <c r="A47" s="138"/>
      <c r="B47" s="44" t="str">
        <f t="shared" si="0"/>
        <v/>
      </c>
      <c r="C47" s="45"/>
      <c r="D47" s="45"/>
      <c r="E47" s="45"/>
      <c r="F47" s="45"/>
      <c r="G47" s="84"/>
      <c r="H47" s="104">
        <v>42</v>
      </c>
      <c r="I47" s="105" t="str">
        <f t="shared" si="1"/>
        <v/>
      </c>
      <c r="J47" s="104" t="e">
        <f t="shared" si="5"/>
        <v>#NUM!</v>
      </c>
      <c r="K47" s="104" t="e">
        <f t="shared" si="2"/>
        <v>#NUM!</v>
      </c>
      <c r="L47" s="104"/>
      <c r="M47" s="106">
        <f t="shared" si="3"/>
        <v>0</v>
      </c>
    </row>
    <row r="48" spans="1:21" x14ac:dyDescent="0.25">
      <c r="A48" s="137"/>
      <c r="B48" s="38" t="str">
        <f t="shared" si="0"/>
        <v/>
      </c>
      <c r="C48" s="39"/>
      <c r="D48" s="39"/>
      <c r="E48" s="39"/>
      <c r="F48" s="39"/>
      <c r="G48" s="84"/>
      <c r="H48" s="101">
        <v>43</v>
      </c>
      <c r="I48" s="102" t="str">
        <f t="shared" si="1"/>
        <v/>
      </c>
      <c r="J48" s="101" t="e">
        <f t="shared" si="5"/>
        <v>#NUM!</v>
      </c>
      <c r="K48" s="101" t="e">
        <f t="shared" si="2"/>
        <v>#NUM!</v>
      </c>
      <c r="L48" s="101"/>
      <c r="M48" s="103">
        <f t="shared" si="3"/>
        <v>0</v>
      </c>
    </row>
    <row r="49" spans="1:13" x14ac:dyDescent="0.25">
      <c r="A49" s="138"/>
      <c r="B49" s="44" t="str">
        <f t="shared" si="0"/>
        <v/>
      </c>
      <c r="C49" s="45"/>
      <c r="D49" s="45"/>
      <c r="E49" s="45"/>
      <c r="F49" s="45"/>
      <c r="G49" s="84"/>
      <c r="H49" s="104">
        <v>44</v>
      </c>
      <c r="I49" s="105" t="str">
        <f t="shared" si="1"/>
        <v/>
      </c>
      <c r="J49" s="104" t="e">
        <f t="shared" si="5"/>
        <v>#NUM!</v>
      </c>
      <c r="K49" s="104" t="e">
        <f t="shared" si="2"/>
        <v>#NUM!</v>
      </c>
      <c r="L49" s="104"/>
      <c r="M49" s="106">
        <f t="shared" si="3"/>
        <v>0</v>
      </c>
    </row>
    <row r="50" spans="1:13" x14ac:dyDescent="0.25">
      <c r="A50" s="137"/>
      <c r="B50" s="38" t="str">
        <f t="shared" si="0"/>
        <v/>
      </c>
      <c r="C50" s="39"/>
      <c r="D50" s="39"/>
      <c r="E50" s="39"/>
      <c r="F50" s="39"/>
      <c r="G50" s="84"/>
      <c r="H50" s="101">
        <v>45</v>
      </c>
      <c r="I50" s="102" t="str">
        <f t="shared" si="1"/>
        <v/>
      </c>
      <c r="J50" s="101" t="e">
        <f t="shared" si="5"/>
        <v>#NUM!</v>
      </c>
      <c r="K50" s="101" t="e">
        <f t="shared" si="2"/>
        <v>#NUM!</v>
      </c>
      <c r="L50" s="101"/>
      <c r="M50" s="103">
        <f t="shared" si="3"/>
        <v>0</v>
      </c>
    </row>
    <row r="51" spans="1:13" x14ac:dyDescent="0.25">
      <c r="A51" s="138"/>
      <c r="B51" s="44" t="str">
        <f t="shared" si="0"/>
        <v/>
      </c>
      <c r="C51" s="45"/>
      <c r="D51" s="45"/>
      <c r="E51" s="45"/>
      <c r="F51" s="45"/>
      <c r="G51" s="84"/>
      <c r="H51" s="104">
        <v>46</v>
      </c>
      <c r="I51" s="105" t="str">
        <f t="shared" si="1"/>
        <v/>
      </c>
      <c r="J51" s="104" t="e">
        <f t="shared" si="5"/>
        <v>#NUM!</v>
      </c>
      <c r="K51" s="104" t="e">
        <f t="shared" si="2"/>
        <v>#NUM!</v>
      </c>
      <c r="L51" s="104"/>
      <c r="M51" s="106">
        <f t="shared" si="3"/>
        <v>0</v>
      </c>
    </row>
    <row r="52" spans="1:13" x14ac:dyDescent="0.25">
      <c r="A52" s="137"/>
      <c r="B52" s="38" t="str">
        <f t="shared" si="0"/>
        <v/>
      </c>
      <c r="C52" s="39"/>
      <c r="D52" s="39"/>
      <c r="E52" s="39"/>
      <c r="F52" s="39"/>
      <c r="G52" s="84"/>
      <c r="H52" s="101">
        <v>47</v>
      </c>
      <c r="I52" s="102" t="str">
        <f t="shared" si="1"/>
        <v/>
      </c>
      <c r="J52" s="101" t="e">
        <f t="shared" si="5"/>
        <v>#NUM!</v>
      </c>
      <c r="K52" s="101" t="e">
        <f t="shared" si="2"/>
        <v>#NUM!</v>
      </c>
      <c r="L52" s="101"/>
      <c r="M52" s="103">
        <f t="shared" si="3"/>
        <v>0</v>
      </c>
    </row>
    <row r="53" spans="1:13" x14ac:dyDescent="0.25">
      <c r="A53" s="138"/>
      <c r="B53" s="44" t="str">
        <f t="shared" si="0"/>
        <v/>
      </c>
      <c r="C53" s="45"/>
      <c r="D53" s="45"/>
      <c r="E53" s="45"/>
      <c r="F53" s="45"/>
      <c r="G53" s="84"/>
      <c r="H53" s="104">
        <v>48</v>
      </c>
      <c r="I53" s="105" t="str">
        <f t="shared" si="1"/>
        <v/>
      </c>
      <c r="J53" s="104" t="e">
        <f t="shared" si="5"/>
        <v>#NUM!</v>
      </c>
      <c r="K53" s="104" t="e">
        <f t="shared" si="2"/>
        <v>#NUM!</v>
      </c>
      <c r="L53" s="104"/>
      <c r="M53" s="106">
        <f t="shared" si="3"/>
        <v>0</v>
      </c>
    </row>
    <row r="54" spans="1:13" x14ac:dyDescent="0.25">
      <c r="A54" s="137"/>
      <c r="B54" s="38" t="str">
        <f t="shared" si="0"/>
        <v/>
      </c>
      <c r="C54" s="39"/>
      <c r="D54" s="39"/>
      <c r="E54" s="39"/>
      <c r="F54" s="39"/>
      <c r="G54" s="84"/>
      <c r="H54" s="101">
        <v>49</v>
      </c>
      <c r="I54" s="102" t="str">
        <f t="shared" si="1"/>
        <v/>
      </c>
      <c r="J54" s="101" t="e">
        <f t="shared" si="5"/>
        <v>#NUM!</v>
      </c>
      <c r="K54" s="101" t="e">
        <f t="shared" si="2"/>
        <v>#NUM!</v>
      </c>
      <c r="L54" s="101"/>
      <c r="M54" s="103">
        <f t="shared" si="3"/>
        <v>0</v>
      </c>
    </row>
    <row r="55" spans="1:13" x14ac:dyDescent="0.25">
      <c r="A55" s="138"/>
      <c r="B55" s="44" t="str">
        <f t="shared" si="0"/>
        <v/>
      </c>
      <c r="C55" s="45"/>
      <c r="D55" s="45"/>
      <c r="E55" s="45"/>
      <c r="F55" s="45"/>
      <c r="G55" s="84"/>
      <c r="H55" s="104">
        <v>50</v>
      </c>
      <c r="I55" s="105" t="str">
        <f t="shared" si="1"/>
        <v/>
      </c>
      <c r="J55" s="104" t="e">
        <f t="shared" si="5"/>
        <v>#NUM!</v>
      </c>
      <c r="K55" s="104" t="e">
        <f t="shared" si="2"/>
        <v>#NUM!</v>
      </c>
      <c r="L55" s="104"/>
      <c r="M55" s="106">
        <f t="shared" si="3"/>
        <v>0</v>
      </c>
    </row>
    <row r="56" spans="1:13" x14ac:dyDescent="0.25">
      <c r="A56" s="137"/>
      <c r="B56" s="38" t="str">
        <f t="shared" si="0"/>
        <v/>
      </c>
      <c r="C56" s="39"/>
      <c r="D56" s="39"/>
      <c r="E56" s="39"/>
      <c r="F56" s="39"/>
      <c r="G56" s="84"/>
      <c r="H56" s="101">
        <v>51</v>
      </c>
      <c r="I56" s="102" t="str">
        <f t="shared" si="1"/>
        <v/>
      </c>
      <c r="J56" s="101" t="e">
        <f t="shared" si="5"/>
        <v>#NUM!</v>
      </c>
      <c r="K56" s="101" t="e">
        <f t="shared" si="2"/>
        <v>#NUM!</v>
      </c>
      <c r="L56" s="101"/>
      <c r="M56" s="103">
        <f t="shared" si="3"/>
        <v>0</v>
      </c>
    </row>
    <row r="57" spans="1:13" x14ac:dyDescent="0.25">
      <c r="A57" s="138"/>
      <c r="B57" s="44" t="str">
        <f t="shared" si="0"/>
        <v/>
      </c>
      <c r="C57" s="45"/>
      <c r="D57" s="45"/>
      <c r="E57" s="45"/>
      <c r="F57" s="45"/>
      <c r="G57" s="84"/>
      <c r="H57" s="104">
        <v>52</v>
      </c>
      <c r="I57" s="105" t="str">
        <f t="shared" si="1"/>
        <v/>
      </c>
      <c r="J57" s="104" t="e">
        <f t="shared" si="5"/>
        <v>#NUM!</v>
      </c>
      <c r="K57" s="104" t="e">
        <f t="shared" si="2"/>
        <v>#NUM!</v>
      </c>
      <c r="L57" s="104"/>
      <c r="M57" s="106">
        <f t="shared" si="3"/>
        <v>0</v>
      </c>
    </row>
    <row r="58" spans="1:13" x14ac:dyDescent="0.25">
      <c r="A58" s="137"/>
      <c r="B58" s="38" t="str">
        <f t="shared" si="0"/>
        <v/>
      </c>
      <c r="C58" s="39"/>
      <c r="D58" s="39"/>
      <c r="E58" s="39"/>
      <c r="F58" s="39"/>
      <c r="G58" s="84"/>
      <c r="H58" s="101">
        <v>53</v>
      </c>
      <c r="I58" s="102" t="str">
        <f t="shared" si="1"/>
        <v/>
      </c>
      <c r="J58" s="101" t="e">
        <f t="shared" si="5"/>
        <v>#NUM!</v>
      </c>
      <c r="K58" s="101" t="e">
        <f t="shared" si="2"/>
        <v>#NUM!</v>
      </c>
      <c r="L58" s="101"/>
      <c r="M58" s="103">
        <f t="shared" si="3"/>
        <v>0</v>
      </c>
    </row>
    <row r="59" spans="1:13" x14ac:dyDescent="0.25">
      <c r="A59" s="138"/>
      <c r="B59" s="44" t="str">
        <f t="shared" si="0"/>
        <v/>
      </c>
      <c r="C59" s="45"/>
      <c r="D59" s="45"/>
      <c r="E59" s="45"/>
      <c r="F59" s="45"/>
      <c r="G59" s="84"/>
      <c r="H59" s="104">
        <v>54</v>
      </c>
      <c r="I59" s="105" t="str">
        <f t="shared" si="1"/>
        <v/>
      </c>
      <c r="J59" s="104" t="e">
        <f t="shared" si="5"/>
        <v>#NUM!</v>
      </c>
      <c r="K59" s="104" t="e">
        <f t="shared" si="2"/>
        <v>#NUM!</v>
      </c>
      <c r="L59" s="104"/>
      <c r="M59" s="106">
        <f t="shared" si="3"/>
        <v>0</v>
      </c>
    </row>
    <row r="60" spans="1:13" x14ac:dyDescent="0.25">
      <c r="A60" s="137"/>
      <c r="B60" s="38" t="str">
        <f t="shared" si="0"/>
        <v/>
      </c>
      <c r="C60" s="39"/>
      <c r="D60" s="39"/>
      <c r="E60" s="39"/>
      <c r="F60" s="39"/>
      <c r="G60" s="84"/>
      <c r="H60" s="101">
        <v>55</v>
      </c>
      <c r="I60" s="102" t="str">
        <f t="shared" si="1"/>
        <v/>
      </c>
      <c r="J60" s="101" t="e">
        <f t="shared" si="5"/>
        <v>#NUM!</v>
      </c>
      <c r="K60" s="101" t="e">
        <f t="shared" si="2"/>
        <v>#NUM!</v>
      </c>
      <c r="L60" s="101"/>
      <c r="M60" s="103">
        <f t="shared" si="3"/>
        <v>0</v>
      </c>
    </row>
    <row r="61" spans="1:13" x14ac:dyDescent="0.25">
      <c r="A61" s="53"/>
      <c r="B61" s="44" t="str">
        <f t="shared" si="0"/>
        <v/>
      </c>
      <c r="C61" s="45"/>
      <c r="D61" s="45"/>
      <c r="E61" s="45"/>
      <c r="F61" s="45"/>
      <c r="G61" s="84"/>
      <c r="H61" s="104">
        <v>56</v>
      </c>
      <c r="I61" s="105" t="str">
        <f t="shared" si="1"/>
        <v/>
      </c>
      <c r="J61" s="104" t="e">
        <f t="shared" si="5"/>
        <v>#NUM!</v>
      </c>
      <c r="K61" s="104" t="e">
        <f t="shared" si="2"/>
        <v>#NUM!</v>
      </c>
      <c r="L61" s="104"/>
      <c r="M61" s="106">
        <f t="shared" si="3"/>
        <v>0</v>
      </c>
    </row>
    <row r="62" spans="1:13" x14ac:dyDescent="0.25">
      <c r="A62" s="54"/>
      <c r="B62" s="38" t="str">
        <f t="shared" si="0"/>
        <v/>
      </c>
      <c r="C62" s="39"/>
      <c r="D62" s="39"/>
      <c r="E62" s="39"/>
      <c r="F62" s="39"/>
      <c r="G62" s="84"/>
      <c r="H62" s="101">
        <v>57</v>
      </c>
      <c r="I62" s="102" t="str">
        <f t="shared" si="1"/>
        <v/>
      </c>
      <c r="J62" s="101" t="e">
        <f t="shared" si="5"/>
        <v>#NUM!</v>
      </c>
      <c r="K62" s="101" t="e">
        <f t="shared" si="2"/>
        <v>#NUM!</v>
      </c>
      <c r="L62" s="101"/>
      <c r="M62" s="103">
        <f t="shared" si="3"/>
        <v>0</v>
      </c>
    </row>
    <row r="63" spans="1:13" x14ac:dyDescent="0.25">
      <c r="A63" s="53"/>
      <c r="B63" s="44" t="str">
        <f t="shared" si="0"/>
        <v/>
      </c>
      <c r="C63" s="45"/>
      <c r="D63" s="45"/>
      <c r="E63" s="45"/>
      <c r="F63" s="45"/>
      <c r="G63" s="84"/>
      <c r="H63" s="104">
        <v>58</v>
      </c>
      <c r="I63" s="105" t="str">
        <f t="shared" si="1"/>
        <v/>
      </c>
      <c r="J63" s="104" t="e">
        <f t="shared" si="5"/>
        <v>#NUM!</v>
      </c>
      <c r="K63" s="104" t="e">
        <f t="shared" si="2"/>
        <v>#NUM!</v>
      </c>
      <c r="L63" s="104"/>
      <c r="M63" s="106">
        <f t="shared" si="3"/>
        <v>0</v>
      </c>
    </row>
    <row r="64" spans="1:13" x14ac:dyDescent="0.25">
      <c r="A64" s="54"/>
      <c r="B64" s="38" t="str">
        <f t="shared" si="0"/>
        <v/>
      </c>
      <c r="C64" s="39"/>
      <c r="D64" s="39"/>
      <c r="E64" s="39"/>
      <c r="F64" s="39"/>
      <c r="G64" s="84"/>
      <c r="H64" s="101">
        <v>59</v>
      </c>
      <c r="I64" s="102" t="str">
        <f t="shared" si="1"/>
        <v/>
      </c>
      <c r="J64" s="101" t="e">
        <f t="shared" si="5"/>
        <v>#NUM!</v>
      </c>
      <c r="K64" s="101" t="e">
        <f t="shared" si="2"/>
        <v>#NUM!</v>
      </c>
      <c r="L64" s="101"/>
      <c r="M64" s="103">
        <f t="shared" si="3"/>
        <v>0</v>
      </c>
    </row>
    <row r="65" spans="1:13" x14ac:dyDescent="0.25">
      <c r="A65" s="53"/>
      <c r="B65" s="44" t="str">
        <f t="shared" si="0"/>
        <v/>
      </c>
      <c r="C65" s="45"/>
      <c r="D65" s="45"/>
      <c r="E65" s="45"/>
      <c r="F65" s="45"/>
      <c r="G65" s="84"/>
      <c r="H65" s="104">
        <v>60</v>
      </c>
      <c r="I65" s="105" t="str">
        <f t="shared" si="1"/>
        <v/>
      </c>
      <c r="J65" s="104" t="e">
        <f t="shared" si="5"/>
        <v>#NUM!</v>
      </c>
      <c r="K65" s="104" t="e">
        <f t="shared" si="2"/>
        <v>#NUM!</v>
      </c>
      <c r="L65" s="104"/>
      <c r="M65" s="106">
        <f t="shared" si="3"/>
        <v>0</v>
      </c>
    </row>
    <row r="66" spans="1:13" x14ac:dyDescent="0.25">
      <c r="A66" s="117"/>
      <c r="B66" s="38"/>
      <c r="G66" s="84"/>
      <c r="H66" s="101">
        <v>61</v>
      </c>
      <c r="I66" s="102" t="str">
        <f t="shared" si="1"/>
        <v/>
      </c>
      <c r="J66" s="101" t="e">
        <f t="shared" si="5"/>
        <v>#NUM!</v>
      </c>
      <c r="K66" s="101" t="e">
        <f t="shared" si="2"/>
        <v>#NUM!</v>
      </c>
      <c r="L66" s="101"/>
      <c r="M66" s="103">
        <f t="shared" si="3"/>
        <v>0</v>
      </c>
    </row>
    <row r="67" spans="1:13" x14ac:dyDescent="0.25">
      <c r="A67" s="117"/>
      <c r="B67" s="44"/>
      <c r="G67" s="84"/>
      <c r="H67" s="101">
        <v>62</v>
      </c>
      <c r="I67" s="102" t="str">
        <f t="shared" si="1"/>
        <v/>
      </c>
      <c r="J67" s="101" t="e">
        <f t="shared" si="5"/>
        <v>#NUM!</v>
      </c>
      <c r="K67" s="101" t="e">
        <f t="shared" si="2"/>
        <v>#NUM!</v>
      </c>
      <c r="L67" s="101"/>
      <c r="M67" s="103">
        <f t="shared" si="3"/>
        <v>0</v>
      </c>
    </row>
    <row r="68" spans="1:13" x14ac:dyDescent="0.25">
      <c r="A68" s="117"/>
      <c r="B68" s="38"/>
      <c r="G68" s="84"/>
      <c r="H68" s="101">
        <v>63</v>
      </c>
      <c r="I68" s="102" t="str">
        <f t="shared" si="1"/>
        <v/>
      </c>
      <c r="J68" s="101" t="e">
        <f t="shared" si="5"/>
        <v>#NUM!</v>
      </c>
      <c r="K68" s="101" t="e">
        <f t="shared" si="2"/>
        <v>#NUM!</v>
      </c>
      <c r="L68" s="101"/>
      <c r="M68" s="103">
        <f t="shared" si="3"/>
        <v>0</v>
      </c>
    </row>
    <row r="69" spans="1:13" x14ac:dyDescent="0.25">
      <c r="A69" s="117"/>
      <c r="B69" s="44"/>
      <c r="G69" s="84"/>
      <c r="H69" s="101">
        <v>64</v>
      </c>
      <c r="I69" s="102" t="str">
        <f t="shared" si="1"/>
        <v/>
      </c>
      <c r="J69" s="101" t="e">
        <f t="shared" si="5"/>
        <v>#NUM!</v>
      </c>
      <c r="K69" s="101" t="e">
        <f t="shared" si="2"/>
        <v>#NUM!</v>
      </c>
      <c r="L69" s="101"/>
      <c r="M69" s="103">
        <f t="shared" si="3"/>
        <v>0</v>
      </c>
    </row>
    <row r="70" spans="1:13" x14ac:dyDescent="0.25">
      <c r="A70" s="117"/>
      <c r="G70" s="84"/>
      <c r="H70" s="101">
        <v>65</v>
      </c>
      <c r="I70" s="102" t="str">
        <f t="shared" ref="I70:I133" si="6">IF(H70&lt;$H$2+1,($I$2-($I$2-1)*(LOG(H70)/LOG($H$2))),"")</f>
        <v/>
      </c>
      <c r="J70" s="101" t="e">
        <f t="shared" si="5"/>
        <v>#NUM!</v>
      </c>
      <c r="K70" s="101" t="e">
        <f t="shared" ref="K70:K133" si="7">J70*$J$2</f>
        <v>#NUM!</v>
      </c>
      <c r="L70" s="101"/>
      <c r="M70" s="103">
        <f t="shared" ref="M70:M133" si="8">IF(I70&lt;&gt;"",K70+I70+L70,0)</f>
        <v>0</v>
      </c>
    </row>
    <row r="71" spans="1:13" x14ac:dyDescent="0.25">
      <c r="A71" s="117"/>
      <c r="G71" s="84"/>
      <c r="H71" s="101">
        <v>66</v>
      </c>
      <c r="I71" s="102" t="str">
        <f t="shared" si="6"/>
        <v/>
      </c>
      <c r="J71" s="101" t="e">
        <f t="shared" ref="J71:J134" si="9">INT(LOG($H$2,2))-ROUNDUP(LOG(H71,2),0)+IF(OR($H$2=1,$H$2=2,$H$2=4,$H$2=8,$H$2=16,$H$2=32,$H$2=64,$H$2=128,$H$2=256),0,1)</f>
        <v>#NUM!</v>
      </c>
      <c r="K71" s="101" t="e">
        <f t="shared" si="7"/>
        <v>#NUM!</v>
      </c>
      <c r="L71" s="101"/>
      <c r="M71" s="103">
        <f t="shared" si="8"/>
        <v>0</v>
      </c>
    </row>
    <row r="72" spans="1:13" x14ac:dyDescent="0.25">
      <c r="A72" s="117"/>
      <c r="G72" s="84"/>
      <c r="H72" s="101">
        <v>67</v>
      </c>
      <c r="I72" s="102" t="str">
        <f t="shared" si="6"/>
        <v/>
      </c>
      <c r="J72" s="101" t="e">
        <f t="shared" si="9"/>
        <v>#NUM!</v>
      </c>
      <c r="K72" s="101" t="e">
        <f t="shared" si="7"/>
        <v>#NUM!</v>
      </c>
      <c r="L72" s="101"/>
      <c r="M72" s="103">
        <f t="shared" si="8"/>
        <v>0</v>
      </c>
    </row>
    <row r="73" spans="1:13" x14ac:dyDescent="0.25">
      <c r="A73" s="117"/>
      <c r="G73" s="84"/>
      <c r="H73" s="101">
        <v>68</v>
      </c>
      <c r="I73" s="102" t="str">
        <f t="shared" si="6"/>
        <v/>
      </c>
      <c r="J73" s="101" t="e">
        <f t="shared" si="9"/>
        <v>#NUM!</v>
      </c>
      <c r="K73" s="101" t="e">
        <f t="shared" si="7"/>
        <v>#NUM!</v>
      </c>
      <c r="L73" s="101"/>
      <c r="M73" s="103">
        <f t="shared" si="8"/>
        <v>0</v>
      </c>
    </row>
    <row r="74" spans="1:13" x14ac:dyDescent="0.25">
      <c r="A74" s="117"/>
      <c r="G74" s="84"/>
      <c r="H74" s="101">
        <v>69</v>
      </c>
      <c r="I74" s="102" t="str">
        <f t="shared" si="6"/>
        <v/>
      </c>
      <c r="J74" s="101" t="e">
        <f t="shared" si="9"/>
        <v>#NUM!</v>
      </c>
      <c r="K74" s="101" t="e">
        <f t="shared" si="7"/>
        <v>#NUM!</v>
      </c>
      <c r="L74" s="101"/>
      <c r="M74" s="103">
        <f t="shared" si="8"/>
        <v>0</v>
      </c>
    </row>
    <row r="75" spans="1:13" x14ac:dyDescent="0.25">
      <c r="A75" s="117"/>
      <c r="G75" s="84"/>
      <c r="H75" s="101">
        <v>70</v>
      </c>
      <c r="I75" s="102" t="str">
        <f t="shared" si="6"/>
        <v/>
      </c>
      <c r="J75" s="101" t="e">
        <f t="shared" si="9"/>
        <v>#NUM!</v>
      </c>
      <c r="K75" s="101" t="e">
        <f t="shared" si="7"/>
        <v>#NUM!</v>
      </c>
      <c r="L75" s="101"/>
      <c r="M75" s="103">
        <f t="shared" si="8"/>
        <v>0</v>
      </c>
    </row>
    <row r="76" spans="1:13" x14ac:dyDescent="0.25">
      <c r="A76" s="117"/>
      <c r="G76" s="84"/>
      <c r="H76" s="101">
        <v>71</v>
      </c>
      <c r="I76" s="102" t="str">
        <f t="shared" si="6"/>
        <v/>
      </c>
      <c r="J76" s="101" t="e">
        <f t="shared" si="9"/>
        <v>#NUM!</v>
      </c>
      <c r="K76" s="101" t="e">
        <f t="shared" si="7"/>
        <v>#NUM!</v>
      </c>
      <c r="L76" s="101"/>
      <c r="M76" s="103">
        <f t="shared" si="8"/>
        <v>0</v>
      </c>
    </row>
    <row r="77" spans="1:13" x14ac:dyDescent="0.25">
      <c r="A77" s="117"/>
      <c r="G77" s="84"/>
      <c r="H77" s="101">
        <v>72</v>
      </c>
      <c r="I77" s="102" t="str">
        <f t="shared" si="6"/>
        <v/>
      </c>
      <c r="J77" s="101" t="e">
        <f t="shared" si="9"/>
        <v>#NUM!</v>
      </c>
      <c r="K77" s="101" t="e">
        <f t="shared" si="7"/>
        <v>#NUM!</v>
      </c>
      <c r="L77" s="101"/>
      <c r="M77" s="103">
        <f t="shared" si="8"/>
        <v>0</v>
      </c>
    </row>
    <row r="78" spans="1:13" x14ac:dyDescent="0.25">
      <c r="A78" s="117"/>
      <c r="G78" s="84"/>
      <c r="H78" s="101">
        <v>73</v>
      </c>
      <c r="I78" s="102" t="str">
        <f t="shared" si="6"/>
        <v/>
      </c>
      <c r="J78" s="101" t="e">
        <f t="shared" si="9"/>
        <v>#NUM!</v>
      </c>
      <c r="K78" s="101" t="e">
        <f t="shared" si="7"/>
        <v>#NUM!</v>
      </c>
      <c r="L78" s="101"/>
      <c r="M78" s="103">
        <f t="shared" si="8"/>
        <v>0</v>
      </c>
    </row>
    <row r="79" spans="1:13" x14ac:dyDescent="0.25">
      <c r="A79" s="117"/>
      <c r="G79" s="84"/>
      <c r="H79" s="101">
        <v>74</v>
      </c>
      <c r="I79" s="102" t="str">
        <f t="shared" si="6"/>
        <v/>
      </c>
      <c r="J79" s="101" t="e">
        <f t="shared" si="9"/>
        <v>#NUM!</v>
      </c>
      <c r="K79" s="101" t="e">
        <f t="shared" si="7"/>
        <v>#NUM!</v>
      </c>
      <c r="L79" s="101"/>
      <c r="M79" s="103">
        <f t="shared" si="8"/>
        <v>0</v>
      </c>
    </row>
    <row r="80" spans="1:13" x14ac:dyDescent="0.25">
      <c r="A80" s="117"/>
      <c r="G80" s="84"/>
      <c r="H80" s="101">
        <v>75</v>
      </c>
      <c r="I80" s="102" t="str">
        <f t="shared" si="6"/>
        <v/>
      </c>
      <c r="J80" s="101" t="e">
        <f t="shared" si="9"/>
        <v>#NUM!</v>
      </c>
      <c r="K80" s="101" t="e">
        <f t="shared" si="7"/>
        <v>#NUM!</v>
      </c>
      <c r="L80" s="101"/>
      <c r="M80" s="103">
        <f t="shared" si="8"/>
        <v>0</v>
      </c>
    </row>
    <row r="81" spans="1:13" x14ac:dyDescent="0.25">
      <c r="A81" s="117"/>
      <c r="G81" s="84"/>
      <c r="H81" s="101">
        <v>76</v>
      </c>
      <c r="I81" s="102" t="str">
        <f t="shared" si="6"/>
        <v/>
      </c>
      <c r="J81" s="101" t="e">
        <f t="shared" si="9"/>
        <v>#NUM!</v>
      </c>
      <c r="K81" s="101" t="e">
        <f t="shared" si="7"/>
        <v>#NUM!</v>
      </c>
      <c r="L81" s="101"/>
      <c r="M81" s="103">
        <f t="shared" si="8"/>
        <v>0</v>
      </c>
    </row>
    <row r="82" spans="1:13" x14ac:dyDescent="0.25">
      <c r="A82" s="117"/>
      <c r="G82" s="84"/>
      <c r="H82" s="101">
        <v>77</v>
      </c>
      <c r="I82" s="102" t="str">
        <f t="shared" si="6"/>
        <v/>
      </c>
      <c r="J82" s="101" t="e">
        <f t="shared" si="9"/>
        <v>#NUM!</v>
      </c>
      <c r="K82" s="101" t="e">
        <f t="shared" si="7"/>
        <v>#NUM!</v>
      </c>
      <c r="L82" s="101"/>
      <c r="M82" s="103">
        <f t="shared" si="8"/>
        <v>0</v>
      </c>
    </row>
    <row r="83" spans="1:13" x14ac:dyDescent="0.25">
      <c r="A83" s="117"/>
      <c r="G83" s="84"/>
      <c r="H83" s="101">
        <v>78</v>
      </c>
      <c r="I83" s="102" t="str">
        <f t="shared" si="6"/>
        <v/>
      </c>
      <c r="J83" s="101" t="e">
        <f t="shared" si="9"/>
        <v>#NUM!</v>
      </c>
      <c r="K83" s="101" t="e">
        <f t="shared" si="7"/>
        <v>#NUM!</v>
      </c>
      <c r="L83" s="101"/>
      <c r="M83" s="103">
        <f t="shared" si="8"/>
        <v>0</v>
      </c>
    </row>
    <row r="84" spans="1:13" x14ac:dyDescent="0.25">
      <c r="A84" s="117"/>
      <c r="G84" s="84"/>
      <c r="H84" s="101">
        <v>79</v>
      </c>
      <c r="I84" s="102" t="str">
        <f t="shared" si="6"/>
        <v/>
      </c>
      <c r="J84" s="101" t="e">
        <f t="shared" si="9"/>
        <v>#NUM!</v>
      </c>
      <c r="K84" s="101" t="e">
        <f t="shared" si="7"/>
        <v>#NUM!</v>
      </c>
      <c r="L84" s="101"/>
      <c r="M84" s="103">
        <f t="shared" si="8"/>
        <v>0</v>
      </c>
    </row>
    <row r="85" spans="1:13" x14ac:dyDescent="0.25">
      <c r="A85" s="117"/>
      <c r="G85" s="84"/>
      <c r="H85" s="101">
        <v>80</v>
      </c>
      <c r="I85" s="102" t="str">
        <f t="shared" si="6"/>
        <v/>
      </c>
      <c r="J85" s="101" t="e">
        <f t="shared" si="9"/>
        <v>#NUM!</v>
      </c>
      <c r="K85" s="101" t="e">
        <f t="shared" si="7"/>
        <v>#NUM!</v>
      </c>
      <c r="L85" s="101"/>
      <c r="M85" s="103">
        <f t="shared" si="8"/>
        <v>0</v>
      </c>
    </row>
    <row r="86" spans="1:13" x14ac:dyDescent="0.25">
      <c r="A86" s="117"/>
      <c r="G86" s="84"/>
      <c r="H86" s="101">
        <v>81</v>
      </c>
      <c r="I86" s="102" t="str">
        <f t="shared" si="6"/>
        <v/>
      </c>
      <c r="J86" s="101" t="e">
        <f t="shared" si="9"/>
        <v>#NUM!</v>
      </c>
      <c r="K86" s="101" t="e">
        <f t="shared" si="7"/>
        <v>#NUM!</v>
      </c>
      <c r="L86" s="101"/>
      <c r="M86" s="103">
        <f t="shared" si="8"/>
        <v>0</v>
      </c>
    </row>
    <row r="87" spans="1:13" x14ac:dyDescent="0.25">
      <c r="A87" s="117"/>
      <c r="G87" s="84"/>
      <c r="H87" s="101">
        <v>82</v>
      </c>
      <c r="I87" s="102" t="str">
        <f t="shared" si="6"/>
        <v/>
      </c>
      <c r="J87" s="101" t="e">
        <f t="shared" si="9"/>
        <v>#NUM!</v>
      </c>
      <c r="K87" s="101" t="e">
        <f t="shared" si="7"/>
        <v>#NUM!</v>
      </c>
      <c r="L87" s="101"/>
      <c r="M87" s="103">
        <f t="shared" si="8"/>
        <v>0</v>
      </c>
    </row>
    <row r="88" spans="1:13" x14ac:dyDescent="0.25">
      <c r="A88" s="117"/>
      <c r="G88" s="84"/>
      <c r="H88" s="101">
        <v>83</v>
      </c>
      <c r="I88" s="102" t="str">
        <f t="shared" si="6"/>
        <v/>
      </c>
      <c r="J88" s="101" t="e">
        <f t="shared" si="9"/>
        <v>#NUM!</v>
      </c>
      <c r="K88" s="101" t="e">
        <f t="shared" si="7"/>
        <v>#NUM!</v>
      </c>
      <c r="L88" s="101"/>
      <c r="M88" s="103">
        <f t="shared" si="8"/>
        <v>0</v>
      </c>
    </row>
    <row r="89" spans="1:13" x14ac:dyDescent="0.25">
      <c r="A89" s="117"/>
      <c r="G89" s="84"/>
      <c r="H89" s="101">
        <v>84</v>
      </c>
      <c r="I89" s="102" t="str">
        <f t="shared" si="6"/>
        <v/>
      </c>
      <c r="J89" s="101" t="e">
        <f t="shared" si="9"/>
        <v>#NUM!</v>
      </c>
      <c r="K89" s="101" t="e">
        <f t="shared" si="7"/>
        <v>#NUM!</v>
      </c>
      <c r="L89" s="101"/>
      <c r="M89" s="103">
        <f t="shared" si="8"/>
        <v>0</v>
      </c>
    </row>
    <row r="90" spans="1:13" x14ac:dyDescent="0.25">
      <c r="A90" s="117"/>
      <c r="G90" s="84"/>
      <c r="H90" s="101">
        <v>85</v>
      </c>
      <c r="I90" s="102" t="str">
        <f t="shared" si="6"/>
        <v/>
      </c>
      <c r="J90" s="101" t="e">
        <f t="shared" si="9"/>
        <v>#NUM!</v>
      </c>
      <c r="K90" s="101" t="e">
        <f t="shared" si="7"/>
        <v>#NUM!</v>
      </c>
      <c r="L90" s="101"/>
      <c r="M90" s="103">
        <f t="shared" si="8"/>
        <v>0</v>
      </c>
    </row>
    <row r="91" spans="1:13" x14ac:dyDescent="0.25">
      <c r="A91" s="117"/>
      <c r="G91" s="84"/>
      <c r="H91" s="101">
        <v>86</v>
      </c>
      <c r="I91" s="102" t="str">
        <f t="shared" si="6"/>
        <v/>
      </c>
      <c r="J91" s="101" t="e">
        <f t="shared" si="9"/>
        <v>#NUM!</v>
      </c>
      <c r="K91" s="101" t="e">
        <f t="shared" si="7"/>
        <v>#NUM!</v>
      </c>
      <c r="L91" s="101"/>
      <c r="M91" s="103">
        <f t="shared" si="8"/>
        <v>0</v>
      </c>
    </row>
    <row r="92" spans="1:13" x14ac:dyDescent="0.25">
      <c r="A92" s="117"/>
      <c r="G92" s="84"/>
      <c r="H92" s="101">
        <v>87</v>
      </c>
      <c r="I92" s="102" t="str">
        <f t="shared" si="6"/>
        <v/>
      </c>
      <c r="J92" s="101" t="e">
        <f t="shared" si="9"/>
        <v>#NUM!</v>
      </c>
      <c r="K92" s="101" t="e">
        <f t="shared" si="7"/>
        <v>#NUM!</v>
      </c>
      <c r="L92" s="101"/>
      <c r="M92" s="103">
        <f t="shared" si="8"/>
        <v>0</v>
      </c>
    </row>
    <row r="93" spans="1:13" x14ac:dyDescent="0.25">
      <c r="A93" s="117"/>
      <c r="G93" s="84"/>
      <c r="H93" s="101">
        <v>88</v>
      </c>
      <c r="I93" s="102" t="str">
        <f t="shared" si="6"/>
        <v/>
      </c>
      <c r="J93" s="101" t="e">
        <f t="shared" si="9"/>
        <v>#NUM!</v>
      </c>
      <c r="K93" s="101" t="e">
        <f t="shared" si="7"/>
        <v>#NUM!</v>
      </c>
      <c r="L93" s="101"/>
      <c r="M93" s="103">
        <f t="shared" si="8"/>
        <v>0</v>
      </c>
    </row>
    <row r="94" spans="1:13" x14ac:dyDescent="0.25">
      <c r="A94" s="117"/>
      <c r="G94" s="84"/>
      <c r="H94" s="101">
        <v>89</v>
      </c>
      <c r="I94" s="102" t="str">
        <f t="shared" si="6"/>
        <v/>
      </c>
      <c r="J94" s="101" t="e">
        <f t="shared" si="9"/>
        <v>#NUM!</v>
      </c>
      <c r="K94" s="101" t="e">
        <f t="shared" si="7"/>
        <v>#NUM!</v>
      </c>
      <c r="L94" s="101"/>
      <c r="M94" s="103">
        <f t="shared" si="8"/>
        <v>0</v>
      </c>
    </row>
    <row r="95" spans="1:13" x14ac:dyDescent="0.25">
      <c r="A95" s="117"/>
      <c r="G95" s="84"/>
      <c r="H95" s="101">
        <v>90</v>
      </c>
      <c r="I95" s="102" t="str">
        <f t="shared" si="6"/>
        <v/>
      </c>
      <c r="J95" s="101" t="e">
        <f t="shared" si="9"/>
        <v>#NUM!</v>
      </c>
      <c r="K95" s="101" t="e">
        <f t="shared" si="7"/>
        <v>#NUM!</v>
      </c>
      <c r="L95" s="101"/>
      <c r="M95" s="103">
        <f t="shared" si="8"/>
        <v>0</v>
      </c>
    </row>
    <row r="96" spans="1:13" x14ac:dyDescent="0.25">
      <c r="A96" s="117"/>
      <c r="G96" s="84"/>
      <c r="H96" s="101">
        <v>91</v>
      </c>
      <c r="I96" s="102" t="str">
        <f t="shared" si="6"/>
        <v/>
      </c>
      <c r="J96" s="101" t="e">
        <f t="shared" si="9"/>
        <v>#NUM!</v>
      </c>
      <c r="K96" s="101" t="e">
        <f t="shared" si="7"/>
        <v>#NUM!</v>
      </c>
      <c r="L96" s="101"/>
      <c r="M96" s="103">
        <f t="shared" si="8"/>
        <v>0</v>
      </c>
    </row>
    <row r="97" spans="1:13" x14ac:dyDescent="0.25">
      <c r="A97" s="117"/>
      <c r="G97" s="84"/>
      <c r="H97" s="101">
        <v>92</v>
      </c>
      <c r="I97" s="102" t="str">
        <f t="shared" si="6"/>
        <v/>
      </c>
      <c r="J97" s="101" t="e">
        <f t="shared" si="9"/>
        <v>#NUM!</v>
      </c>
      <c r="K97" s="101" t="e">
        <f t="shared" si="7"/>
        <v>#NUM!</v>
      </c>
      <c r="L97" s="101"/>
      <c r="M97" s="103">
        <f t="shared" si="8"/>
        <v>0</v>
      </c>
    </row>
    <row r="98" spans="1:13" x14ac:dyDescent="0.25">
      <c r="A98" s="117"/>
      <c r="G98" s="84"/>
      <c r="H98" s="101">
        <v>93</v>
      </c>
      <c r="I98" s="102" t="str">
        <f t="shared" si="6"/>
        <v/>
      </c>
      <c r="J98" s="101" t="e">
        <f t="shared" si="9"/>
        <v>#NUM!</v>
      </c>
      <c r="K98" s="101" t="e">
        <f t="shared" si="7"/>
        <v>#NUM!</v>
      </c>
      <c r="L98" s="101"/>
      <c r="M98" s="103">
        <f t="shared" si="8"/>
        <v>0</v>
      </c>
    </row>
    <row r="99" spans="1:13" x14ac:dyDescent="0.25">
      <c r="A99" s="117"/>
      <c r="G99" s="84"/>
      <c r="H99" s="101">
        <v>94</v>
      </c>
      <c r="I99" s="102" t="str">
        <f t="shared" si="6"/>
        <v/>
      </c>
      <c r="J99" s="101" t="e">
        <f t="shared" si="9"/>
        <v>#NUM!</v>
      </c>
      <c r="K99" s="101" t="e">
        <f t="shared" si="7"/>
        <v>#NUM!</v>
      </c>
      <c r="L99" s="101"/>
      <c r="M99" s="103">
        <f t="shared" si="8"/>
        <v>0</v>
      </c>
    </row>
    <row r="100" spans="1:13" x14ac:dyDescent="0.25">
      <c r="A100" s="117"/>
      <c r="G100" s="84"/>
      <c r="H100" s="101">
        <v>95</v>
      </c>
      <c r="I100" s="102" t="str">
        <f t="shared" si="6"/>
        <v/>
      </c>
      <c r="J100" s="101" t="e">
        <f t="shared" si="9"/>
        <v>#NUM!</v>
      </c>
      <c r="K100" s="101" t="e">
        <f t="shared" si="7"/>
        <v>#NUM!</v>
      </c>
      <c r="L100" s="101"/>
      <c r="M100" s="103">
        <f t="shared" si="8"/>
        <v>0</v>
      </c>
    </row>
    <row r="101" spans="1:13" x14ac:dyDescent="0.25">
      <c r="A101" s="117"/>
      <c r="G101" s="84"/>
      <c r="H101" s="101">
        <v>96</v>
      </c>
      <c r="I101" s="102" t="str">
        <f t="shared" si="6"/>
        <v/>
      </c>
      <c r="J101" s="101" t="e">
        <f t="shared" si="9"/>
        <v>#NUM!</v>
      </c>
      <c r="K101" s="101" t="e">
        <f t="shared" si="7"/>
        <v>#NUM!</v>
      </c>
      <c r="L101" s="101"/>
      <c r="M101" s="103">
        <f t="shared" si="8"/>
        <v>0</v>
      </c>
    </row>
    <row r="102" spans="1:13" x14ac:dyDescent="0.25">
      <c r="A102" s="117"/>
      <c r="G102" s="84"/>
      <c r="H102" s="101">
        <v>97</v>
      </c>
      <c r="I102" s="102" t="str">
        <f t="shared" si="6"/>
        <v/>
      </c>
      <c r="J102" s="101" t="e">
        <f t="shared" si="9"/>
        <v>#NUM!</v>
      </c>
      <c r="K102" s="101" t="e">
        <f t="shared" si="7"/>
        <v>#NUM!</v>
      </c>
      <c r="L102" s="101"/>
      <c r="M102" s="103">
        <f t="shared" si="8"/>
        <v>0</v>
      </c>
    </row>
    <row r="103" spans="1:13" x14ac:dyDescent="0.25">
      <c r="A103" s="117"/>
      <c r="G103" s="84"/>
      <c r="H103" s="101">
        <v>98</v>
      </c>
      <c r="I103" s="102" t="str">
        <f t="shared" si="6"/>
        <v/>
      </c>
      <c r="J103" s="101" t="e">
        <f t="shared" si="9"/>
        <v>#NUM!</v>
      </c>
      <c r="K103" s="101" t="e">
        <f t="shared" si="7"/>
        <v>#NUM!</v>
      </c>
      <c r="L103" s="101"/>
      <c r="M103" s="103">
        <f t="shared" si="8"/>
        <v>0</v>
      </c>
    </row>
    <row r="104" spans="1:13" x14ac:dyDescent="0.25">
      <c r="A104" s="117"/>
      <c r="G104" s="84"/>
      <c r="H104" s="101">
        <v>99</v>
      </c>
      <c r="I104" s="102" t="str">
        <f t="shared" si="6"/>
        <v/>
      </c>
      <c r="J104" s="101" t="e">
        <f t="shared" si="9"/>
        <v>#NUM!</v>
      </c>
      <c r="K104" s="101" t="e">
        <f t="shared" si="7"/>
        <v>#NUM!</v>
      </c>
      <c r="L104" s="101"/>
      <c r="M104" s="103">
        <f t="shared" si="8"/>
        <v>0</v>
      </c>
    </row>
    <row r="105" spans="1:13" x14ac:dyDescent="0.25">
      <c r="A105" s="117"/>
      <c r="G105" s="84"/>
      <c r="H105" s="101">
        <v>100</v>
      </c>
      <c r="I105" s="102" t="str">
        <f t="shared" si="6"/>
        <v/>
      </c>
      <c r="J105" s="101" t="e">
        <f t="shared" si="9"/>
        <v>#NUM!</v>
      </c>
      <c r="K105" s="101" t="e">
        <f t="shared" si="7"/>
        <v>#NUM!</v>
      </c>
      <c r="L105" s="101"/>
      <c r="M105" s="103">
        <f t="shared" si="8"/>
        <v>0</v>
      </c>
    </row>
    <row r="106" spans="1:13" x14ac:dyDescent="0.25">
      <c r="A106" s="117"/>
      <c r="G106" s="84"/>
      <c r="H106" s="101">
        <v>101</v>
      </c>
      <c r="I106" s="102" t="str">
        <f t="shared" si="6"/>
        <v/>
      </c>
      <c r="J106" s="101" t="e">
        <f t="shared" si="9"/>
        <v>#NUM!</v>
      </c>
      <c r="K106" s="101" t="e">
        <f t="shared" si="7"/>
        <v>#NUM!</v>
      </c>
      <c r="L106" s="101"/>
      <c r="M106" s="103">
        <f t="shared" si="8"/>
        <v>0</v>
      </c>
    </row>
    <row r="107" spans="1:13" x14ac:dyDescent="0.25">
      <c r="A107" s="117"/>
      <c r="G107" s="84"/>
      <c r="H107" s="101">
        <v>102</v>
      </c>
      <c r="I107" s="102" t="str">
        <f t="shared" si="6"/>
        <v/>
      </c>
      <c r="J107" s="101" t="e">
        <f t="shared" si="9"/>
        <v>#NUM!</v>
      </c>
      <c r="K107" s="101" t="e">
        <f t="shared" si="7"/>
        <v>#NUM!</v>
      </c>
      <c r="L107" s="101"/>
      <c r="M107" s="103">
        <f t="shared" si="8"/>
        <v>0</v>
      </c>
    </row>
    <row r="108" spans="1:13" x14ac:dyDescent="0.25">
      <c r="A108" s="117"/>
      <c r="G108" s="84"/>
      <c r="H108" s="101">
        <v>103</v>
      </c>
      <c r="I108" s="102" t="str">
        <f t="shared" si="6"/>
        <v/>
      </c>
      <c r="J108" s="101" t="e">
        <f t="shared" si="9"/>
        <v>#NUM!</v>
      </c>
      <c r="K108" s="101" t="e">
        <f t="shared" si="7"/>
        <v>#NUM!</v>
      </c>
      <c r="L108" s="101"/>
      <c r="M108" s="103">
        <f t="shared" si="8"/>
        <v>0</v>
      </c>
    </row>
    <row r="109" spans="1:13" x14ac:dyDescent="0.25">
      <c r="A109" s="117"/>
      <c r="G109" s="84"/>
      <c r="H109" s="101">
        <v>104</v>
      </c>
      <c r="I109" s="102" t="str">
        <f t="shared" si="6"/>
        <v/>
      </c>
      <c r="J109" s="101" t="e">
        <f t="shared" si="9"/>
        <v>#NUM!</v>
      </c>
      <c r="K109" s="101" t="e">
        <f t="shared" si="7"/>
        <v>#NUM!</v>
      </c>
      <c r="L109" s="101"/>
      <c r="M109" s="103">
        <f t="shared" si="8"/>
        <v>0</v>
      </c>
    </row>
    <row r="110" spans="1:13" x14ac:dyDescent="0.25">
      <c r="A110" s="117"/>
      <c r="G110" s="84"/>
      <c r="H110" s="101">
        <v>105</v>
      </c>
      <c r="I110" s="102" t="str">
        <f t="shared" si="6"/>
        <v/>
      </c>
      <c r="J110" s="101" t="e">
        <f t="shared" si="9"/>
        <v>#NUM!</v>
      </c>
      <c r="K110" s="101" t="e">
        <f t="shared" si="7"/>
        <v>#NUM!</v>
      </c>
      <c r="L110" s="101"/>
      <c r="M110" s="103">
        <f t="shared" si="8"/>
        <v>0</v>
      </c>
    </row>
    <row r="111" spans="1:13" x14ac:dyDescent="0.25">
      <c r="A111" s="117"/>
      <c r="G111" s="84"/>
      <c r="H111" s="101">
        <v>106</v>
      </c>
      <c r="I111" s="102" t="str">
        <f t="shared" si="6"/>
        <v/>
      </c>
      <c r="J111" s="101" t="e">
        <f t="shared" si="9"/>
        <v>#NUM!</v>
      </c>
      <c r="K111" s="101" t="e">
        <f t="shared" si="7"/>
        <v>#NUM!</v>
      </c>
      <c r="L111" s="101"/>
      <c r="M111" s="103">
        <f t="shared" si="8"/>
        <v>0</v>
      </c>
    </row>
    <row r="112" spans="1:13" x14ac:dyDescent="0.25">
      <c r="A112" s="117"/>
      <c r="G112" s="84"/>
      <c r="H112" s="101">
        <v>107</v>
      </c>
      <c r="I112" s="102" t="str">
        <f t="shared" si="6"/>
        <v/>
      </c>
      <c r="J112" s="101" t="e">
        <f t="shared" si="9"/>
        <v>#NUM!</v>
      </c>
      <c r="K112" s="101" t="e">
        <f t="shared" si="7"/>
        <v>#NUM!</v>
      </c>
      <c r="L112" s="101"/>
      <c r="M112" s="103">
        <f t="shared" si="8"/>
        <v>0</v>
      </c>
    </row>
    <row r="113" spans="1:13" x14ac:dyDescent="0.25">
      <c r="A113" s="117"/>
      <c r="G113" s="84"/>
      <c r="H113" s="101">
        <v>108</v>
      </c>
      <c r="I113" s="102" t="str">
        <f t="shared" si="6"/>
        <v/>
      </c>
      <c r="J113" s="101" t="e">
        <f t="shared" si="9"/>
        <v>#NUM!</v>
      </c>
      <c r="K113" s="101" t="e">
        <f t="shared" si="7"/>
        <v>#NUM!</v>
      </c>
      <c r="L113" s="101"/>
      <c r="M113" s="103">
        <f t="shared" si="8"/>
        <v>0</v>
      </c>
    </row>
    <row r="114" spans="1:13" x14ac:dyDescent="0.25">
      <c r="A114" s="117"/>
      <c r="G114" s="84"/>
      <c r="H114" s="101">
        <v>109</v>
      </c>
      <c r="I114" s="102" t="str">
        <f t="shared" si="6"/>
        <v/>
      </c>
      <c r="J114" s="101" t="e">
        <f t="shared" si="9"/>
        <v>#NUM!</v>
      </c>
      <c r="K114" s="101" t="e">
        <f t="shared" si="7"/>
        <v>#NUM!</v>
      </c>
      <c r="L114" s="101"/>
      <c r="M114" s="103">
        <f t="shared" si="8"/>
        <v>0</v>
      </c>
    </row>
    <row r="115" spans="1:13" x14ac:dyDescent="0.25">
      <c r="A115" s="117"/>
      <c r="G115" s="84"/>
      <c r="H115" s="101">
        <v>110</v>
      </c>
      <c r="I115" s="102" t="str">
        <f t="shared" si="6"/>
        <v/>
      </c>
      <c r="J115" s="101" t="e">
        <f t="shared" si="9"/>
        <v>#NUM!</v>
      </c>
      <c r="K115" s="101" t="e">
        <f t="shared" si="7"/>
        <v>#NUM!</v>
      </c>
      <c r="L115" s="101"/>
      <c r="M115" s="103">
        <f t="shared" si="8"/>
        <v>0</v>
      </c>
    </row>
    <row r="116" spans="1:13" x14ac:dyDescent="0.25">
      <c r="A116" s="117"/>
      <c r="G116" s="84"/>
      <c r="H116" s="101">
        <v>111</v>
      </c>
      <c r="I116" s="102" t="str">
        <f t="shared" si="6"/>
        <v/>
      </c>
      <c r="J116" s="101" t="e">
        <f t="shared" si="9"/>
        <v>#NUM!</v>
      </c>
      <c r="K116" s="101" t="e">
        <f t="shared" si="7"/>
        <v>#NUM!</v>
      </c>
      <c r="L116" s="101"/>
      <c r="M116" s="103">
        <f t="shared" si="8"/>
        <v>0</v>
      </c>
    </row>
    <row r="117" spans="1:13" x14ac:dyDescent="0.25">
      <c r="A117" s="117"/>
      <c r="G117" s="84"/>
      <c r="H117" s="101">
        <v>112</v>
      </c>
      <c r="I117" s="102" t="str">
        <f t="shared" si="6"/>
        <v/>
      </c>
      <c r="J117" s="101" t="e">
        <f t="shared" si="9"/>
        <v>#NUM!</v>
      </c>
      <c r="K117" s="101" t="e">
        <f t="shared" si="7"/>
        <v>#NUM!</v>
      </c>
      <c r="L117" s="101"/>
      <c r="M117" s="103">
        <f t="shared" si="8"/>
        <v>0</v>
      </c>
    </row>
    <row r="118" spans="1:13" x14ac:dyDescent="0.25">
      <c r="A118" s="117"/>
      <c r="G118" s="84"/>
      <c r="H118" s="101">
        <v>113</v>
      </c>
      <c r="I118" s="102" t="str">
        <f t="shared" si="6"/>
        <v/>
      </c>
      <c r="J118" s="101" t="e">
        <f t="shared" si="9"/>
        <v>#NUM!</v>
      </c>
      <c r="K118" s="101" t="e">
        <f t="shared" si="7"/>
        <v>#NUM!</v>
      </c>
      <c r="L118" s="101"/>
      <c r="M118" s="103">
        <f t="shared" si="8"/>
        <v>0</v>
      </c>
    </row>
    <row r="119" spans="1:13" x14ac:dyDescent="0.25">
      <c r="A119" s="117"/>
      <c r="G119" s="84"/>
      <c r="H119" s="101">
        <v>114</v>
      </c>
      <c r="I119" s="102" t="str">
        <f t="shared" si="6"/>
        <v/>
      </c>
      <c r="J119" s="101" t="e">
        <f t="shared" si="9"/>
        <v>#NUM!</v>
      </c>
      <c r="K119" s="101" t="e">
        <f t="shared" si="7"/>
        <v>#NUM!</v>
      </c>
      <c r="L119" s="101"/>
      <c r="M119" s="103">
        <f t="shared" si="8"/>
        <v>0</v>
      </c>
    </row>
    <row r="120" spans="1:13" x14ac:dyDescent="0.25">
      <c r="A120" s="117"/>
      <c r="G120" s="84"/>
      <c r="H120" s="101">
        <v>115</v>
      </c>
      <c r="I120" s="102" t="str">
        <f t="shared" si="6"/>
        <v/>
      </c>
      <c r="J120" s="101" t="e">
        <f t="shared" si="9"/>
        <v>#NUM!</v>
      </c>
      <c r="K120" s="101" t="e">
        <f t="shared" si="7"/>
        <v>#NUM!</v>
      </c>
      <c r="L120" s="101"/>
      <c r="M120" s="103">
        <f t="shared" si="8"/>
        <v>0</v>
      </c>
    </row>
    <row r="121" spans="1:13" x14ac:dyDescent="0.25">
      <c r="A121" s="117"/>
      <c r="G121" s="84"/>
      <c r="H121" s="101">
        <v>116</v>
      </c>
      <c r="I121" s="102" t="str">
        <f t="shared" si="6"/>
        <v/>
      </c>
      <c r="J121" s="101" t="e">
        <f t="shared" si="9"/>
        <v>#NUM!</v>
      </c>
      <c r="K121" s="101" t="e">
        <f t="shared" si="7"/>
        <v>#NUM!</v>
      </c>
      <c r="L121" s="101"/>
      <c r="M121" s="103">
        <f t="shared" si="8"/>
        <v>0</v>
      </c>
    </row>
    <row r="122" spans="1:13" x14ac:dyDescent="0.25">
      <c r="A122" s="117"/>
      <c r="G122" s="84"/>
      <c r="H122" s="101">
        <v>117</v>
      </c>
      <c r="I122" s="102" t="str">
        <f t="shared" si="6"/>
        <v/>
      </c>
      <c r="J122" s="101" t="e">
        <f t="shared" si="9"/>
        <v>#NUM!</v>
      </c>
      <c r="K122" s="101" t="e">
        <f t="shared" si="7"/>
        <v>#NUM!</v>
      </c>
      <c r="L122" s="101"/>
      <c r="M122" s="103">
        <f t="shared" si="8"/>
        <v>0</v>
      </c>
    </row>
    <row r="123" spans="1:13" x14ac:dyDescent="0.25">
      <c r="A123" s="117"/>
      <c r="G123" s="84"/>
      <c r="H123" s="101">
        <v>118</v>
      </c>
      <c r="I123" s="102" t="str">
        <f t="shared" si="6"/>
        <v/>
      </c>
      <c r="J123" s="101" t="e">
        <f t="shared" si="9"/>
        <v>#NUM!</v>
      </c>
      <c r="K123" s="101" t="e">
        <f t="shared" si="7"/>
        <v>#NUM!</v>
      </c>
      <c r="L123" s="101"/>
      <c r="M123" s="103">
        <f t="shared" si="8"/>
        <v>0</v>
      </c>
    </row>
    <row r="124" spans="1:13" x14ac:dyDescent="0.25">
      <c r="A124" s="117"/>
      <c r="G124" s="84"/>
      <c r="H124" s="101">
        <v>119</v>
      </c>
      <c r="I124" s="102" t="str">
        <f t="shared" si="6"/>
        <v/>
      </c>
      <c r="J124" s="101" t="e">
        <f t="shared" si="9"/>
        <v>#NUM!</v>
      </c>
      <c r="K124" s="101" t="e">
        <f t="shared" si="7"/>
        <v>#NUM!</v>
      </c>
      <c r="L124" s="101"/>
      <c r="M124" s="103">
        <f t="shared" si="8"/>
        <v>0</v>
      </c>
    </row>
    <row r="125" spans="1:13" x14ac:dyDescent="0.25">
      <c r="A125" s="117"/>
      <c r="G125" s="84"/>
      <c r="H125" s="101">
        <v>120</v>
      </c>
      <c r="I125" s="102" t="str">
        <f t="shared" si="6"/>
        <v/>
      </c>
      <c r="J125" s="101" t="e">
        <f t="shared" si="9"/>
        <v>#NUM!</v>
      </c>
      <c r="K125" s="101" t="e">
        <f t="shared" si="7"/>
        <v>#NUM!</v>
      </c>
      <c r="L125" s="101"/>
      <c r="M125" s="103">
        <f t="shared" si="8"/>
        <v>0</v>
      </c>
    </row>
    <row r="126" spans="1:13" x14ac:dyDescent="0.25">
      <c r="A126" s="117"/>
      <c r="G126" s="84"/>
      <c r="H126" s="101">
        <v>121</v>
      </c>
      <c r="I126" s="102" t="str">
        <f t="shared" si="6"/>
        <v/>
      </c>
      <c r="J126" s="101" t="e">
        <f t="shared" si="9"/>
        <v>#NUM!</v>
      </c>
      <c r="K126" s="101" t="e">
        <f t="shared" si="7"/>
        <v>#NUM!</v>
      </c>
      <c r="L126" s="101"/>
      <c r="M126" s="103">
        <f t="shared" si="8"/>
        <v>0</v>
      </c>
    </row>
    <row r="127" spans="1:13" x14ac:dyDescent="0.25">
      <c r="A127" s="117"/>
      <c r="G127" s="84"/>
      <c r="H127" s="101">
        <v>122</v>
      </c>
      <c r="I127" s="102" t="str">
        <f t="shared" si="6"/>
        <v/>
      </c>
      <c r="J127" s="101" t="e">
        <f t="shared" si="9"/>
        <v>#NUM!</v>
      </c>
      <c r="K127" s="101" t="e">
        <f t="shared" si="7"/>
        <v>#NUM!</v>
      </c>
      <c r="L127" s="101"/>
      <c r="M127" s="103">
        <f t="shared" si="8"/>
        <v>0</v>
      </c>
    </row>
    <row r="128" spans="1:13" x14ac:dyDescent="0.25">
      <c r="A128" s="117"/>
      <c r="G128" s="84"/>
      <c r="H128" s="101">
        <v>123</v>
      </c>
      <c r="I128" s="102" t="str">
        <f t="shared" si="6"/>
        <v/>
      </c>
      <c r="J128" s="101" t="e">
        <f t="shared" si="9"/>
        <v>#NUM!</v>
      </c>
      <c r="K128" s="101" t="e">
        <f t="shared" si="7"/>
        <v>#NUM!</v>
      </c>
      <c r="L128" s="101"/>
      <c r="M128" s="103">
        <f t="shared" si="8"/>
        <v>0</v>
      </c>
    </row>
    <row r="129" spans="1:13" x14ac:dyDescent="0.25">
      <c r="A129" s="117"/>
      <c r="G129" s="84"/>
      <c r="H129" s="101">
        <v>124</v>
      </c>
      <c r="I129" s="102" t="str">
        <f t="shared" si="6"/>
        <v/>
      </c>
      <c r="J129" s="101" t="e">
        <f t="shared" si="9"/>
        <v>#NUM!</v>
      </c>
      <c r="K129" s="101" t="e">
        <f t="shared" si="7"/>
        <v>#NUM!</v>
      </c>
      <c r="L129" s="101"/>
      <c r="M129" s="103">
        <f t="shared" si="8"/>
        <v>0</v>
      </c>
    </row>
    <row r="130" spans="1:13" x14ac:dyDescent="0.25">
      <c r="A130" s="117"/>
      <c r="G130" s="84"/>
      <c r="H130" s="101">
        <v>125</v>
      </c>
      <c r="I130" s="102" t="str">
        <f t="shared" si="6"/>
        <v/>
      </c>
      <c r="J130" s="101" t="e">
        <f t="shared" si="9"/>
        <v>#NUM!</v>
      </c>
      <c r="K130" s="101" t="e">
        <f t="shared" si="7"/>
        <v>#NUM!</v>
      </c>
      <c r="L130" s="101"/>
      <c r="M130" s="103">
        <f t="shared" si="8"/>
        <v>0</v>
      </c>
    </row>
    <row r="131" spans="1:13" x14ac:dyDescent="0.25">
      <c r="A131" s="117"/>
      <c r="G131" s="84"/>
      <c r="H131" s="101">
        <v>126</v>
      </c>
      <c r="I131" s="102" t="str">
        <f t="shared" si="6"/>
        <v/>
      </c>
      <c r="J131" s="101" t="e">
        <f t="shared" si="9"/>
        <v>#NUM!</v>
      </c>
      <c r="K131" s="101" t="e">
        <f t="shared" si="7"/>
        <v>#NUM!</v>
      </c>
      <c r="L131" s="101"/>
      <c r="M131" s="103">
        <f t="shared" si="8"/>
        <v>0</v>
      </c>
    </row>
    <row r="132" spans="1:13" x14ac:dyDescent="0.25">
      <c r="A132" s="117"/>
      <c r="G132" s="84"/>
      <c r="H132" s="101">
        <v>127</v>
      </c>
      <c r="I132" s="102" t="str">
        <f t="shared" si="6"/>
        <v/>
      </c>
      <c r="J132" s="101" t="e">
        <f t="shared" si="9"/>
        <v>#NUM!</v>
      </c>
      <c r="K132" s="101" t="e">
        <f t="shared" si="7"/>
        <v>#NUM!</v>
      </c>
      <c r="L132" s="101"/>
      <c r="M132" s="103">
        <f t="shared" si="8"/>
        <v>0</v>
      </c>
    </row>
    <row r="133" spans="1:13" x14ac:dyDescent="0.25">
      <c r="A133" s="117"/>
      <c r="G133" s="84"/>
      <c r="H133" s="101">
        <v>128</v>
      </c>
      <c r="I133" s="102" t="str">
        <f t="shared" si="6"/>
        <v/>
      </c>
      <c r="J133" s="101" t="e">
        <f t="shared" si="9"/>
        <v>#NUM!</v>
      </c>
      <c r="K133" s="101" t="e">
        <f t="shared" si="7"/>
        <v>#NUM!</v>
      </c>
      <c r="L133" s="101"/>
      <c r="M133" s="103">
        <f t="shared" si="8"/>
        <v>0</v>
      </c>
    </row>
    <row r="134" spans="1:13" x14ac:dyDescent="0.25">
      <c r="A134" s="117"/>
      <c r="G134" s="84"/>
      <c r="H134" s="101">
        <v>129</v>
      </c>
      <c r="I134" s="102" t="str">
        <f t="shared" ref="I134:I197" si="10">IF(H134&lt;$H$2+1,($I$2-($I$2-1)*(LOG(H134)/LOG($H$2))),"")</f>
        <v/>
      </c>
      <c r="J134" s="101" t="e">
        <f t="shared" si="9"/>
        <v>#NUM!</v>
      </c>
      <c r="K134" s="101" t="e">
        <f t="shared" ref="K134:K197" si="11">J134*$J$2</f>
        <v>#NUM!</v>
      </c>
      <c r="L134" s="101"/>
      <c r="M134" s="103">
        <f t="shared" ref="M134:M197" si="12">IF(I134&lt;&gt;"",K134+I134+L134,0)</f>
        <v>0</v>
      </c>
    </row>
    <row r="135" spans="1:13" x14ac:dyDescent="0.25">
      <c r="A135" s="117"/>
      <c r="G135" s="84"/>
      <c r="H135" s="101">
        <v>130</v>
      </c>
      <c r="I135" s="102" t="str">
        <f t="shared" si="10"/>
        <v/>
      </c>
      <c r="J135" s="101" t="e">
        <f t="shared" ref="J135:J198" si="13">INT(LOG($H$2,2))-ROUNDUP(LOG(H135,2),0)+IF(OR($H$2=1,$H$2=2,$H$2=4,$H$2=8,$H$2=16,$H$2=32,$H$2=64,$H$2=128,$H$2=256),0,1)</f>
        <v>#NUM!</v>
      </c>
      <c r="K135" s="101" t="e">
        <f t="shared" si="11"/>
        <v>#NUM!</v>
      </c>
      <c r="L135" s="101"/>
      <c r="M135" s="103">
        <f t="shared" si="12"/>
        <v>0</v>
      </c>
    </row>
    <row r="136" spans="1:13" x14ac:dyDescent="0.25">
      <c r="A136" s="117"/>
      <c r="G136" s="84"/>
      <c r="H136" s="101">
        <v>131</v>
      </c>
      <c r="I136" s="102" t="str">
        <f t="shared" si="10"/>
        <v/>
      </c>
      <c r="J136" s="101" t="e">
        <f t="shared" si="13"/>
        <v>#NUM!</v>
      </c>
      <c r="K136" s="101" t="e">
        <f t="shared" si="11"/>
        <v>#NUM!</v>
      </c>
      <c r="L136" s="101"/>
      <c r="M136" s="103">
        <f t="shared" si="12"/>
        <v>0</v>
      </c>
    </row>
    <row r="137" spans="1:13" x14ac:dyDescent="0.25">
      <c r="A137" s="117"/>
      <c r="G137" s="84"/>
      <c r="H137" s="101">
        <v>132</v>
      </c>
      <c r="I137" s="102" t="str">
        <f t="shared" si="10"/>
        <v/>
      </c>
      <c r="J137" s="101" t="e">
        <f t="shared" si="13"/>
        <v>#NUM!</v>
      </c>
      <c r="K137" s="101" t="e">
        <f t="shared" si="11"/>
        <v>#NUM!</v>
      </c>
      <c r="L137" s="101"/>
      <c r="M137" s="103">
        <f t="shared" si="12"/>
        <v>0</v>
      </c>
    </row>
    <row r="138" spans="1:13" x14ac:dyDescent="0.25">
      <c r="A138" s="117"/>
      <c r="G138" s="84"/>
      <c r="H138" s="101">
        <v>133</v>
      </c>
      <c r="I138" s="102" t="str">
        <f t="shared" si="10"/>
        <v/>
      </c>
      <c r="J138" s="101" t="e">
        <f t="shared" si="13"/>
        <v>#NUM!</v>
      </c>
      <c r="K138" s="101" t="e">
        <f t="shared" si="11"/>
        <v>#NUM!</v>
      </c>
      <c r="L138" s="101"/>
      <c r="M138" s="103">
        <f t="shared" si="12"/>
        <v>0</v>
      </c>
    </row>
    <row r="139" spans="1:13" x14ac:dyDescent="0.25">
      <c r="A139" s="117"/>
      <c r="G139" s="84"/>
      <c r="H139" s="101">
        <v>134</v>
      </c>
      <c r="I139" s="102" t="str">
        <f t="shared" si="10"/>
        <v/>
      </c>
      <c r="J139" s="101" t="e">
        <f t="shared" si="13"/>
        <v>#NUM!</v>
      </c>
      <c r="K139" s="101" t="e">
        <f t="shared" si="11"/>
        <v>#NUM!</v>
      </c>
      <c r="L139" s="101"/>
      <c r="M139" s="103">
        <f t="shared" si="12"/>
        <v>0</v>
      </c>
    </row>
    <row r="140" spans="1:13" x14ac:dyDescent="0.25">
      <c r="A140" s="117"/>
      <c r="G140" s="84"/>
      <c r="H140" s="101">
        <v>135</v>
      </c>
      <c r="I140" s="102" t="str">
        <f t="shared" si="10"/>
        <v/>
      </c>
      <c r="J140" s="101" t="e">
        <f t="shared" si="13"/>
        <v>#NUM!</v>
      </c>
      <c r="K140" s="101" t="e">
        <f t="shared" si="11"/>
        <v>#NUM!</v>
      </c>
      <c r="L140" s="101"/>
      <c r="M140" s="103">
        <f t="shared" si="12"/>
        <v>0</v>
      </c>
    </row>
    <row r="141" spans="1:13" x14ac:dyDescent="0.25">
      <c r="A141" s="117"/>
      <c r="G141" s="84"/>
      <c r="H141" s="101">
        <v>136</v>
      </c>
      <c r="I141" s="102" t="str">
        <f t="shared" si="10"/>
        <v/>
      </c>
      <c r="J141" s="101" t="e">
        <f t="shared" si="13"/>
        <v>#NUM!</v>
      </c>
      <c r="K141" s="101" t="e">
        <f t="shared" si="11"/>
        <v>#NUM!</v>
      </c>
      <c r="L141" s="101"/>
      <c r="M141" s="103">
        <f t="shared" si="12"/>
        <v>0</v>
      </c>
    </row>
    <row r="142" spans="1:13" x14ac:dyDescent="0.25">
      <c r="A142" s="117"/>
      <c r="G142" s="84"/>
      <c r="H142" s="101">
        <v>137</v>
      </c>
      <c r="I142" s="102" t="str">
        <f t="shared" si="10"/>
        <v/>
      </c>
      <c r="J142" s="101" t="e">
        <f t="shared" si="13"/>
        <v>#NUM!</v>
      </c>
      <c r="K142" s="101" t="e">
        <f t="shared" si="11"/>
        <v>#NUM!</v>
      </c>
      <c r="L142" s="101"/>
      <c r="M142" s="103">
        <f t="shared" si="12"/>
        <v>0</v>
      </c>
    </row>
    <row r="143" spans="1:13" x14ac:dyDescent="0.25">
      <c r="A143" s="117"/>
      <c r="G143" s="84"/>
      <c r="H143" s="101">
        <v>138</v>
      </c>
      <c r="I143" s="102" t="str">
        <f t="shared" si="10"/>
        <v/>
      </c>
      <c r="J143" s="101" t="e">
        <f t="shared" si="13"/>
        <v>#NUM!</v>
      </c>
      <c r="K143" s="101" t="e">
        <f t="shared" si="11"/>
        <v>#NUM!</v>
      </c>
      <c r="L143" s="101"/>
      <c r="M143" s="103">
        <f t="shared" si="12"/>
        <v>0</v>
      </c>
    </row>
    <row r="144" spans="1:13" x14ac:dyDescent="0.25">
      <c r="A144" s="117"/>
      <c r="G144" s="84"/>
      <c r="H144" s="101">
        <v>139</v>
      </c>
      <c r="I144" s="102" t="str">
        <f t="shared" si="10"/>
        <v/>
      </c>
      <c r="J144" s="101" t="e">
        <f t="shared" si="13"/>
        <v>#NUM!</v>
      </c>
      <c r="K144" s="101" t="e">
        <f t="shared" si="11"/>
        <v>#NUM!</v>
      </c>
      <c r="L144" s="101"/>
      <c r="M144" s="103">
        <f t="shared" si="12"/>
        <v>0</v>
      </c>
    </row>
    <row r="145" spans="1:13" x14ac:dyDescent="0.25">
      <c r="A145" s="117"/>
      <c r="G145" s="84"/>
      <c r="H145" s="101">
        <v>140</v>
      </c>
      <c r="I145" s="102" t="str">
        <f t="shared" si="10"/>
        <v/>
      </c>
      <c r="J145" s="101" t="e">
        <f t="shared" si="13"/>
        <v>#NUM!</v>
      </c>
      <c r="K145" s="101" t="e">
        <f t="shared" si="11"/>
        <v>#NUM!</v>
      </c>
      <c r="L145" s="101"/>
      <c r="M145" s="103">
        <f t="shared" si="12"/>
        <v>0</v>
      </c>
    </row>
    <row r="146" spans="1:13" x14ac:dyDescent="0.25">
      <c r="A146" s="117"/>
      <c r="G146" s="84"/>
      <c r="H146" s="101">
        <v>141</v>
      </c>
      <c r="I146" s="102" t="str">
        <f t="shared" si="10"/>
        <v/>
      </c>
      <c r="J146" s="101" t="e">
        <f t="shared" si="13"/>
        <v>#NUM!</v>
      </c>
      <c r="K146" s="101" t="e">
        <f t="shared" si="11"/>
        <v>#NUM!</v>
      </c>
      <c r="L146" s="101"/>
      <c r="M146" s="103">
        <f t="shared" si="12"/>
        <v>0</v>
      </c>
    </row>
    <row r="147" spans="1:13" x14ac:dyDescent="0.25">
      <c r="A147" s="117"/>
      <c r="G147" s="84"/>
      <c r="H147" s="101">
        <v>142</v>
      </c>
      <c r="I147" s="102" t="str">
        <f t="shared" si="10"/>
        <v/>
      </c>
      <c r="J147" s="101" t="e">
        <f t="shared" si="13"/>
        <v>#NUM!</v>
      </c>
      <c r="K147" s="101" t="e">
        <f t="shared" si="11"/>
        <v>#NUM!</v>
      </c>
      <c r="L147" s="101"/>
      <c r="M147" s="103">
        <f t="shared" si="12"/>
        <v>0</v>
      </c>
    </row>
    <row r="148" spans="1:13" x14ac:dyDescent="0.25">
      <c r="A148" s="117"/>
      <c r="G148" s="84"/>
      <c r="H148" s="101">
        <v>143</v>
      </c>
      <c r="I148" s="102" t="str">
        <f t="shared" si="10"/>
        <v/>
      </c>
      <c r="J148" s="101" t="e">
        <f t="shared" si="13"/>
        <v>#NUM!</v>
      </c>
      <c r="K148" s="101" t="e">
        <f t="shared" si="11"/>
        <v>#NUM!</v>
      </c>
      <c r="L148" s="101"/>
      <c r="M148" s="103">
        <f t="shared" si="12"/>
        <v>0</v>
      </c>
    </row>
    <row r="149" spans="1:13" x14ac:dyDescent="0.25">
      <c r="A149" s="117"/>
      <c r="G149" s="84"/>
      <c r="H149" s="101">
        <v>144</v>
      </c>
      <c r="I149" s="102" t="str">
        <f t="shared" si="10"/>
        <v/>
      </c>
      <c r="J149" s="101" t="e">
        <f t="shared" si="13"/>
        <v>#NUM!</v>
      </c>
      <c r="K149" s="101" t="e">
        <f t="shared" si="11"/>
        <v>#NUM!</v>
      </c>
      <c r="L149" s="101"/>
      <c r="M149" s="103">
        <f t="shared" si="12"/>
        <v>0</v>
      </c>
    </row>
    <row r="150" spans="1:13" x14ac:dyDescent="0.25">
      <c r="A150" s="117"/>
      <c r="G150" s="84"/>
      <c r="H150" s="101">
        <v>145</v>
      </c>
      <c r="I150" s="102" t="str">
        <f t="shared" si="10"/>
        <v/>
      </c>
      <c r="J150" s="101" t="e">
        <f t="shared" si="13"/>
        <v>#NUM!</v>
      </c>
      <c r="K150" s="101" t="e">
        <f t="shared" si="11"/>
        <v>#NUM!</v>
      </c>
      <c r="L150" s="101"/>
      <c r="M150" s="103">
        <f t="shared" si="12"/>
        <v>0</v>
      </c>
    </row>
    <row r="151" spans="1:13" x14ac:dyDescent="0.25">
      <c r="A151" s="117"/>
      <c r="G151" s="84"/>
      <c r="H151" s="101">
        <v>146</v>
      </c>
      <c r="I151" s="102" t="str">
        <f t="shared" si="10"/>
        <v/>
      </c>
      <c r="J151" s="101" t="e">
        <f t="shared" si="13"/>
        <v>#NUM!</v>
      </c>
      <c r="K151" s="101" t="e">
        <f t="shared" si="11"/>
        <v>#NUM!</v>
      </c>
      <c r="L151" s="101"/>
      <c r="M151" s="103">
        <f t="shared" si="12"/>
        <v>0</v>
      </c>
    </row>
    <row r="152" spans="1:13" x14ac:dyDescent="0.25">
      <c r="A152" s="117"/>
      <c r="G152" s="84"/>
      <c r="H152" s="101">
        <v>147</v>
      </c>
      <c r="I152" s="102" t="str">
        <f t="shared" si="10"/>
        <v/>
      </c>
      <c r="J152" s="101" t="e">
        <f t="shared" si="13"/>
        <v>#NUM!</v>
      </c>
      <c r="K152" s="101" t="e">
        <f t="shared" si="11"/>
        <v>#NUM!</v>
      </c>
      <c r="L152" s="101"/>
      <c r="M152" s="103">
        <f t="shared" si="12"/>
        <v>0</v>
      </c>
    </row>
    <row r="153" spans="1:13" x14ac:dyDescent="0.25">
      <c r="A153" s="117"/>
      <c r="G153" s="84"/>
      <c r="H153" s="101">
        <v>148</v>
      </c>
      <c r="I153" s="102" t="str">
        <f t="shared" si="10"/>
        <v/>
      </c>
      <c r="J153" s="101" t="e">
        <f t="shared" si="13"/>
        <v>#NUM!</v>
      </c>
      <c r="K153" s="101" t="e">
        <f t="shared" si="11"/>
        <v>#NUM!</v>
      </c>
      <c r="L153" s="101"/>
      <c r="M153" s="103">
        <f t="shared" si="12"/>
        <v>0</v>
      </c>
    </row>
    <row r="154" spans="1:13" x14ac:dyDescent="0.25">
      <c r="A154" s="117"/>
      <c r="G154" s="84"/>
      <c r="H154" s="101">
        <v>149</v>
      </c>
      <c r="I154" s="102" t="str">
        <f t="shared" si="10"/>
        <v/>
      </c>
      <c r="J154" s="101" t="e">
        <f t="shared" si="13"/>
        <v>#NUM!</v>
      </c>
      <c r="K154" s="101" t="e">
        <f t="shared" si="11"/>
        <v>#NUM!</v>
      </c>
      <c r="L154" s="101"/>
      <c r="M154" s="103">
        <f t="shared" si="12"/>
        <v>0</v>
      </c>
    </row>
    <row r="155" spans="1:13" x14ac:dyDescent="0.25">
      <c r="A155" s="117"/>
      <c r="G155" s="84"/>
      <c r="H155" s="101">
        <v>150</v>
      </c>
      <c r="I155" s="102" t="str">
        <f t="shared" si="10"/>
        <v/>
      </c>
      <c r="J155" s="101" t="e">
        <f t="shared" si="13"/>
        <v>#NUM!</v>
      </c>
      <c r="K155" s="101" t="e">
        <f t="shared" si="11"/>
        <v>#NUM!</v>
      </c>
      <c r="L155" s="101"/>
      <c r="M155" s="103">
        <f t="shared" si="12"/>
        <v>0</v>
      </c>
    </row>
    <row r="156" spans="1:13" x14ac:dyDescent="0.25">
      <c r="A156" s="117"/>
      <c r="G156" s="84"/>
      <c r="H156" s="101">
        <v>151</v>
      </c>
      <c r="I156" s="102" t="str">
        <f t="shared" si="10"/>
        <v/>
      </c>
      <c r="J156" s="101" t="e">
        <f t="shared" si="13"/>
        <v>#NUM!</v>
      </c>
      <c r="K156" s="101" t="e">
        <f t="shared" si="11"/>
        <v>#NUM!</v>
      </c>
      <c r="L156" s="101"/>
      <c r="M156" s="103">
        <f t="shared" si="12"/>
        <v>0</v>
      </c>
    </row>
    <row r="157" spans="1:13" x14ac:dyDescent="0.25">
      <c r="A157" s="117"/>
      <c r="G157" s="84"/>
      <c r="H157" s="101">
        <v>152</v>
      </c>
      <c r="I157" s="102" t="str">
        <f t="shared" si="10"/>
        <v/>
      </c>
      <c r="J157" s="101" t="e">
        <f t="shared" si="13"/>
        <v>#NUM!</v>
      </c>
      <c r="K157" s="101" t="e">
        <f t="shared" si="11"/>
        <v>#NUM!</v>
      </c>
      <c r="L157" s="101"/>
      <c r="M157" s="103">
        <f t="shared" si="12"/>
        <v>0</v>
      </c>
    </row>
    <row r="158" spans="1:13" x14ac:dyDescent="0.25">
      <c r="A158" s="117"/>
      <c r="G158" s="84"/>
      <c r="H158" s="101">
        <v>153</v>
      </c>
      <c r="I158" s="102" t="str">
        <f t="shared" si="10"/>
        <v/>
      </c>
      <c r="J158" s="101" t="e">
        <f t="shared" si="13"/>
        <v>#NUM!</v>
      </c>
      <c r="K158" s="101" t="e">
        <f t="shared" si="11"/>
        <v>#NUM!</v>
      </c>
      <c r="L158" s="101"/>
      <c r="M158" s="103">
        <f t="shared" si="12"/>
        <v>0</v>
      </c>
    </row>
    <row r="159" spans="1:13" x14ac:dyDescent="0.25">
      <c r="A159" s="117"/>
      <c r="G159" s="84"/>
      <c r="H159" s="101">
        <v>154</v>
      </c>
      <c r="I159" s="102" t="str">
        <f t="shared" si="10"/>
        <v/>
      </c>
      <c r="J159" s="101" t="e">
        <f t="shared" si="13"/>
        <v>#NUM!</v>
      </c>
      <c r="K159" s="101" t="e">
        <f t="shared" si="11"/>
        <v>#NUM!</v>
      </c>
      <c r="L159" s="101"/>
      <c r="M159" s="103">
        <f t="shared" si="12"/>
        <v>0</v>
      </c>
    </row>
    <row r="160" spans="1:13" x14ac:dyDescent="0.25">
      <c r="A160" s="117"/>
      <c r="G160" s="84"/>
      <c r="H160" s="101">
        <v>155</v>
      </c>
      <c r="I160" s="102" t="str">
        <f t="shared" si="10"/>
        <v/>
      </c>
      <c r="J160" s="101" t="e">
        <f t="shared" si="13"/>
        <v>#NUM!</v>
      </c>
      <c r="K160" s="101" t="e">
        <f t="shared" si="11"/>
        <v>#NUM!</v>
      </c>
      <c r="L160" s="101"/>
      <c r="M160" s="103">
        <f t="shared" si="12"/>
        <v>0</v>
      </c>
    </row>
    <row r="161" spans="1:13" x14ac:dyDescent="0.25">
      <c r="A161" s="117"/>
      <c r="G161" s="84"/>
      <c r="H161" s="101">
        <v>156</v>
      </c>
      <c r="I161" s="102" t="str">
        <f t="shared" si="10"/>
        <v/>
      </c>
      <c r="J161" s="101" t="e">
        <f t="shared" si="13"/>
        <v>#NUM!</v>
      </c>
      <c r="K161" s="101" t="e">
        <f t="shared" si="11"/>
        <v>#NUM!</v>
      </c>
      <c r="L161" s="101"/>
      <c r="M161" s="103">
        <f t="shared" si="12"/>
        <v>0</v>
      </c>
    </row>
    <row r="162" spans="1:13" x14ac:dyDescent="0.25">
      <c r="A162" s="117"/>
      <c r="G162" s="84"/>
      <c r="H162" s="101">
        <v>157</v>
      </c>
      <c r="I162" s="102" t="str">
        <f t="shared" si="10"/>
        <v/>
      </c>
      <c r="J162" s="101" t="e">
        <f t="shared" si="13"/>
        <v>#NUM!</v>
      </c>
      <c r="K162" s="101" t="e">
        <f t="shared" si="11"/>
        <v>#NUM!</v>
      </c>
      <c r="L162" s="101"/>
      <c r="M162" s="103">
        <f t="shared" si="12"/>
        <v>0</v>
      </c>
    </row>
    <row r="163" spans="1:13" x14ac:dyDescent="0.25">
      <c r="A163" s="117"/>
      <c r="G163" s="84"/>
      <c r="H163" s="101">
        <v>158</v>
      </c>
      <c r="I163" s="102" t="str">
        <f t="shared" si="10"/>
        <v/>
      </c>
      <c r="J163" s="101" t="e">
        <f t="shared" si="13"/>
        <v>#NUM!</v>
      </c>
      <c r="K163" s="101" t="e">
        <f t="shared" si="11"/>
        <v>#NUM!</v>
      </c>
      <c r="L163" s="101"/>
      <c r="M163" s="103">
        <f t="shared" si="12"/>
        <v>0</v>
      </c>
    </row>
    <row r="164" spans="1:13" x14ac:dyDescent="0.25">
      <c r="A164" s="117"/>
      <c r="G164" s="84"/>
      <c r="H164" s="101">
        <v>159</v>
      </c>
      <c r="I164" s="102" t="str">
        <f t="shared" si="10"/>
        <v/>
      </c>
      <c r="J164" s="101" t="e">
        <f t="shared" si="13"/>
        <v>#NUM!</v>
      </c>
      <c r="K164" s="101" t="e">
        <f t="shared" si="11"/>
        <v>#NUM!</v>
      </c>
      <c r="L164" s="101"/>
      <c r="M164" s="103">
        <f t="shared" si="12"/>
        <v>0</v>
      </c>
    </row>
    <row r="165" spans="1:13" x14ac:dyDescent="0.25">
      <c r="A165" s="117"/>
      <c r="G165" s="84"/>
      <c r="H165" s="101">
        <v>160</v>
      </c>
      <c r="I165" s="102" t="str">
        <f t="shared" si="10"/>
        <v/>
      </c>
      <c r="J165" s="101" t="e">
        <f t="shared" si="13"/>
        <v>#NUM!</v>
      </c>
      <c r="K165" s="101" t="e">
        <f t="shared" si="11"/>
        <v>#NUM!</v>
      </c>
      <c r="L165" s="101"/>
      <c r="M165" s="103">
        <f t="shared" si="12"/>
        <v>0</v>
      </c>
    </row>
    <row r="166" spans="1:13" x14ac:dyDescent="0.25">
      <c r="A166" s="117"/>
      <c r="G166" s="84"/>
      <c r="H166" s="101">
        <v>161</v>
      </c>
      <c r="I166" s="102" t="str">
        <f t="shared" si="10"/>
        <v/>
      </c>
      <c r="J166" s="101" t="e">
        <f t="shared" si="13"/>
        <v>#NUM!</v>
      </c>
      <c r="K166" s="101" t="e">
        <f t="shared" si="11"/>
        <v>#NUM!</v>
      </c>
      <c r="L166" s="101"/>
      <c r="M166" s="103">
        <f t="shared" si="12"/>
        <v>0</v>
      </c>
    </row>
    <row r="167" spans="1:13" x14ac:dyDescent="0.25">
      <c r="A167" s="117"/>
      <c r="G167" s="84"/>
      <c r="H167" s="101">
        <v>162</v>
      </c>
      <c r="I167" s="102" t="str">
        <f t="shared" si="10"/>
        <v/>
      </c>
      <c r="J167" s="101" t="e">
        <f t="shared" si="13"/>
        <v>#NUM!</v>
      </c>
      <c r="K167" s="101" t="e">
        <f t="shared" si="11"/>
        <v>#NUM!</v>
      </c>
      <c r="L167" s="101"/>
      <c r="M167" s="103">
        <f t="shared" si="12"/>
        <v>0</v>
      </c>
    </row>
    <row r="168" spans="1:13" x14ac:dyDescent="0.25">
      <c r="A168" s="117"/>
      <c r="G168" s="84"/>
      <c r="H168" s="101">
        <v>163</v>
      </c>
      <c r="I168" s="102" t="str">
        <f t="shared" si="10"/>
        <v/>
      </c>
      <c r="J168" s="101" t="e">
        <f t="shared" si="13"/>
        <v>#NUM!</v>
      </c>
      <c r="K168" s="101" t="e">
        <f t="shared" si="11"/>
        <v>#NUM!</v>
      </c>
      <c r="L168" s="101"/>
      <c r="M168" s="103">
        <f t="shared" si="12"/>
        <v>0</v>
      </c>
    </row>
    <row r="169" spans="1:13" x14ac:dyDescent="0.25">
      <c r="A169" s="117"/>
      <c r="G169" s="84"/>
      <c r="H169" s="101">
        <v>164</v>
      </c>
      <c r="I169" s="102" t="str">
        <f t="shared" si="10"/>
        <v/>
      </c>
      <c r="J169" s="101" t="e">
        <f t="shared" si="13"/>
        <v>#NUM!</v>
      </c>
      <c r="K169" s="101" t="e">
        <f t="shared" si="11"/>
        <v>#NUM!</v>
      </c>
      <c r="L169" s="101"/>
      <c r="M169" s="103">
        <f t="shared" si="12"/>
        <v>0</v>
      </c>
    </row>
    <row r="170" spans="1:13" x14ac:dyDescent="0.25">
      <c r="A170" s="117"/>
      <c r="G170" s="84"/>
      <c r="H170" s="101">
        <v>165</v>
      </c>
      <c r="I170" s="102" t="str">
        <f t="shared" si="10"/>
        <v/>
      </c>
      <c r="J170" s="101" t="e">
        <f t="shared" si="13"/>
        <v>#NUM!</v>
      </c>
      <c r="K170" s="101" t="e">
        <f t="shared" si="11"/>
        <v>#NUM!</v>
      </c>
      <c r="L170" s="101"/>
      <c r="M170" s="103">
        <f t="shared" si="12"/>
        <v>0</v>
      </c>
    </row>
    <row r="171" spans="1:13" x14ac:dyDescent="0.25">
      <c r="A171" s="117"/>
      <c r="G171" s="84"/>
      <c r="H171" s="101">
        <v>166</v>
      </c>
      <c r="I171" s="102" t="str">
        <f t="shared" si="10"/>
        <v/>
      </c>
      <c r="J171" s="101" t="e">
        <f t="shared" si="13"/>
        <v>#NUM!</v>
      </c>
      <c r="K171" s="101" t="e">
        <f t="shared" si="11"/>
        <v>#NUM!</v>
      </c>
      <c r="L171" s="101"/>
      <c r="M171" s="103">
        <f t="shared" si="12"/>
        <v>0</v>
      </c>
    </row>
    <row r="172" spans="1:13" x14ac:dyDescent="0.25">
      <c r="A172" s="117"/>
      <c r="G172" s="84"/>
      <c r="H172" s="101">
        <v>167</v>
      </c>
      <c r="I172" s="102" t="str">
        <f t="shared" si="10"/>
        <v/>
      </c>
      <c r="J172" s="101" t="e">
        <f t="shared" si="13"/>
        <v>#NUM!</v>
      </c>
      <c r="K172" s="101" t="e">
        <f t="shared" si="11"/>
        <v>#NUM!</v>
      </c>
      <c r="L172" s="101"/>
      <c r="M172" s="103">
        <f t="shared" si="12"/>
        <v>0</v>
      </c>
    </row>
    <row r="173" spans="1:13" x14ac:dyDescent="0.25">
      <c r="A173" s="117"/>
      <c r="G173" s="84"/>
      <c r="H173" s="101">
        <v>168</v>
      </c>
      <c r="I173" s="102" t="str">
        <f t="shared" si="10"/>
        <v/>
      </c>
      <c r="J173" s="101" t="e">
        <f t="shared" si="13"/>
        <v>#NUM!</v>
      </c>
      <c r="K173" s="101" t="e">
        <f t="shared" si="11"/>
        <v>#NUM!</v>
      </c>
      <c r="L173" s="101"/>
      <c r="M173" s="103">
        <f t="shared" si="12"/>
        <v>0</v>
      </c>
    </row>
    <row r="174" spans="1:13" x14ac:dyDescent="0.25">
      <c r="A174" s="117"/>
      <c r="G174" s="84"/>
      <c r="H174" s="101">
        <v>169</v>
      </c>
      <c r="I174" s="102" t="str">
        <f t="shared" si="10"/>
        <v/>
      </c>
      <c r="J174" s="101" t="e">
        <f t="shared" si="13"/>
        <v>#NUM!</v>
      </c>
      <c r="K174" s="101" t="e">
        <f t="shared" si="11"/>
        <v>#NUM!</v>
      </c>
      <c r="L174" s="101"/>
      <c r="M174" s="103">
        <f t="shared" si="12"/>
        <v>0</v>
      </c>
    </row>
    <row r="175" spans="1:13" x14ac:dyDescent="0.25">
      <c r="A175" s="117"/>
      <c r="G175" s="84"/>
      <c r="H175" s="101">
        <v>170</v>
      </c>
      <c r="I175" s="102" t="str">
        <f t="shared" si="10"/>
        <v/>
      </c>
      <c r="J175" s="101" t="e">
        <f t="shared" si="13"/>
        <v>#NUM!</v>
      </c>
      <c r="K175" s="101" t="e">
        <f t="shared" si="11"/>
        <v>#NUM!</v>
      </c>
      <c r="L175" s="101"/>
      <c r="M175" s="103">
        <f t="shared" si="12"/>
        <v>0</v>
      </c>
    </row>
    <row r="176" spans="1:13" x14ac:dyDescent="0.25">
      <c r="A176" s="117"/>
      <c r="G176" s="84"/>
      <c r="H176" s="101">
        <v>171</v>
      </c>
      <c r="I176" s="102" t="str">
        <f t="shared" si="10"/>
        <v/>
      </c>
      <c r="J176" s="101" t="e">
        <f t="shared" si="13"/>
        <v>#NUM!</v>
      </c>
      <c r="K176" s="101" t="e">
        <f t="shared" si="11"/>
        <v>#NUM!</v>
      </c>
      <c r="L176" s="101"/>
      <c r="M176" s="103">
        <f t="shared" si="12"/>
        <v>0</v>
      </c>
    </row>
    <row r="177" spans="1:13" x14ac:dyDescent="0.25">
      <c r="A177" s="117"/>
      <c r="G177" s="84"/>
      <c r="H177" s="101">
        <v>172</v>
      </c>
      <c r="I177" s="102" t="str">
        <f t="shared" si="10"/>
        <v/>
      </c>
      <c r="J177" s="101" t="e">
        <f t="shared" si="13"/>
        <v>#NUM!</v>
      </c>
      <c r="K177" s="101" t="e">
        <f t="shared" si="11"/>
        <v>#NUM!</v>
      </c>
      <c r="L177" s="101"/>
      <c r="M177" s="103">
        <f t="shared" si="12"/>
        <v>0</v>
      </c>
    </row>
    <row r="178" spans="1:13" x14ac:dyDescent="0.25">
      <c r="A178" s="117"/>
      <c r="G178" s="84"/>
      <c r="H178" s="101">
        <v>173</v>
      </c>
      <c r="I178" s="102" t="str">
        <f t="shared" si="10"/>
        <v/>
      </c>
      <c r="J178" s="101" t="e">
        <f t="shared" si="13"/>
        <v>#NUM!</v>
      </c>
      <c r="K178" s="101" t="e">
        <f t="shared" si="11"/>
        <v>#NUM!</v>
      </c>
      <c r="L178" s="101"/>
      <c r="M178" s="103">
        <f t="shared" si="12"/>
        <v>0</v>
      </c>
    </row>
    <row r="179" spans="1:13" x14ac:dyDescent="0.25">
      <c r="A179" s="117"/>
      <c r="G179" s="84"/>
      <c r="H179" s="101">
        <v>174</v>
      </c>
      <c r="I179" s="102" t="str">
        <f t="shared" si="10"/>
        <v/>
      </c>
      <c r="J179" s="101" t="e">
        <f t="shared" si="13"/>
        <v>#NUM!</v>
      </c>
      <c r="K179" s="101" t="e">
        <f t="shared" si="11"/>
        <v>#NUM!</v>
      </c>
      <c r="L179" s="101"/>
      <c r="M179" s="103">
        <f t="shared" si="12"/>
        <v>0</v>
      </c>
    </row>
    <row r="180" spans="1:13" x14ac:dyDescent="0.25">
      <c r="A180" s="117"/>
      <c r="G180" s="84"/>
      <c r="H180" s="101">
        <v>175</v>
      </c>
      <c r="I180" s="102" t="str">
        <f t="shared" si="10"/>
        <v/>
      </c>
      <c r="J180" s="101" t="e">
        <f t="shared" si="13"/>
        <v>#NUM!</v>
      </c>
      <c r="K180" s="101" t="e">
        <f t="shared" si="11"/>
        <v>#NUM!</v>
      </c>
      <c r="L180" s="101"/>
      <c r="M180" s="103">
        <f t="shared" si="12"/>
        <v>0</v>
      </c>
    </row>
    <row r="181" spans="1:13" x14ac:dyDescent="0.25">
      <c r="A181" s="117"/>
      <c r="G181" s="84"/>
      <c r="H181" s="101">
        <v>176</v>
      </c>
      <c r="I181" s="102" t="str">
        <f t="shared" si="10"/>
        <v/>
      </c>
      <c r="J181" s="101" t="e">
        <f t="shared" si="13"/>
        <v>#NUM!</v>
      </c>
      <c r="K181" s="101" t="e">
        <f t="shared" si="11"/>
        <v>#NUM!</v>
      </c>
      <c r="L181" s="101"/>
      <c r="M181" s="103">
        <f t="shared" si="12"/>
        <v>0</v>
      </c>
    </row>
    <row r="182" spans="1:13" x14ac:dyDescent="0.25">
      <c r="A182" s="117"/>
      <c r="G182" s="84"/>
      <c r="H182" s="101">
        <v>177</v>
      </c>
      <c r="I182" s="102" t="str">
        <f t="shared" si="10"/>
        <v/>
      </c>
      <c r="J182" s="101" t="e">
        <f t="shared" si="13"/>
        <v>#NUM!</v>
      </c>
      <c r="K182" s="101" t="e">
        <f t="shared" si="11"/>
        <v>#NUM!</v>
      </c>
      <c r="L182" s="101"/>
      <c r="M182" s="103">
        <f t="shared" si="12"/>
        <v>0</v>
      </c>
    </row>
    <row r="183" spans="1:13" x14ac:dyDescent="0.25">
      <c r="A183" s="117"/>
      <c r="G183" s="84"/>
      <c r="H183" s="101">
        <v>178</v>
      </c>
      <c r="I183" s="102" t="str">
        <f t="shared" si="10"/>
        <v/>
      </c>
      <c r="J183" s="101" t="e">
        <f t="shared" si="13"/>
        <v>#NUM!</v>
      </c>
      <c r="K183" s="101" t="e">
        <f t="shared" si="11"/>
        <v>#NUM!</v>
      </c>
      <c r="L183" s="101"/>
      <c r="M183" s="103">
        <f t="shared" si="12"/>
        <v>0</v>
      </c>
    </row>
    <row r="184" spans="1:13" x14ac:dyDescent="0.25">
      <c r="A184" s="117"/>
      <c r="G184" s="84"/>
      <c r="H184" s="101">
        <v>179</v>
      </c>
      <c r="I184" s="102" t="str">
        <f t="shared" si="10"/>
        <v/>
      </c>
      <c r="J184" s="101" t="e">
        <f t="shared" si="13"/>
        <v>#NUM!</v>
      </c>
      <c r="K184" s="101" t="e">
        <f t="shared" si="11"/>
        <v>#NUM!</v>
      </c>
      <c r="L184" s="101"/>
      <c r="M184" s="103">
        <f t="shared" si="12"/>
        <v>0</v>
      </c>
    </row>
    <row r="185" spans="1:13" x14ac:dyDescent="0.25">
      <c r="A185" s="117"/>
      <c r="G185" s="84"/>
      <c r="H185" s="101">
        <v>180</v>
      </c>
      <c r="I185" s="102" t="str">
        <f t="shared" si="10"/>
        <v/>
      </c>
      <c r="J185" s="101" t="e">
        <f t="shared" si="13"/>
        <v>#NUM!</v>
      </c>
      <c r="K185" s="101" t="e">
        <f t="shared" si="11"/>
        <v>#NUM!</v>
      </c>
      <c r="L185" s="101"/>
      <c r="M185" s="103">
        <f t="shared" si="12"/>
        <v>0</v>
      </c>
    </row>
    <row r="186" spans="1:13" x14ac:dyDescent="0.25">
      <c r="A186" s="117"/>
      <c r="G186" s="84"/>
      <c r="H186" s="101">
        <v>181</v>
      </c>
      <c r="I186" s="102" t="str">
        <f t="shared" si="10"/>
        <v/>
      </c>
      <c r="J186" s="101" t="e">
        <f t="shared" si="13"/>
        <v>#NUM!</v>
      </c>
      <c r="K186" s="101" t="e">
        <f t="shared" si="11"/>
        <v>#NUM!</v>
      </c>
      <c r="L186" s="101"/>
      <c r="M186" s="103">
        <f t="shared" si="12"/>
        <v>0</v>
      </c>
    </row>
    <row r="187" spans="1:13" x14ac:dyDescent="0.25">
      <c r="A187" s="117"/>
      <c r="G187" s="84"/>
      <c r="H187" s="101">
        <v>182</v>
      </c>
      <c r="I187" s="102" t="str">
        <f t="shared" si="10"/>
        <v/>
      </c>
      <c r="J187" s="101" t="e">
        <f t="shared" si="13"/>
        <v>#NUM!</v>
      </c>
      <c r="K187" s="101" t="e">
        <f t="shared" si="11"/>
        <v>#NUM!</v>
      </c>
      <c r="L187" s="101"/>
      <c r="M187" s="103">
        <f t="shared" si="12"/>
        <v>0</v>
      </c>
    </row>
    <row r="188" spans="1:13" x14ac:dyDescent="0.25">
      <c r="A188" s="117"/>
      <c r="G188" s="84"/>
      <c r="H188" s="101">
        <v>183</v>
      </c>
      <c r="I188" s="102" t="str">
        <f t="shared" si="10"/>
        <v/>
      </c>
      <c r="J188" s="101" t="e">
        <f t="shared" si="13"/>
        <v>#NUM!</v>
      </c>
      <c r="K188" s="101" t="e">
        <f t="shared" si="11"/>
        <v>#NUM!</v>
      </c>
      <c r="L188" s="101"/>
      <c r="M188" s="103">
        <f t="shared" si="12"/>
        <v>0</v>
      </c>
    </row>
    <row r="189" spans="1:13" x14ac:dyDescent="0.25">
      <c r="A189" s="117"/>
      <c r="G189" s="84"/>
      <c r="H189" s="101">
        <v>184</v>
      </c>
      <c r="I189" s="102" t="str">
        <f t="shared" si="10"/>
        <v/>
      </c>
      <c r="J189" s="101" t="e">
        <f t="shared" si="13"/>
        <v>#NUM!</v>
      </c>
      <c r="K189" s="101" t="e">
        <f t="shared" si="11"/>
        <v>#NUM!</v>
      </c>
      <c r="L189" s="101"/>
      <c r="M189" s="103">
        <f t="shared" si="12"/>
        <v>0</v>
      </c>
    </row>
    <row r="190" spans="1:13" x14ac:dyDescent="0.25">
      <c r="A190" s="117"/>
      <c r="G190" s="84"/>
      <c r="H190" s="101">
        <v>185</v>
      </c>
      <c r="I190" s="102" t="str">
        <f t="shared" si="10"/>
        <v/>
      </c>
      <c r="J190" s="101" t="e">
        <f t="shared" si="13"/>
        <v>#NUM!</v>
      </c>
      <c r="K190" s="101" t="e">
        <f t="shared" si="11"/>
        <v>#NUM!</v>
      </c>
      <c r="L190" s="101"/>
      <c r="M190" s="103">
        <f t="shared" si="12"/>
        <v>0</v>
      </c>
    </row>
    <row r="191" spans="1:13" x14ac:dyDescent="0.25">
      <c r="A191" s="117"/>
      <c r="G191" s="84"/>
      <c r="H191" s="101">
        <v>186</v>
      </c>
      <c r="I191" s="102" t="str">
        <f t="shared" si="10"/>
        <v/>
      </c>
      <c r="J191" s="101" t="e">
        <f t="shared" si="13"/>
        <v>#NUM!</v>
      </c>
      <c r="K191" s="101" t="e">
        <f t="shared" si="11"/>
        <v>#NUM!</v>
      </c>
      <c r="L191" s="101"/>
      <c r="M191" s="103">
        <f t="shared" si="12"/>
        <v>0</v>
      </c>
    </row>
    <row r="192" spans="1:13" x14ac:dyDescent="0.25">
      <c r="A192" s="117"/>
      <c r="G192" s="84"/>
      <c r="H192" s="101">
        <v>187</v>
      </c>
      <c r="I192" s="102" t="str">
        <f t="shared" si="10"/>
        <v/>
      </c>
      <c r="J192" s="101" t="e">
        <f t="shared" si="13"/>
        <v>#NUM!</v>
      </c>
      <c r="K192" s="101" t="e">
        <f t="shared" si="11"/>
        <v>#NUM!</v>
      </c>
      <c r="L192" s="101"/>
      <c r="M192" s="103">
        <f t="shared" si="12"/>
        <v>0</v>
      </c>
    </row>
    <row r="193" spans="1:13" x14ac:dyDescent="0.25">
      <c r="A193" s="117"/>
      <c r="G193" s="84"/>
      <c r="H193" s="101">
        <v>188</v>
      </c>
      <c r="I193" s="102" t="str">
        <f t="shared" si="10"/>
        <v/>
      </c>
      <c r="J193" s="101" t="e">
        <f t="shared" si="13"/>
        <v>#NUM!</v>
      </c>
      <c r="K193" s="101" t="e">
        <f t="shared" si="11"/>
        <v>#NUM!</v>
      </c>
      <c r="L193" s="101"/>
      <c r="M193" s="103">
        <f t="shared" si="12"/>
        <v>0</v>
      </c>
    </row>
    <row r="194" spans="1:13" x14ac:dyDescent="0.25">
      <c r="A194" s="117"/>
      <c r="G194" s="84"/>
      <c r="H194" s="101">
        <v>189</v>
      </c>
      <c r="I194" s="102" t="str">
        <f t="shared" si="10"/>
        <v/>
      </c>
      <c r="J194" s="101" t="e">
        <f t="shared" si="13"/>
        <v>#NUM!</v>
      </c>
      <c r="K194" s="101" t="e">
        <f t="shared" si="11"/>
        <v>#NUM!</v>
      </c>
      <c r="L194" s="101"/>
      <c r="M194" s="103">
        <f t="shared" si="12"/>
        <v>0</v>
      </c>
    </row>
    <row r="195" spans="1:13" x14ac:dyDescent="0.25">
      <c r="A195" s="117"/>
      <c r="G195" s="84"/>
      <c r="H195" s="101">
        <v>190</v>
      </c>
      <c r="I195" s="102" t="str">
        <f t="shared" si="10"/>
        <v/>
      </c>
      <c r="J195" s="101" t="e">
        <f t="shared" si="13"/>
        <v>#NUM!</v>
      </c>
      <c r="K195" s="101" t="e">
        <f t="shared" si="11"/>
        <v>#NUM!</v>
      </c>
      <c r="L195" s="101"/>
      <c r="M195" s="103">
        <f t="shared" si="12"/>
        <v>0</v>
      </c>
    </row>
    <row r="196" spans="1:13" x14ac:dyDescent="0.25">
      <c r="A196" s="117"/>
      <c r="G196" s="84"/>
      <c r="H196" s="101">
        <v>191</v>
      </c>
      <c r="I196" s="102" t="str">
        <f t="shared" si="10"/>
        <v/>
      </c>
      <c r="J196" s="101" t="e">
        <f t="shared" si="13"/>
        <v>#NUM!</v>
      </c>
      <c r="K196" s="101" t="e">
        <f t="shared" si="11"/>
        <v>#NUM!</v>
      </c>
      <c r="L196" s="101"/>
      <c r="M196" s="103">
        <f t="shared" si="12"/>
        <v>0</v>
      </c>
    </row>
    <row r="197" spans="1:13" x14ac:dyDescent="0.25">
      <c r="A197" s="117"/>
      <c r="G197" s="84"/>
      <c r="H197" s="101">
        <v>192</v>
      </c>
      <c r="I197" s="102" t="str">
        <f t="shared" si="10"/>
        <v/>
      </c>
      <c r="J197" s="101" t="e">
        <f t="shared" si="13"/>
        <v>#NUM!</v>
      </c>
      <c r="K197" s="101" t="e">
        <f t="shared" si="11"/>
        <v>#NUM!</v>
      </c>
      <c r="L197" s="101"/>
      <c r="M197" s="103">
        <f t="shared" si="12"/>
        <v>0</v>
      </c>
    </row>
    <row r="198" spans="1:13" x14ac:dyDescent="0.25">
      <c r="A198" s="117"/>
      <c r="G198" s="84"/>
      <c r="H198" s="101">
        <v>193</v>
      </c>
      <c r="I198" s="102" t="str">
        <f t="shared" ref="I198:I261" si="14">IF(H198&lt;$H$2+1,($I$2-($I$2-1)*(LOG(H198)/LOG($H$2))),"")</f>
        <v/>
      </c>
      <c r="J198" s="101" t="e">
        <f t="shared" si="13"/>
        <v>#NUM!</v>
      </c>
      <c r="K198" s="101" t="e">
        <f t="shared" ref="K198:K261" si="15">J198*$J$2</f>
        <v>#NUM!</v>
      </c>
      <c r="L198" s="101"/>
      <c r="M198" s="103">
        <f t="shared" ref="M198:M261" si="16">IF(I198&lt;&gt;"",K198+I198+L198,0)</f>
        <v>0</v>
      </c>
    </row>
    <row r="199" spans="1:13" x14ac:dyDescent="0.25">
      <c r="A199" s="117"/>
      <c r="G199" s="84"/>
      <c r="H199" s="101">
        <v>194</v>
      </c>
      <c r="I199" s="102" t="str">
        <f t="shared" si="14"/>
        <v/>
      </c>
      <c r="J199" s="101" t="e">
        <f t="shared" ref="J199:J262" si="17">INT(LOG($H$2,2))-ROUNDUP(LOG(H199,2),0)+IF(OR($H$2=1,$H$2=2,$H$2=4,$H$2=8,$H$2=16,$H$2=32,$H$2=64,$H$2=128,$H$2=256),0,1)</f>
        <v>#NUM!</v>
      </c>
      <c r="K199" s="101" t="e">
        <f t="shared" si="15"/>
        <v>#NUM!</v>
      </c>
      <c r="L199" s="101"/>
      <c r="M199" s="103">
        <f t="shared" si="16"/>
        <v>0</v>
      </c>
    </row>
    <row r="200" spans="1:13" x14ac:dyDescent="0.25">
      <c r="A200" s="117"/>
      <c r="G200" s="84"/>
      <c r="H200" s="101">
        <v>195</v>
      </c>
      <c r="I200" s="102" t="str">
        <f t="shared" si="14"/>
        <v/>
      </c>
      <c r="J200" s="101" t="e">
        <f t="shared" si="17"/>
        <v>#NUM!</v>
      </c>
      <c r="K200" s="101" t="e">
        <f t="shared" si="15"/>
        <v>#NUM!</v>
      </c>
      <c r="L200" s="101"/>
      <c r="M200" s="103">
        <f t="shared" si="16"/>
        <v>0</v>
      </c>
    </row>
    <row r="201" spans="1:13" x14ac:dyDescent="0.25">
      <c r="A201" s="117"/>
      <c r="G201" s="84"/>
      <c r="H201" s="101">
        <v>196</v>
      </c>
      <c r="I201" s="102" t="str">
        <f t="shared" si="14"/>
        <v/>
      </c>
      <c r="J201" s="101" t="e">
        <f t="shared" si="17"/>
        <v>#NUM!</v>
      </c>
      <c r="K201" s="101" t="e">
        <f t="shared" si="15"/>
        <v>#NUM!</v>
      </c>
      <c r="L201" s="101"/>
      <c r="M201" s="103">
        <f t="shared" si="16"/>
        <v>0</v>
      </c>
    </row>
    <row r="202" spans="1:13" x14ac:dyDescent="0.25">
      <c r="A202" s="117"/>
      <c r="G202" s="84"/>
      <c r="H202" s="101">
        <v>197</v>
      </c>
      <c r="I202" s="102" t="str">
        <f t="shared" si="14"/>
        <v/>
      </c>
      <c r="J202" s="101" t="e">
        <f t="shared" si="17"/>
        <v>#NUM!</v>
      </c>
      <c r="K202" s="101" t="e">
        <f t="shared" si="15"/>
        <v>#NUM!</v>
      </c>
      <c r="L202" s="101"/>
      <c r="M202" s="103">
        <f t="shared" si="16"/>
        <v>0</v>
      </c>
    </row>
    <row r="203" spans="1:13" x14ac:dyDescent="0.25">
      <c r="A203" s="117"/>
      <c r="G203" s="84"/>
      <c r="H203" s="101">
        <v>198</v>
      </c>
      <c r="I203" s="102" t="str">
        <f t="shared" si="14"/>
        <v/>
      </c>
      <c r="J203" s="101" t="e">
        <f t="shared" si="17"/>
        <v>#NUM!</v>
      </c>
      <c r="K203" s="101" t="e">
        <f t="shared" si="15"/>
        <v>#NUM!</v>
      </c>
      <c r="L203" s="101"/>
      <c r="M203" s="103">
        <f t="shared" si="16"/>
        <v>0</v>
      </c>
    </row>
    <row r="204" spans="1:13" x14ac:dyDescent="0.25">
      <c r="A204" s="117"/>
      <c r="G204" s="84"/>
      <c r="H204" s="101">
        <v>199</v>
      </c>
      <c r="I204" s="102" t="str">
        <f t="shared" si="14"/>
        <v/>
      </c>
      <c r="J204" s="101" t="e">
        <f t="shared" si="17"/>
        <v>#NUM!</v>
      </c>
      <c r="K204" s="101" t="e">
        <f t="shared" si="15"/>
        <v>#NUM!</v>
      </c>
      <c r="L204" s="101"/>
      <c r="M204" s="103">
        <f t="shared" si="16"/>
        <v>0</v>
      </c>
    </row>
    <row r="205" spans="1:13" x14ac:dyDescent="0.25">
      <c r="A205" s="117"/>
      <c r="G205" s="84"/>
      <c r="H205" s="101">
        <v>200</v>
      </c>
      <c r="I205" s="102" t="str">
        <f t="shared" si="14"/>
        <v/>
      </c>
      <c r="J205" s="101" t="e">
        <f t="shared" si="17"/>
        <v>#NUM!</v>
      </c>
      <c r="K205" s="101" t="e">
        <f t="shared" si="15"/>
        <v>#NUM!</v>
      </c>
      <c r="L205" s="101"/>
      <c r="M205" s="103">
        <f t="shared" si="16"/>
        <v>0</v>
      </c>
    </row>
    <row r="206" spans="1:13" x14ac:dyDescent="0.25">
      <c r="A206" s="117"/>
      <c r="G206" s="84"/>
      <c r="H206" s="101">
        <v>201</v>
      </c>
      <c r="I206" s="102" t="str">
        <f t="shared" si="14"/>
        <v/>
      </c>
      <c r="J206" s="101" t="e">
        <f t="shared" si="17"/>
        <v>#NUM!</v>
      </c>
      <c r="K206" s="101" t="e">
        <f t="shared" si="15"/>
        <v>#NUM!</v>
      </c>
      <c r="L206" s="101"/>
      <c r="M206" s="103">
        <f t="shared" si="16"/>
        <v>0</v>
      </c>
    </row>
    <row r="207" spans="1:13" x14ac:dyDescent="0.25">
      <c r="A207" s="117"/>
      <c r="G207" s="84"/>
      <c r="H207" s="101">
        <v>202</v>
      </c>
      <c r="I207" s="102" t="str">
        <f t="shared" si="14"/>
        <v/>
      </c>
      <c r="J207" s="101" t="e">
        <f t="shared" si="17"/>
        <v>#NUM!</v>
      </c>
      <c r="K207" s="101" t="e">
        <f t="shared" si="15"/>
        <v>#NUM!</v>
      </c>
      <c r="L207" s="101"/>
      <c r="M207" s="103">
        <f t="shared" si="16"/>
        <v>0</v>
      </c>
    </row>
    <row r="208" spans="1:13" x14ac:dyDescent="0.25">
      <c r="A208" s="117"/>
      <c r="G208" s="84"/>
      <c r="H208" s="101">
        <v>203</v>
      </c>
      <c r="I208" s="102" t="str">
        <f t="shared" si="14"/>
        <v/>
      </c>
      <c r="J208" s="101" t="e">
        <f t="shared" si="17"/>
        <v>#NUM!</v>
      </c>
      <c r="K208" s="101" t="e">
        <f t="shared" si="15"/>
        <v>#NUM!</v>
      </c>
      <c r="L208" s="101"/>
      <c r="M208" s="103">
        <f t="shared" si="16"/>
        <v>0</v>
      </c>
    </row>
    <row r="209" spans="1:13" x14ac:dyDescent="0.25">
      <c r="A209" s="117"/>
      <c r="G209" s="84"/>
      <c r="H209" s="101">
        <v>204</v>
      </c>
      <c r="I209" s="102" t="str">
        <f t="shared" si="14"/>
        <v/>
      </c>
      <c r="J209" s="101" t="e">
        <f t="shared" si="17"/>
        <v>#NUM!</v>
      </c>
      <c r="K209" s="101" t="e">
        <f t="shared" si="15"/>
        <v>#NUM!</v>
      </c>
      <c r="L209" s="101"/>
      <c r="M209" s="103">
        <f t="shared" si="16"/>
        <v>0</v>
      </c>
    </row>
    <row r="210" spans="1:13" x14ac:dyDescent="0.25">
      <c r="A210" s="117"/>
      <c r="G210" s="84"/>
      <c r="H210" s="101">
        <v>205</v>
      </c>
      <c r="I210" s="102" t="str">
        <f t="shared" si="14"/>
        <v/>
      </c>
      <c r="J210" s="101" t="e">
        <f t="shared" si="17"/>
        <v>#NUM!</v>
      </c>
      <c r="K210" s="101" t="e">
        <f t="shared" si="15"/>
        <v>#NUM!</v>
      </c>
      <c r="L210" s="101"/>
      <c r="M210" s="103">
        <f t="shared" si="16"/>
        <v>0</v>
      </c>
    </row>
    <row r="211" spans="1:13" x14ac:dyDescent="0.25">
      <c r="A211" s="117"/>
      <c r="G211" s="84"/>
      <c r="H211" s="101">
        <v>206</v>
      </c>
      <c r="I211" s="102" t="str">
        <f t="shared" si="14"/>
        <v/>
      </c>
      <c r="J211" s="101" t="e">
        <f t="shared" si="17"/>
        <v>#NUM!</v>
      </c>
      <c r="K211" s="101" t="e">
        <f t="shared" si="15"/>
        <v>#NUM!</v>
      </c>
      <c r="L211" s="101"/>
      <c r="M211" s="103">
        <f t="shared" si="16"/>
        <v>0</v>
      </c>
    </row>
    <row r="212" spans="1:13" x14ac:dyDescent="0.25">
      <c r="A212" s="117"/>
      <c r="G212" s="84"/>
      <c r="H212" s="101">
        <v>207</v>
      </c>
      <c r="I212" s="102" t="str">
        <f t="shared" si="14"/>
        <v/>
      </c>
      <c r="J212" s="101" t="e">
        <f t="shared" si="17"/>
        <v>#NUM!</v>
      </c>
      <c r="K212" s="101" t="e">
        <f t="shared" si="15"/>
        <v>#NUM!</v>
      </c>
      <c r="L212" s="101"/>
      <c r="M212" s="103">
        <f t="shared" si="16"/>
        <v>0</v>
      </c>
    </row>
    <row r="213" spans="1:13" x14ac:dyDescent="0.25">
      <c r="A213" s="117"/>
      <c r="G213" s="84"/>
      <c r="H213" s="101">
        <v>208</v>
      </c>
      <c r="I213" s="102" t="str">
        <f t="shared" si="14"/>
        <v/>
      </c>
      <c r="J213" s="101" t="e">
        <f t="shared" si="17"/>
        <v>#NUM!</v>
      </c>
      <c r="K213" s="101" t="e">
        <f t="shared" si="15"/>
        <v>#NUM!</v>
      </c>
      <c r="L213" s="101"/>
      <c r="M213" s="103">
        <f t="shared" si="16"/>
        <v>0</v>
      </c>
    </row>
    <row r="214" spans="1:13" x14ac:dyDescent="0.25">
      <c r="A214" s="117"/>
      <c r="G214" s="84"/>
      <c r="H214" s="101">
        <v>209</v>
      </c>
      <c r="I214" s="102" t="str">
        <f t="shared" si="14"/>
        <v/>
      </c>
      <c r="J214" s="101" t="e">
        <f t="shared" si="17"/>
        <v>#NUM!</v>
      </c>
      <c r="K214" s="101" t="e">
        <f t="shared" si="15"/>
        <v>#NUM!</v>
      </c>
      <c r="L214" s="101"/>
      <c r="M214" s="103">
        <f t="shared" si="16"/>
        <v>0</v>
      </c>
    </row>
    <row r="215" spans="1:13" x14ac:dyDescent="0.25">
      <c r="A215" s="117"/>
      <c r="G215" s="84"/>
      <c r="H215" s="101">
        <v>210</v>
      </c>
      <c r="I215" s="102" t="str">
        <f t="shared" si="14"/>
        <v/>
      </c>
      <c r="J215" s="101" t="e">
        <f t="shared" si="17"/>
        <v>#NUM!</v>
      </c>
      <c r="K215" s="101" t="e">
        <f t="shared" si="15"/>
        <v>#NUM!</v>
      </c>
      <c r="L215" s="101"/>
      <c r="M215" s="103">
        <f t="shared" si="16"/>
        <v>0</v>
      </c>
    </row>
    <row r="216" spans="1:13" x14ac:dyDescent="0.25">
      <c r="A216" s="117"/>
      <c r="G216" s="84"/>
      <c r="H216" s="101">
        <v>211</v>
      </c>
      <c r="I216" s="102" t="str">
        <f t="shared" si="14"/>
        <v/>
      </c>
      <c r="J216" s="101" t="e">
        <f t="shared" si="17"/>
        <v>#NUM!</v>
      </c>
      <c r="K216" s="101" t="e">
        <f t="shared" si="15"/>
        <v>#NUM!</v>
      </c>
      <c r="L216" s="101"/>
      <c r="M216" s="103">
        <f t="shared" si="16"/>
        <v>0</v>
      </c>
    </row>
    <row r="217" spans="1:13" x14ac:dyDescent="0.25">
      <c r="A217" s="117"/>
      <c r="G217" s="84"/>
      <c r="H217" s="101">
        <v>212</v>
      </c>
      <c r="I217" s="102" t="str">
        <f t="shared" si="14"/>
        <v/>
      </c>
      <c r="J217" s="101" t="e">
        <f t="shared" si="17"/>
        <v>#NUM!</v>
      </c>
      <c r="K217" s="101" t="e">
        <f t="shared" si="15"/>
        <v>#NUM!</v>
      </c>
      <c r="L217" s="101"/>
      <c r="M217" s="103">
        <f t="shared" si="16"/>
        <v>0</v>
      </c>
    </row>
    <row r="218" spans="1:13" x14ac:dyDescent="0.25">
      <c r="A218" s="117"/>
      <c r="G218" s="84"/>
      <c r="H218" s="101">
        <v>213</v>
      </c>
      <c r="I218" s="102" t="str">
        <f t="shared" si="14"/>
        <v/>
      </c>
      <c r="J218" s="101" t="e">
        <f t="shared" si="17"/>
        <v>#NUM!</v>
      </c>
      <c r="K218" s="101" t="e">
        <f t="shared" si="15"/>
        <v>#NUM!</v>
      </c>
      <c r="L218" s="101"/>
      <c r="M218" s="103">
        <f t="shared" si="16"/>
        <v>0</v>
      </c>
    </row>
    <row r="219" spans="1:13" x14ac:dyDescent="0.25">
      <c r="A219" s="117"/>
      <c r="G219" s="84"/>
      <c r="H219" s="101">
        <v>214</v>
      </c>
      <c r="I219" s="102" t="str">
        <f t="shared" si="14"/>
        <v/>
      </c>
      <c r="J219" s="101" t="e">
        <f t="shared" si="17"/>
        <v>#NUM!</v>
      </c>
      <c r="K219" s="101" t="e">
        <f t="shared" si="15"/>
        <v>#NUM!</v>
      </c>
      <c r="L219" s="101"/>
      <c r="M219" s="103">
        <f t="shared" si="16"/>
        <v>0</v>
      </c>
    </row>
    <row r="220" spans="1:13" x14ac:dyDescent="0.25">
      <c r="A220" s="117"/>
      <c r="G220" s="84"/>
      <c r="H220" s="101">
        <v>215</v>
      </c>
      <c r="I220" s="102" t="str">
        <f t="shared" si="14"/>
        <v/>
      </c>
      <c r="J220" s="101" t="e">
        <f t="shared" si="17"/>
        <v>#NUM!</v>
      </c>
      <c r="K220" s="101" t="e">
        <f t="shared" si="15"/>
        <v>#NUM!</v>
      </c>
      <c r="L220" s="101"/>
      <c r="M220" s="103">
        <f t="shared" si="16"/>
        <v>0</v>
      </c>
    </row>
    <row r="221" spans="1:13" x14ac:dyDescent="0.25">
      <c r="A221" s="117"/>
      <c r="G221" s="84"/>
      <c r="H221" s="101">
        <v>216</v>
      </c>
      <c r="I221" s="102" t="str">
        <f t="shared" si="14"/>
        <v/>
      </c>
      <c r="J221" s="101" t="e">
        <f t="shared" si="17"/>
        <v>#NUM!</v>
      </c>
      <c r="K221" s="101" t="e">
        <f t="shared" si="15"/>
        <v>#NUM!</v>
      </c>
      <c r="L221" s="101"/>
      <c r="M221" s="103">
        <f t="shared" si="16"/>
        <v>0</v>
      </c>
    </row>
    <row r="222" spans="1:13" x14ac:dyDescent="0.25">
      <c r="A222" s="117"/>
      <c r="G222" s="84"/>
      <c r="H222" s="101">
        <v>217</v>
      </c>
      <c r="I222" s="102" t="str">
        <f t="shared" si="14"/>
        <v/>
      </c>
      <c r="J222" s="101" t="e">
        <f t="shared" si="17"/>
        <v>#NUM!</v>
      </c>
      <c r="K222" s="101" t="e">
        <f t="shared" si="15"/>
        <v>#NUM!</v>
      </c>
      <c r="L222" s="101"/>
      <c r="M222" s="103">
        <f t="shared" si="16"/>
        <v>0</v>
      </c>
    </row>
    <row r="223" spans="1:13" x14ac:dyDescent="0.25">
      <c r="A223" s="117"/>
      <c r="G223" s="84"/>
      <c r="H223" s="101">
        <v>218</v>
      </c>
      <c r="I223" s="102" t="str">
        <f t="shared" si="14"/>
        <v/>
      </c>
      <c r="J223" s="101" t="e">
        <f t="shared" si="17"/>
        <v>#NUM!</v>
      </c>
      <c r="K223" s="101" t="e">
        <f t="shared" si="15"/>
        <v>#NUM!</v>
      </c>
      <c r="L223" s="101"/>
      <c r="M223" s="103">
        <f t="shared" si="16"/>
        <v>0</v>
      </c>
    </row>
    <row r="224" spans="1:13" x14ac:dyDescent="0.25">
      <c r="A224" s="117"/>
      <c r="G224" s="84"/>
      <c r="H224" s="101">
        <v>219</v>
      </c>
      <c r="I224" s="102" t="str">
        <f t="shared" si="14"/>
        <v/>
      </c>
      <c r="J224" s="101" t="e">
        <f t="shared" si="17"/>
        <v>#NUM!</v>
      </c>
      <c r="K224" s="101" t="e">
        <f t="shared" si="15"/>
        <v>#NUM!</v>
      </c>
      <c r="L224" s="101"/>
      <c r="M224" s="103">
        <f t="shared" si="16"/>
        <v>0</v>
      </c>
    </row>
    <row r="225" spans="1:13" x14ac:dyDescent="0.25">
      <c r="A225" s="117"/>
      <c r="G225" s="84"/>
      <c r="H225" s="101">
        <v>220</v>
      </c>
      <c r="I225" s="102" t="str">
        <f t="shared" si="14"/>
        <v/>
      </c>
      <c r="J225" s="101" t="e">
        <f t="shared" si="17"/>
        <v>#NUM!</v>
      </c>
      <c r="K225" s="101" t="e">
        <f t="shared" si="15"/>
        <v>#NUM!</v>
      </c>
      <c r="L225" s="101"/>
      <c r="M225" s="103">
        <f t="shared" si="16"/>
        <v>0</v>
      </c>
    </row>
    <row r="226" spans="1:13" x14ac:dyDescent="0.25">
      <c r="A226" s="117"/>
      <c r="G226" s="84"/>
      <c r="H226" s="101">
        <v>221</v>
      </c>
      <c r="I226" s="102" t="str">
        <f t="shared" si="14"/>
        <v/>
      </c>
      <c r="J226" s="101" t="e">
        <f t="shared" si="17"/>
        <v>#NUM!</v>
      </c>
      <c r="K226" s="101" t="e">
        <f t="shared" si="15"/>
        <v>#NUM!</v>
      </c>
      <c r="L226" s="101"/>
      <c r="M226" s="103">
        <f t="shared" si="16"/>
        <v>0</v>
      </c>
    </row>
    <row r="227" spans="1:13" x14ac:dyDescent="0.25">
      <c r="A227" s="117"/>
      <c r="G227" s="84"/>
      <c r="H227" s="101">
        <v>222</v>
      </c>
      <c r="I227" s="102" t="str">
        <f t="shared" si="14"/>
        <v/>
      </c>
      <c r="J227" s="101" t="e">
        <f t="shared" si="17"/>
        <v>#NUM!</v>
      </c>
      <c r="K227" s="101" t="e">
        <f t="shared" si="15"/>
        <v>#NUM!</v>
      </c>
      <c r="L227" s="101"/>
      <c r="M227" s="103">
        <f t="shared" si="16"/>
        <v>0</v>
      </c>
    </row>
    <row r="228" spans="1:13" x14ac:dyDescent="0.25">
      <c r="A228" s="117"/>
      <c r="G228" s="84"/>
      <c r="H228" s="101">
        <v>223</v>
      </c>
      <c r="I228" s="102" t="str">
        <f t="shared" si="14"/>
        <v/>
      </c>
      <c r="J228" s="101" t="e">
        <f t="shared" si="17"/>
        <v>#NUM!</v>
      </c>
      <c r="K228" s="101" t="e">
        <f t="shared" si="15"/>
        <v>#NUM!</v>
      </c>
      <c r="L228" s="101"/>
      <c r="M228" s="103">
        <f t="shared" si="16"/>
        <v>0</v>
      </c>
    </row>
    <row r="229" spans="1:13" x14ac:dyDescent="0.25">
      <c r="A229" s="117"/>
      <c r="G229" s="84"/>
      <c r="H229" s="101">
        <v>224</v>
      </c>
      <c r="I229" s="102" t="str">
        <f t="shared" si="14"/>
        <v/>
      </c>
      <c r="J229" s="101" t="e">
        <f t="shared" si="17"/>
        <v>#NUM!</v>
      </c>
      <c r="K229" s="101" t="e">
        <f t="shared" si="15"/>
        <v>#NUM!</v>
      </c>
      <c r="L229" s="101"/>
      <c r="M229" s="103">
        <f t="shared" si="16"/>
        <v>0</v>
      </c>
    </row>
    <row r="230" spans="1:13" x14ac:dyDescent="0.25">
      <c r="A230" s="117"/>
      <c r="G230" s="84"/>
      <c r="H230" s="101">
        <v>225</v>
      </c>
      <c r="I230" s="102" t="str">
        <f t="shared" si="14"/>
        <v/>
      </c>
      <c r="J230" s="101" t="e">
        <f t="shared" si="17"/>
        <v>#NUM!</v>
      </c>
      <c r="K230" s="101" t="e">
        <f t="shared" si="15"/>
        <v>#NUM!</v>
      </c>
      <c r="L230" s="101"/>
      <c r="M230" s="103">
        <f t="shared" si="16"/>
        <v>0</v>
      </c>
    </row>
    <row r="231" spans="1:13" x14ac:dyDescent="0.25">
      <c r="A231" s="117"/>
      <c r="G231" s="84"/>
      <c r="H231" s="101">
        <v>226</v>
      </c>
      <c r="I231" s="102" t="str">
        <f t="shared" si="14"/>
        <v/>
      </c>
      <c r="J231" s="101" t="e">
        <f t="shared" si="17"/>
        <v>#NUM!</v>
      </c>
      <c r="K231" s="101" t="e">
        <f t="shared" si="15"/>
        <v>#NUM!</v>
      </c>
      <c r="L231" s="101"/>
      <c r="M231" s="103">
        <f t="shared" si="16"/>
        <v>0</v>
      </c>
    </row>
    <row r="232" spans="1:13" x14ac:dyDescent="0.25">
      <c r="A232" s="117"/>
      <c r="G232" s="84"/>
      <c r="H232" s="101">
        <v>227</v>
      </c>
      <c r="I232" s="102" t="str">
        <f t="shared" si="14"/>
        <v/>
      </c>
      <c r="J232" s="101" t="e">
        <f t="shared" si="17"/>
        <v>#NUM!</v>
      </c>
      <c r="K232" s="101" t="e">
        <f t="shared" si="15"/>
        <v>#NUM!</v>
      </c>
      <c r="L232" s="101"/>
      <c r="M232" s="103">
        <f t="shared" si="16"/>
        <v>0</v>
      </c>
    </row>
    <row r="233" spans="1:13" x14ac:dyDescent="0.25">
      <c r="A233" s="117"/>
      <c r="G233" s="84"/>
      <c r="H233" s="101">
        <v>228</v>
      </c>
      <c r="I233" s="102" t="str">
        <f t="shared" si="14"/>
        <v/>
      </c>
      <c r="J233" s="101" t="e">
        <f t="shared" si="17"/>
        <v>#NUM!</v>
      </c>
      <c r="K233" s="101" t="e">
        <f t="shared" si="15"/>
        <v>#NUM!</v>
      </c>
      <c r="L233" s="101"/>
      <c r="M233" s="103">
        <f t="shared" si="16"/>
        <v>0</v>
      </c>
    </row>
    <row r="234" spans="1:13" x14ac:dyDescent="0.25">
      <c r="A234" s="117"/>
      <c r="G234" s="84"/>
      <c r="H234" s="101">
        <v>229</v>
      </c>
      <c r="I234" s="102" t="str">
        <f t="shared" si="14"/>
        <v/>
      </c>
      <c r="J234" s="101" t="e">
        <f t="shared" si="17"/>
        <v>#NUM!</v>
      </c>
      <c r="K234" s="101" t="e">
        <f t="shared" si="15"/>
        <v>#NUM!</v>
      </c>
      <c r="L234" s="101"/>
      <c r="M234" s="103">
        <f t="shared" si="16"/>
        <v>0</v>
      </c>
    </row>
    <row r="235" spans="1:13" x14ac:dyDescent="0.25">
      <c r="A235" s="117"/>
      <c r="G235" s="84"/>
      <c r="H235" s="101">
        <v>230</v>
      </c>
      <c r="I235" s="102" t="str">
        <f t="shared" si="14"/>
        <v/>
      </c>
      <c r="J235" s="101" t="e">
        <f t="shared" si="17"/>
        <v>#NUM!</v>
      </c>
      <c r="K235" s="101" t="e">
        <f t="shared" si="15"/>
        <v>#NUM!</v>
      </c>
      <c r="L235" s="101"/>
      <c r="M235" s="103">
        <f t="shared" si="16"/>
        <v>0</v>
      </c>
    </row>
    <row r="236" spans="1:13" x14ac:dyDescent="0.25">
      <c r="A236" s="117"/>
      <c r="G236" s="84"/>
      <c r="H236" s="101">
        <v>231</v>
      </c>
      <c r="I236" s="102" t="str">
        <f t="shared" si="14"/>
        <v/>
      </c>
      <c r="J236" s="101" t="e">
        <f t="shared" si="17"/>
        <v>#NUM!</v>
      </c>
      <c r="K236" s="101" t="e">
        <f t="shared" si="15"/>
        <v>#NUM!</v>
      </c>
      <c r="L236" s="101"/>
      <c r="M236" s="103">
        <f t="shared" si="16"/>
        <v>0</v>
      </c>
    </row>
    <row r="237" spans="1:13" x14ac:dyDescent="0.25">
      <c r="A237" s="117"/>
      <c r="G237" s="84"/>
      <c r="H237" s="101">
        <v>232</v>
      </c>
      <c r="I237" s="102" t="str">
        <f t="shared" si="14"/>
        <v/>
      </c>
      <c r="J237" s="101" t="e">
        <f t="shared" si="17"/>
        <v>#NUM!</v>
      </c>
      <c r="K237" s="101" t="e">
        <f t="shared" si="15"/>
        <v>#NUM!</v>
      </c>
      <c r="L237" s="101"/>
      <c r="M237" s="103">
        <f t="shared" si="16"/>
        <v>0</v>
      </c>
    </row>
    <row r="238" spans="1:13" x14ac:dyDescent="0.25">
      <c r="A238" s="117"/>
      <c r="G238" s="84"/>
      <c r="H238" s="101">
        <v>233</v>
      </c>
      <c r="I238" s="102" t="str">
        <f t="shared" si="14"/>
        <v/>
      </c>
      <c r="J238" s="101" t="e">
        <f t="shared" si="17"/>
        <v>#NUM!</v>
      </c>
      <c r="K238" s="101" t="e">
        <f t="shared" si="15"/>
        <v>#NUM!</v>
      </c>
      <c r="L238" s="101"/>
      <c r="M238" s="103">
        <f t="shared" si="16"/>
        <v>0</v>
      </c>
    </row>
    <row r="239" spans="1:13" x14ac:dyDescent="0.25">
      <c r="A239" s="117"/>
      <c r="G239" s="84"/>
      <c r="H239" s="101">
        <v>234</v>
      </c>
      <c r="I239" s="102" t="str">
        <f t="shared" si="14"/>
        <v/>
      </c>
      <c r="J239" s="101" t="e">
        <f t="shared" si="17"/>
        <v>#NUM!</v>
      </c>
      <c r="K239" s="101" t="e">
        <f t="shared" si="15"/>
        <v>#NUM!</v>
      </c>
      <c r="L239" s="101"/>
      <c r="M239" s="103">
        <f t="shared" si="16"/>
        <v>0</v>
      </c>
    </row>
    <row r="240" spans="1:13" x14ac:dyDescent="0.25">
      <c r="A240" s="117"/>
      <c r="G240" s="84"/>
      <c r="H240" s="101">
        <v>235</v>
      </c>
      <c r="I240" s="102" t="str">
        <f t="shared" si="14"/>
        <v/>
      </c>
      <c r="J240" s="101" t="e">
        <f t="shared" si="17"/>
        <v>#NUM!</v>
      </c>
      <c r="K240" s="101" t="e">
        <f t="shared" si="15"/>
        <v>#NUM!</v>
      </c>
      <c r="L240" s="101"/>
      <c r="M240" s="103">
        <f t="shared" si="16"/>
        <v>0</v>
      </c>
    </row>
    <row r="241" spans="1:13" x14ac:dyDescent="0.25">
      <c r="A241" s="117"/>
      <c r="G241" s="84"/>
      <c r="H241" s="101">
        <v>236</v>
      </c>
      <c r="I241" s="102" t="str">
        <f t="shared" si="14"/>
        <v/>
      </c>
      <c r="J241" s="101" t="e">
        <f t="shared" si="17"/>
        <v>#NUM!</v>
      </c>
      <c r="K241" s="101" t="e">
        <f t="shared" si="15"/>
        <v>#NUM!</v>
      </c>
      <c r="L241" s="101"/>
      <c r="M241" s="103">
        <f t="shared" si="16"/>
        <v>0</v>
      </c>
    </row>
    <row r="242" spans="1:13" x14ac:dyDescent="0.25">
      <c r="A242" s="117"/>
      <c r="G242" s="84"/>
      <c r="H242" s="101">
        <v>237</v>
      </c>
      <c r="I242" s="102" t="str">
        <f t="shared" si="14"/>
        <v/>
      </c>
      <c r="J242" s="101" t="e">
        <f t="shared" si="17"/>
        <v>#NUM!</v>
      </c>
      <c r="K242" s="101" t="e">
        <f t="shared" si="15"/>
        <v>#NUM!</v>
      </c>
      <c r="L242" s="101"/>
      <c r="M242" s="103">
        <f t="shared" si="16"/>
        <v>0</v>
      </c>
    </row>
    <row r="243" spans="1:13" x14ac:dyDescent="0.25">
      <c r="A243" s="117"/>
      <c r="G243" s="84"/>
      <c r="H243" s="101">
        <v>238</v>
      </c>
      <c r="I243" s="102" t="str">
        <f t="shared" si="14"/>
        <v/>
      </c>
      <c r="J243" s="101" t="e">
        <f t="shared" si="17"/>
        <v>#NUM!</v>
      </c>
      <c r="K243" s="101" t="e">
        <f t="shared" si="15"/>
        <v>#NUM!</v>
      </c>
      <c r="L243" s="101"/>
      <c r="M243" s="103">
        <f t="shared" si="16"/>
        <v>0</v>
      </c>
    </row>
    <row r="244" spans="1:13" x14ac:dyDescent="0.25">
      <c r="A244" s="117"/>
      <c r="G244" s="84"/>
      <c r="H244" s="101">
        <v>239</v>
      </c>
      <c r="I244" s="102" t="str">
        <f t="shared" si="14"/>
        <v/>
      </c>
      <c r="J244" s="101" t="e">
        <f t="shared" si="17"/>
        <v>#NUM!</v>
      </c>
      <c r="K244" s="101" t="e">
        <f t="shared" si="15"/>
        <v>#NUM!</v>
      </c>
      <c r="L244" s="101"/>
      <c r="M244" s="103">
        <f t="shared" si="16"/>
        <v>0</v>
      </c>
    </row>
    <row r="245" spans="1:13" x14ac:dyDescent="0.25">
      <c r="A245" s="117"/>
      <c r="G245" s="84"/>
      <c r="H245" s="101">
        <v>240</v>
      </c>
      <c r="I245" s="102" t="str">
        <f t="shared" si="14"/>
        <v/>
      </c>
      <c r="J245" s="101" t="e">
        <f t="shared" si="17"/>
        <v>#NUM!</v>
      </c>
      <c r="K245" s="101" t="e">
        <f t="shared" si="15"/>
        <v>#NUM!</v>
      </c>
      <c r="L245" s="101"/>
      <c r="M245" s="103">
        <f t="shared" si="16"/>
        <v>0</v>
      </c>
    </row>
    <row r="246" spans="1:13" x14ac:dyDescent="0.25">
      <c r="A246" s="117"/>
      <c r="G246" s="84"/>
      <c r="H246" s="101">
        <v>241</v>
      </c>
      <c r="I246" s="102" t="str">
        <f t="shared" si="14"/>
        <v/>
      </c>
      <c r="J246" s="101" t="e">
        <f t="shared" si="17"/>
        <v>#NUM!</v>
      </c>
      <c r="K246" s="101" t="e">
        <f t="shared" si="15"/>
        <v>#NUM!</v>
      </c>
      <c r="L246" s="101"/>
      <c r="M246" s="103">
        <f t="shared" si="16"/>
        <v>0</v>
      </c>
    </row>
    <row r="247" spans="1:13" x14ac:dyDescent="0.25">
      <c r="A247" s="117"/>
      <c r="G247" s="84"/>
      <c r="H247" s="101">
        <v>242</v>
      </c>
      <c r="I247" s="102" t="str">
        <f t="shared" si="14"/>
        <v/>
      </c>
      <c r="J247" s="101" t="e">
        <f t="shared" si="17"/>
        <v>#NUM!</v>
      </c>
      <c r="K247" s="101" t="e">
        <f t="shared" si="15"/>
        <v>#NUM!</v>
      </c>
      <c r="L247" s="101"/>
      <c r="M247" s="103">
        <f t="shared" si="16"/>
        <v>0</v>
      </c>
    </row>
    <row r="248" spans="1:13" x14ac:dyDescent="0.25">
      <c r="A248" s="117"/>
      <c r="G248" s="84"/>
      <c r="H248" s="101">
        <v>243</v>
      </c>
      <c r="I248" s="102" t="str">
        <f t="shared" si="14"/>
        <v/>
      </c>
      <c r="J248" s="101" t="e">
        <f t="shared" si="17"/>
        <v>#NUM!</v>
      </c>
      <c r="K248" s="101" t="e">
        <f t="shared" si="15"/>
        <v>#NUM!</v>
      </c>
      <c r="L248" s="101"/>
      <c r="M248" s="103">
        <f t="shared" si="16"/>
        <v>0</v>
      </c>
    </row>
    <row r="249" spans="1:13" x14ac:dyDescent="0.25">
      <c r="A249" s="117"/>
      <c r="G249" s="84"/>
      <c r="H249" s="101">
        <v>244</v>
      </c>
      <c r="I249" s="102" t="str">
        <f t="shared" si="14"/>
        <v/>
      </c>
      <c r="J249" s="101" t="e">
        <f t="shared" si="17"/>
        <v>#NUM!</v>
      </c>
      <c r="K249" s="101" t="e">
        <f t="shared" si="15"/>
        <v>#NUM!</v>
      </c>
      <c r="L249" s="101"/>
      <c r="M249" s="103">
        <f t="shared" si="16"/>
        <v>0</v>
      </c>
    </row>
    <row r="250" spans="1:13" x14ac:dyDescent="0.25">
      <c r="A250" s="117"/>
      <c r="G250" s="84"/>
      <c r="H250" s="101">
        <v>245</v>
      </c>
      <c r="I250" s="102" t="str">
        <f t="shared" si="14"/>
        <v/>
      </c>
      <c r="J250" s="101" t="e">
        <f t="shared" si="17"/>
        <v>#NUM!</v>
      </c>
      <c r="K250" s="101" t="e">
        <f t="shared" si="15"/>
        <v>#NUM!</v>
      </c>
      <c r="L250" s="101"/>
      <c r="M250" s="103">
        <f t="shared" si="16"/>
        <v>0</v>
      </c>
    </row>
    <row r="251" spans="1:13" x14ac:dyDescent="0.25">
      <c r="A251" s="117"/>
      <c r="G251" s="84"/>
      <c r="H251" s="101">
        <v>246</v>
      </c>
      <c r="I251" s="102" t="str">
        <f t="shared" si="14"/>
        <v/>
      </c>
      <c r="J251" s="101" t="e">
        <f t="shared" si="17"/>
        <v>#NUM!</v>
      </c>
      <c r="K251" s="101" t="e">
        <f t="shared" si="15"/>
        <v>#NUM!</v>
      </c>
      <c r="L251" s="101"/>
      <c r="M251" s="103">
        <f t="shared" si="16"/>
        <v>0</v>
      </c>
    </row>
    <row r="252" spans="1:13" x14ac:dyDescent="0.25">
      <c r="A252" s="117"/>
      <c r="G252" s="84"/>
      <c r="H252" s="101">
        <v>247</v>
      </c>
      <c r="I252" s="102" t="str">
        <f t="shared" si="14"/>
        <v/>
      </c>
      <c r="J252" s="101" t="e">
        <f t="shared" si="17"/>
        <v>#NUM!</v>
      </c>
      <c r="K252" s="101" t="e">
        <f t="shared" si="15"/>
        <v>#NUM!</v>
      </c>
      <c r="L252" s="101"/>
      <c r="M252" s="103">
        <f t="shared" si="16"/>
        <v>0</v>
      </c>
    </row>
    <row r="253" spans="1:13" x14ac:dyDescent="0.25">
      <c r="A253" s="117"/>
      <c r="G253" s="84"/>
      <c r="H253" s="101">
        <v>248</v>
      </c>
      <c r="I253" s="102" t="str">
        <f t="shared" si="14"/>
        <v/>
      </c>
      <c r="J253" s="101" t="e">
        <f t="shared" si="17"/>
        <v>#NUM!</v>
      </c>
      <c r="K253" s="101" t="e">
        <f t="shared" si="15"/>
        <v>#NUM!</v>
      </c>
      <c r="L253" s="101"/>
      <c r="M253" s="103">
        <f t="shared" si="16"/>
        <v>0</v>
      </c>
    </row>
    <row r="254" spans="1:13" x14ac:dyDescent="0.25">
      <c r="A254" s="117"/>
      <c r="G254" s="84"/>
      <c r="H254" s="101">
        <v>249</v>
      </c>
      <c r="I254" s="102" t="str">
        <f t="shared" si="14"/>
        <v/>
      </c>
      <c r="J254" s="101" t="e">
        <f t="shared" si="17"/>
        <v>#NUM!</v>
      </c>
      <c r="K254" s="101" t="e">
        <f t="shared" si="15"/>
        <v>#NUM!</v>
      </c>
      <c r="L254" s="101"/>
      <c r="M254" s="103">
        <f t="shared" si="16"/>
        <v>0</v>
      </c>
    </row>
    <row r="255" spans="1:13" x14ac:dyDescent="0.25">
      <c r="A255" s="117"/>
      <c r="G255" s="84"/>
      <c r="H255" s="101">
        <v>250</v>
      </c>
      <c r="I255" s="102" t="str">
        <f t="shared" si="14"/>
        <v/>
      </c>
      <c r="J255" s="101" t="e">
        <f t="shared" si="17"/>
        <v>#NUM!</v>
      </c>
      <c r="K255" s="101" t="e">
        <f t="shared" si="15"/>
        <v>#NUM!</v>
      </c>
      <c r="L255" s="101"/>
      <c r="M255" s="103">
        <f t="shared" si="16"/>
        <v>0</v>
      </c>
    </row>
    <row r="256" spans="1:13" x14ac:dyDescent="0.25">
      <c r="A256" s="117"/>
      <c r="G256" s="84"/>
      <c r="H256" s="101">
        <v>251</v>
      </c>
      <c r="I256" s="102" t="str">
        <f t="shared" si="14"/>
        <v/>
      </c>
      <c r="J256" s="101" t="e">
        <f t="shared" si="17"/>
        <v>#NUM!</v>
      </c>
      <c r="K256" s="101" t="e">
        <f t="shared" si="15"/>
        <v>#NUM!</v>
      </c>
      <c r="L256" s="101"/>
      <c r="M256" s="103">
        <f t="shared" si="16"/>
        <v>0</v>
      </c>
    </row>
    <row r="257" spans="1:13" x14ac:dyDescent="0.25">
      <c r="A257" s="117"/>
      <c r="G257" s="84"/>
      <c r="H257" s="101">
        <v>252</v>
      </c>
      <c r="I257" s="102" t="str">
        <f t="shared" si="14"/>
        <v/>
      </c>
      <c r="J257" s="101" t="e">
        <f t="shared" si="17"/>
        <v>#NUM!</v>
      </c>
      <c r="K257" s="101" t="e">
        <f t="shared" si="15"/>
        <v>#NUM!</v>
      </c>
      <c r="L257" s="101"/>
      <c r="M257" s="103">
        <f t="shared" si="16"/>
        <v>0</v>
      </c>
    </row>
    <row r="258" spans="1:13" x14ac:dyDescent="0.25">
      <c r="A258" s="117"/>
      <c r="G258" s="84"/>
      <c r="H258" s="101">
        <v>253</v>
      </c>
      <c r="I258" s="102" t="str">
        <f t="shared" si="14"/>
        <v/>
      </c>
      <c r="J258" s="101" t="e">
        <f t="shared" si="17"/>
        <v>#NUM!</v>
      </c>
      <c r="K258" s="101" t="e">
        <f t="shared" si="15"/>
        <v>#NUM!</v>
      </c>
      <c r="L258" s="101"/>
      <c r="M258" s="103">
        <f t="shared" si="16"/>
        <v>0</v>
      </c>
    </row>
    <row r="259" spans="1:13" x14ac:dyDescent="0.25">
      <c r="A259" s="117"/>
      <c r="G259" s="84"/>
      <c r="H259" s="101">
        <v>254</v>
      </c>
      <c r="I259" s="102" t="str">
        <f t="shared" si="14"/>
        <v/>
      </c>
      <c r="J259" s="101" t="e">
        <f t="shared" si="17"/>
        <v>#NUM!</v>
      </c>
      <c r="K259" s="101" t="e">
        <f t="shared" si="15"/>
        <v>#NUM!</v>
      </c>
      <c r="L259" s="101"/>
      <c r="M259" s="103">
        <f t="shared" si="16"/>
        <v>0</v>
      </c>
    </row>
    <row r="260" spans="1:13" x14ac:dyDescent="0.25">
      <c r="A260" s="117"/>
      <c r="G260" s="84"/>
      <c r="H260" s="101">
        <v>255</v>
      </c>
      <c r="I260" s="102" t="str">
        <f t="shared" si="14"/>
        <v/>
      </c>
      <c r="J260" s="101" t="e">
        <f t="shared" si="17"/>
        <v>#NUM!</v>
      </c>
      <c r="K260" s="101" t="e">
        <f t="shared" si="15"/>
        <v>#NUM!</v>
      </c>
      <c r="L260" s="101"/>
      <c r="M260" s="103">
        <f t="shared" si="16"/>
        <v>0</v>
      </c>
    </row>
    <row r="261" spans="1:13" x14ac:dyDescent="0.25">
      <c r="A261" s="117"/>
      <c r="G261" s="84"/>
      <c r="H261" s="101">
        <v>256</v>
      </c>
      <c r="I261" s="102" t="str">
        <f t="shared" si="14"/>
        <v/>
      </c>
      <c r="J261" s="101" t="e">
        <f t="shared" si="17"/>
        <v>#NUM!</v>
      </c>
      <c r="K261" s="101" t="e">
        <f t="shared" si="15"/>
        <v>#NUM!</v>
      </c>
      <c r="L261" s="101"/>
      <c r="M261" s="103">
        <f t="shared" si="16"/>
        <v>0</v>
      </c>
    </row>
    <row r="262" spans="1:13" x14ac:dyDescent="0.25">
      <c r="A262" s="117"/>
      <c r="G262" s="84"/>
      <c r="H262" s="101">
        <v>257</v>
      </c>
      <c r="I262" s="102" t="str">
        <f t="shared" ref="I262:I305" si="18">IF(H262&lt;$H$2+1,($I$2-($I$2-1)*(LOG(H262)/LOG($H$2))),"")</f>
        <v/>
      </c>
      <c r="J262" s="101" t="e">
        <f t="shared" si="17"/>
        <v>#NUM!</v>
      </c>
      <c r="K262" s="101" t="e">
        <f t="shared" ref="K262:K305" si="19">J262*$J$2</f>
        <v>#NUM!</v>
      </c>
      <c r="L262" s="101"/>
      <c r="M262" s="103">
        <f t="shared" ref="M262:M305" si="20">IF(I262&lt;&gt;"",K262+I262+L262,0)</f>
        <v>0</v>
      </c>
    </row>
    <row r="263" spans="1:13" x14ac:dyDescent="0.25">
      <c r="A263" s="117"/>
      <c r="G263" s="84"/>
      <c r="H263" s="101">
        <v>258</v>
      </c>
      <c r="I263" s="102" t="str">
        <f t="shared" si="18"/>
        <v/>
      </c>
      <c r="J263" s="101" t="e">
        <f t="shared" ref="J263:J305" si="21">INT(LOG($H$2,2))-ROUNDUP(LOG(H263,2),0)+IF(OR($H$2=1,$H$2=2,$H$2=4,$H$2=8,$H$2=16,$H$2=32,$H$2=64,$H$2=128,$H$2=256),0,1)</f>
        <v>#NUM!</v>
      </c>
      <c r="K263" s="101" t="e">
        <f t="shared" si="19"/>
        <v>#NUM!</v>
      </c>
      <c r="L263" s="101"/>
      <c r="M263" s="103">
        <f t="shared" si="20"/>
        <v>0</v>
      </c>
    </row>
    <row r="264" spans="1:13" x14ac:dyDescent="0.25">
      <c r="A264" s="117"/>
      <c r="G264" s="84"/>
      <c r="H264" s="101">
        <v>259</v>
      </c>
      <c r="I264" s="102" t="str">
        <f t="shared" si="18"/>
        <v/>
      </c>
      <c r="J264" s="101" t="e">
        <f t="shared" si="21"/>
        <v>#NUM!</v>
      </c>
      <c r="K264" s="101" t="e">
        <f t="shared" si="19"/>
        <v>#NUM!</v>
      </c>
      <c r="L264" s="101"/>
      <c r="M264" s="103">
        <f t="shared" si="20"/>
        <v>0</v>
      </c>
    </row>
    <row r="265" spans="1:13" x14ac:dyDescent="0.25">
      <c r="A265" s="117"/>
      <c r="G265" s="84"/>
      <c r="H265" s="101">
        <v>260</v>
      </c>
      <c r="I265" s="102" t="str">
        <f t="shared" si="18"/>
        <v/>
      </c>
      <c r="J265" s="101" t="e">
        <f t="shared" si="21"/>
        <v>#NUM!</v>
      </c>
      <c r="K265" s="101" t="e">
        <f t="shared" si="19"/>
        <v>#NUM!</v>
      </c>
      <c r="L265" s="101"/>
      <c r="M265" s="103">
        <f t="shared" si="20"/>
        <v>0</v>
      </c>
    </row>
    <row r="266" spans="1:13" x14ac:dyDescent="0.25">
      <c r="A266" s="117"/>
      <c r="G266" s="84"/>
      <c r="H266" s="101">
        <v>261</v>
      </c>
      <c r="I266" s="102" t="str">
        <f t="shared" si="18"/>
        <v/>
      </c>
      <c r="J266" s="101" t="e">
        <f t="shared" si="21"/>
        <v>#NUM!</v>
      </c>
      <c r="K266" s="101" t="e">
        <f t="shared" si="19"/>
        <v>#NUM!</v>
      </c>
      <c r="L266" s="101"/>
      <c r="M266" s="103">
        <f t="shared" si="20"/>
        <v>0</v>
      </c>
    </row>
    <row r="267" spans="1:13" x14ac:dyDescent="0.25">
      <c r="A267" s="117"/>
      <c r="G267" s="84"/>
      <c r="H267" s="101">
        <v>262</v>
      </c>
      <c r="I267" s="102" t="str">
        <f t="shared" si="18"/>
        <v/>
      </c>
      <c r="J267" s="101" t="e">
        <f t="shared" si="21"/>
        <v>#NUM!</v>
      </c>
      <c r="K267" s="101" t="e">
        <f t="shared" si="19"/>
        <v>#NUM!</v>
      </c>
      <c r="L267" s="101"/>
      <c r="M267" s="103">
        <f t="shared" si="20"/>
        <v>0</v>
      </c>
    </row>
    <row r="268" spans="1:13" x14ac:dyDescent="0.25">
      <c r="A268" s="117"/>
      <c r="G268" s="84"/>
      <c r="H268" s="101">
        <v>263</v>
      </c>
      <c r="I268" s="102" t="str">
        <f t="shared" si="18"/>
        <v/>
      </c>
      <c r="J268" s="101" t="e">
        <f t="shared" si="21"/>
        <v>#NUM!</v>
      </c>
      <c r="K268" s="101" t="e">
        <f t="shared" si="19"/>
        <v>#NUM!</v>
      </c>
      <c r="L268" s="101"/>
      <c r="M268" s="103">
        <f t="shared" si="20"/>
        <v>0</v>
      </c>
    </row>
    <row r="269" spans="1:13" x14ac:dyDescent="0.25">
      <c r="A269" s="117"/>
      <c r="G269" s="84"/>
      <c r="H269" s="101">
        <v>264</v>
      </c>
      <c r="I269" s="102" t="str">
        <f t="shared" si="18"/>
        <v/>
      </c>
      <c r="J269" s="101" t="e">
        <f t="shared" si="21"/>
        <v>#NUM!</v>
      </c>
      <c r="K269" s="101" t="e">
        <f t="shared" si="19"/>
        <v>#NUM!</v>
      </c>
      <c r="L269" s="101"/>
      <c r="M269" s="103">
        <f t="shared" si="20"/>
        <v>0</v>
      </c>
    </row>
    <row r="270" spans="1:13" x14ac:dyDescent="0.25">
      <c r="A270" s="117"/>
      <c r="G270" s="84"/>
      <c r="H270" s="101">
        <v>265</v>
      </c>
      <c r="I270" s="102" t="str">
        <f t="shared" si="18"/>
        <v/>
      </c>
      <c r="J270" s="101" t="e">
        <f t="shared" si="21"/>
        <v>#NUM!</v>
      </c>
      <c r="K270" s="101" t="e">
        <f t="shared" si="19"/>
        <v>#NUM!</v>
      </c>
      <c r="L270" s="101"/>
      <c r="M270" s="103">
        <f t="shared" si="20"/>
        <v>0</v>
      </c>
    </row>
    <row r="271" spans="1:13" x14ac:dyDescent="0.25">
      <c r="A271" s="117"/>
      <c r="G271" s="84"/>
      <c r="H271" s="101">
        <v>266</v>
      </c>
      <c r="I271" s="102" t="str">
        <f t="shared" si="18"/>
        <v/>
      </c>
      <c r="J271" s="101" t="e">
        <f t="shared" si="21"/>
        <v>#NUM!</v>
      </c>
      <c r="K271" s="101" t="e">
        <f t="shared" si="19"/>
        <v>#NUM!</v>
      </c>
      <c r="L271" s="101"/>
      <c r="M271" s="103">
        <f t="shared" si="20"/>
        <v>0</v>
      </c>
    </row>
    <row r="272" spans="1:13" x14ac:dyDescent="0.25">
      <c r="A272" s="117"/>
      <c r="G272" s="84"/>
      <c r="H272" s="101">
        <v>267</v>
      </c>
      <c r="I272" s="102" t="str">
        <f t="shared" si="18"/>
        <v/>
      </c>
      <c r="J272" s="101" t="e">
        <f t="shared" si="21"/>
        <v>#NUM!</v>
      </c>
      <c r="K272" s="101" t="e">
        <f t="shared" si="19"/>
        <v>#NUM!</v>
      </c>
      <c r="L272" s="101"/>
      <c r="M272" s="103">
        <f t="shared" si="20"/>
        <v>0</v>
      </c>
    </row>
    <row r="273" spans="1:13" x14ac:dyDescent="0.25">
      <c r="A273" s="117"/>
      <c r="G273" s="84"/>
      <c r="H273" s="101">
        <v>268</v>
      </c>
      <c r="I273" s="102" t="str">
        <f t="shared" si="18"/>
        <v/>
      </c>
      <c r="J273" s="101" t="e">
        <f t="shared" si="21"/>
        <v>#NUM!</v>
      </c>
      <c r="K273" s="101" t="e">
        <f t="shared" si="19"/>
        <v>#NUM!</v>
      </c>
      <c r="L273" s="101"/>
      <c r="M273" s="103">
        <f t="shared" si="20"/>
        <v>0</v>
      </c>
    </row>
    <row r="274" spans="1:13" x14ac:dyDescent="0.25">
      <c r="A274" s="117"/>
      <c r="G274" s="84"/>
      <c r="H274" s="101">
        <v>269</v>
      </c>
      <c r="I274" s="102" t="str">
        <f t="shared" si="18"/>
        <v/>
      </c>
      <c r="J274" s="101" t="e">
        <f t="shared" si="21"/>
        <v>#NUM!</v>
      </c>
      <c r="K274" s="101" t="e">
        <f t="shared" si="19"/>
        <v>#NUM!</v>
      </c>
      <c r="L274" s="101"/>
      <c r="M274" s="103">
        <f t="shared" si="20"/>
        <v>0</v>
      </c>
    </row>
    <row r="275" spans="1:13" x14ac:dyDescent="0.25">
      <c r="A275" s="117"/>
      <c r="G275" s="84"/>
      <c r="H275" s="101">
        <v>270</v>
      </c>
      <c r="I275" s="102" t="str">
        <f t="shared" si="18"/>
        <v/>
      </c>
      <c r="J275" s="101" t="e">
        <f t="shared" si="21"/>
        <v>#NUM!</v>
      </c>
      <c r="K275" s="101" t="e">
        <f t="shared" si="19"/>
        <v>#NUM!</v>
      </c>
      <c r="L275" s="101"/>
      <c r="M275" s="103">
        <f t="shared" si="20"/>
        <v>0</v>
      </c>
    </row>
    <row r="276" spans="1:13" x14ac:dyDescent="0.25">
      <c r="A276" s="117"/>
      <c r="G276" s="84"/>
      <c r="H276" s="101">
        <v>271</v>
      </c>
      <c r="I276" s="102" t="str">
        <f t="shared" si="18"/>
        <v/>
      </c>
      <c r="J276" s="101" t="e">
        <f t="shared" si="21"/>
        <v>#NUM!</v>
      </c>
      <c r="K276" s="101" t="e">
        <f t="shared" si="19"/>
        <v>#NUM!</v>
      </c>
      <c r="L276" s="101"/>
      <c r="M276" s="103">
        <f t="shared" si="20"/>
        <v>0</v>
      </c>
    </row>
    <row r="277" spans="1:13" x14ac:dyDescent="0.25">
      <c r="A277" s="117"/>
      <c r="G277" s="84"/>
      <c r="H277" s="101">
        <v>272</v>
      </c>
      <c r="I277" s="102" t="str">
        <f t="shared" si="18"/>
        <v/>
      </c>
      <c r="J277" s="101" t="e">
        <f t="shared" si="21"/>
        <v>#NUM!</v>
      </c>
      <c r="K277" s="101" t="e">
        <f t="shared" si="19"/>
        <v>#NUM!</v>
      </c>
      <c r="L277" s="101"/>
      <c r="M277" s="103">
        <f t="shared" si="20"/>
        <v>0</v>
      </c>
    </row>
    <row r="278" spans="1:13" x14ac:dyDescent="0.25">
      <c r="A278" s="117"/>
      <c r="G278" s="84"/>
      <c r="H278" s="101">
        <v>273</v>
      </c>
      <c r="I278" s="102" t="str">
        <f t="shared" si="18"/>
        <v/>
      </c>
      <c r="J278" s="101" t="e">
        <f t="shared" si="21"/>
        <v>#NUM!</v>
      </c>
      <c r="K278" s="101" t="e">
        <f t="shared" si="19"/>
        <v>#NUM!</v>
      </c>
      <c r="L278" s="101"/>
      <c r="M278" s="103">
        <f t="shared" si="20"/>
        <v>0</v>
      </c>
    </row>
    <row r="279" spans="1:13" x14ac:dyDescent="0.25">
      <c r="A279" s="117"/>
      <c r="G279" s="84"/>
      <c r="H279" s="101">
        <v>274</v>
      </c>
      <c r="I279" s="102" t="str">
        <f t="shared" si="18"/>
        <v/>
      </c>
      <c r="J279" s="101" t="e">
        <f t="shared" si="21"/>
        <v>#NUM!</v>
      </c>
      <c r="K279" s="101" t="e">
        <f t="shared" si="19"/>
        <v>#NUM!</v>
      </c>
      <c r="L279" s="101"/>
      <c r="M279" s="103">
        <f t="shared" si="20"/>
        <v>0</v>
      </c>
    </row>
    <row r="280" spans="1:13" x14ac:dyDescent="0.25">
      <c r="A280" s="117"/>
      <c r="G280" s="84"/>
      <c r="H280" s="101">
        <v>275</v>
      </c>
      <c r="I280" s="102" t="str">
        <f t="shared" si="18"/>
        <v/>
      </c>
      <c r="J280" s="101" t="e">
        <f t="shared" si="21"/>
        <v>#NUM!</v>
      </c>
      <c r="K280" s="101" t="e">
        <f t="shared" si="19"/>
        <v>#NUM!</v>
      </c>
      <c r="L280" s="101"/>
      <c r="M280" s="103">
        <f t="shared" si="20"/>
        <v>0</v>
      </c>
    </row>
    <row r="281" spans="1:13" x14ac:dyDescent="0.25">
      <c r="A281" s="117"/>
      <c r="G281" s="84"/>
      <c r="H281" s="101">
        <v>276</v>
      </c>
      <c r="I281" s="102" t="str">
        <f t="shared" si="18"/>
        <v/>
      </c>
      <c r="J281" s="101" t="e">
        <f t="shared" si="21"/>
        <v>#NUM!</v>
      </c>
      <c r="K281" s="101" t="e">
        <f t="shared" si="19"/>
        <v>#NUM!</v>
      </c>
      <c r="L281" s="101"/>
      <c r="M281" s="103">
        <f t="shared" si="20"/>
        <v>0</v>
      </c>
    </row>
    <row r="282" spans="1:13" x14ac:dyDescent="0.25">
      <c r="A282" s="117"/>
      <c r="G282" s="84"/>
      <c r="H282" s="101">
        <v>277</v>
      </c>
      <c r="I282" s="102" t="str">
        <f t="shared" si="18"/>
        <v/>
      </c>
      <c r="J282" s="101" t="e">
        <f t="shared" si="21"/>
        <v>#NUM!</v>
      </c>
      <c r="K282" s="101" t="e">
        <f t="shared" si="19"/>
        <v>#NUM!</v>
      </c>
      <c r="L282" s="101"/>
      <c r="M282" s="103">
        <f t="shared" si="20"/>
        <v>0</v>
      </c>
    </row>
    <row r="283" spans="1:13" x14ac:dyDescent="0.25">
      <c r="A283" s="117"/>
      <c r="G283" s="84"/>
      <c r="H283" s="101">
        <v>278</v>
      </c>
      <c r="I283" s="102" t="str">
        <f t="shared" si="18"/>
        <v/>
      </c>
      <c r="J283" s="101" t="e">
        <f t="shared" si="21"/>
        <v>#NUM!</v>
      </c>
      <c r="K283" s="101" t="e">
        <f t="shared" si="19"/>
        <v>#NUM!</v>
      </c>
      <c r="L283" s="101"/>
      <c r="M283" s="103">
        <f t="shared" si="20"/>
        <v>0</v>
      </c>
    </row>
    <row r="284" spans="1:13" x14ac:dyDescent="0.25">
      <c r="A284" s="117"/>
      <c r="G284" s="84"/>
      <c r="H284" s="101">
        <v>279</v>
      </c>
      <c r="I284" s="102" t="str">
        <f t="shared" si="18"/>
        <v/>
      </c>
      <c r="J284" s="101" t="e">
        <f t="shared" si="21"/>
        <v>#NUM!</v>
      </c>
      <c r="K284" s="101" t="e">
        <f t="shared" si="19"/>
        <v>#NUM!</v>
      </c>
      <c r="L284" s="101"/>
      <c r="M284" s="103">
        <f t="shared" si="20"/>
        <v>0</v>
      </c>
    </row>
    <row r="285" spans="1:13" x14ac:dyDescent="0.25">
      <c r="A285" s="117"/>
      <c r="G285" s="84"/>
      <c r="H285" s="101">
        <v>280</v>
      </c>
      <c r="I285" s="102" t="str">
        <f t="shared" si="18"/>
        <v/>
      </c>
      <c r="J285" s="101" t="e">
        <f t="shared" si="21"/>
        <v>#NUM!</v>
      </c>
      <c r="K285" s="101" t="e">
        <f t="shared" si="19"/>
        <v>#NUM!</v>
      </c>
      <c r="L285" s="101"/>
      <c r="M285" s="103">
        <f t="shared" si="20"/>
        <v>0</v>
      </c>
    </row>
    <row r="286" spans="1:13" x14ac:dyDescent="0.25">
      <c r="A286" s="117"/>
      <c r="G286" s="84"/>
      <c r="H286" s="101">
        <v>281</v>
      </c>
      <c r="I286" s="102" t="str">
        <f t="shared" si="18"/>
        <v/>
      </c>
      <c r="J286" s="101" t="e">
        <f t="shared" si="21"/>
        <v>#NUM!</v>
      </c>
      <c r="K286" s="101" t="e">
        <f t="shared" si="19"/>
        <v>#NUM!</v>
      </c>
      <c r="L286" s="101"/>
      <c r="M286" s="103">
        <f t="shared" si="20"/>
        <v>0</v>
      </c>
    </row>
    <row r="287" spans="1:13" x14ac:dyDescent="0.25">
      <c r="A287" s="117"/>
      <c r="G287" s="84"/>
      <c r="H287" s="101">
        <v>282</v>
      </c>
      <c r="I287" s="102" t="str">
        <f t="shared" si="18"/>
        <v/>
      </c>
      <c r="J287" s="101" t="e">
        <f t="shared" si="21"/>
        <v>#NUM!</v>
      </c>
      <c r="K287" s="101" t="e">
        <f t="shared" si="19"/>
        <v>#NUM!</v>
      </c>
      <c r="L287" s="101"/>
      <c r="M287" s="103">
        <f t="shared" si="20"/>
        <v>0</v>
      </c>
    </row>
    <row r="288" spans="1:13" x14ac:dyDescent="0.25">
      <c r="A288" s="117"/>
      <c r="G288" s="84"/>
      <c r="H288" s="101">
        <v>283</v>
      </c>
      <c r="I288" s="102" t="str">
        <f t="shared" si="18"/>
        <v/>
      </c>
      <c r="J288" s="101" t="e">
        <f t="shared" si="21"/>
        <v>#NUM!</v>
      </c>
      <c r="K288" s="101" t="e">
        <f t="shared" si="19"/>
        <v>#NUM!</v>
      </c>
      <c r="L288" s="101"/>
      <c r="M288" s="103">
        <f t="shared" si="20"/>
        <v>0</v>
      </c>
    </row>
    <row r="289" spans="1:13" x14ac:dyDescent="0.25">
      <c r="A289" s="117"/>
      <c r="G289" s="84"/>
      <c r="H289" s="101">
        <v>284</v>
      </c>
      <c r="I289" s="102" t="str">
        <f t="shared" si="18"/>
        <v/>
      </c>
      <c r="J289" s="101" t="e">
        <f t="shared" si="21"/>
        <v>#NUM!</v>
      </c>
      <c r="K289" s="101" t="e">
        <f t="shared" si="19"/>
        <v>#NUM!</v>
      </c>
      <c r="L289" s="101"/>
      <c r="M289" s="103">
        <f t="shared" si="20"/>
        <v>0</v>
      </c>
    </row>
    <row r="290" spans="1:13" x14ac:dyDescent="0.25">
      <c r="A290" s="117"/>
      <c r="G290" s="84"/>
      <c r="H290" s="101">
        <v>285</v>
      </c>
      <c r="I290" s="102" t="str">
        <f t="shared" si="18"/>
        <v/>
      </c>
      <c r="J290" s="101" t="e">
        <f t="shared" si="21"/>
        <v>#NUM!</v>
      </c>
      <c r="K290" s="101" t="e">
        <f t="shared" si="19"/>
        <v>#NUM!</v>
      </c>
      <c r="L290" s="101"/>
      <c r="M290" s="103">
        <f t="shared" si="20"/>
        <v>0</v>
      </c>
    </row>
    <row r="291" spans="1:13" x14ac:dyDescent="0.25">
      <c r="A291" s="117"/>
      <c r="G291" s="84"/>
      <c r="H291" s="101">
        <v>286</v>
      </c>
      <c r="I291" s="102" t="str">
        <f t="shared" si="18"/>
        <v/>
      </c>
      <c r="J291" s="101" t="e">
        <f t="shared" si="21"/>
        <v>#NUM!</v>
      </c>
      <c r="K291" s="101" t="e">
        <f t="shared" si="19"/>
        <v>#NUM!</v>
      </c>
      <c r="L291" s="101"/>
      <c r="M291" s="103">
        <f t="shared" si="20"/>
        <v>0</v>
      </c>
    </row>
    <row r="292" spans="1:13" x14ac:dyDescent="0.25">
      <c r="A292" s="117"/>
      <c r="G292" s="84"/>
      <c r="H292" s="101">
        <v>287</v>
      </c>
      <c r="I292" s="102" t="str">
        <f t="shared" si="18"/>
        <v/>
      </c>
      <c r="J292" s="101" t="e">
        <f t="shared" si="21"/>
        <v>#NUM!</v>
      </c>
      <c r="K292" s="101" t="e">
        <f t="shared" si="19"/>
        <v>#NUM!</v>
      </c>
      <c r="L292" s="101"/>
      <c r="M292" s="103">
        <f t="shared" si="20"/>
        <v>0</v>
      </c>
    </row>
    <row r="293" spans="1:13" x14ac:dyDescent="0.25">
      <c r="A293" s="117"/>
      <c r="G293" s="84"/>
      <c r="H293" s="101">
        <v>288</v>
      </c>
      <c r="I293" s="102" t="str">
        <f t="shared" si="18"/>
        <v/>
      </c>
      <c r="J293" s="101" t="e">
        <f t="shared" si="21"/>
        <v>#NUM!</v>
      </c>
      <c r="K293" s="101" t="e">
        <f t="shared" si="19"/>
        <v>#NUM!</v>
      </c>
      <c r="L293" s="101"/>
      <c r="M293" s="103">
        <f t="shared" si="20"/>
        <v>0</v>
      </c>
    </row>
    <row r="294" spans="1:13" x14ac:dyDescent="0.25">
      <c r="A294" s="117"/>
      <c r="G294" s="84"/>
      <c r="H294" s="101">
        <v>289</v>
      </c>
      <c r="I294" s="102" t="str">
        <f t="shared" si="18"/>
        <v/>
      </c>
      <c r="J294" s="101" t="e">
        <f t="shared" si="21"/>
        <v>#NUM!</v>
      </c>
      <c r="K294" s="101" t="e">
        <f t="shared" si="19"/>
        <v>#NUM!</v>
      </c>
      <c r="L294" s="101"/>
      <c r="M294" s="103">
        <f t="shared" si="20"/>
        <v>0</v>
      </c>
    </row>
    <row r="295" spans="1:13" x14ac:dyDescent="0.25">
      <c r="A295" s="117"/>
      <c r="G295" s="84"/>
      <c r="H295" s="101">
        <v>290</v>
      </c>
      <c r="I295" s="102" t="str">
        <f t="shared" si="18"/>
        <v/>
      </c>
      <c r="J295" s="101" t="e">
        <f t="shared" si="21"/>
        <v>#NUM!</v>
      </c>
      <c r="K295" s="101" t="e">
        <f t="shared" si="19"/>
        <v>#NUM!</v>
      </c>
      <c r="L295" s="101"/>
      <c r="M295" s="103">
        <f t="shared" si="20"/>
        <v>0</v>
      </c>
    </row>
    <row r="296" spans="1:13" x14ac:dyDescent="0.25">
      <c r="A296" s="117"/>
      <c r="G296" s="84"/>
      <c r="H296" s="101">
        <v>291</v>
      </c>
      <c r="I296" s="102" t="str">
        <f t="shared" si="18"/>
        <v/>
      </c>
      <c r="J296" s="101" t="e">
        <f t="shared" si="21"/>
        <v>#NUM!</v>
      </c>
      <c r="K296" s="101" t="e">
        <f t="shared" si="19"/>
        <v>#NUM!</v>
      </c>
      <c r="L296" s="101"/>
      <c r="M296" s="103">
        <f t="shared" si="20"/>
        <v>0</v>
      </c>
    </row>
    <row r="297" spans="1:13" x14ac:dyDescent="0.25">
      <c r="A297" s="117"/>
      <c r="G297" s="84"/>
      <c r="H297" s="101">
        <v>292</v>
      </c>
      <c r="I297" s="102" t="str">
        <f t="shared" si="18"/>
        <v/>
      </c>
      <c r="J297" s="101" t="e">
        <f t="shared" si="21"/>
        <v>#NUM!</v>
      </c>
      <c r="K297" s="101" t="e">
        <f t="shared" si="19"/>
        <v>#NUM!</v>
      </c>
      <c r="L297" s="101"/>
      <c r="M297" s="103">
        <f t="shared" si="20"/>
        <v>0</v>
      </c>
    </row>
    <row r="298" spans="1:13" x14ac:dyDescent="0.25">
      <c r="A298" s="117"/>
      <c r="G298" s="84"/>
      <c r="H298" s="101">
        <v>293</v>
      </c>
      <c r="I298" s="102" t="str">
        <f t="shared" si="18"/>
        <v/>
      </c>
      <c r="J298" s="101" t="e">
        <f t="shared" si="21"/>
        <v>#NUM!</v>
      </c>
      <c r="K298" s="101" t="e">
        <f t="shared" si="19"/>
        <v>#NUM!</v>
      </c>
      <c r="L298" s="101"/>
      <c r="M298" s="103">
        <f t="shared" si="20"/>
        <v>0</v>
      </c>
    </row>
    <row r="299" spans="1:13" x14ac:dyDescent="0.25">
      <c r="A299" s="117"/>
      <c r="G299" s="84"/>
      <c r="H299" s="101">
        <v>294</v>
      </c>
      <c r="I299" s="102" t="str">
        <f t="shared" si="18"/>
        <v/>
      </c>
      <c r="J299" s="101" t="e">
        <f t="shared" si="21"/>
        <v>#NUM!</v>
      </c>
      <c r="K299" s="101" t="e">
        <f t="shared" si="19"/>
        <v>#NUM!</v>
      </c>
      <c r="L299" s="101"/>
      <c r="M299" s="103">
        <f t="shared" si="20"/>
        <v>0</v>
      </c>
    </row>
    <row r="300" spans="1:13" x14ac:dyDescent="0.25">
      <c r="A300" s="117"/>
      <c r="G300" s="84"/>
      <c r="H300" s="101">
        <v>295</v>
      </c>
      <c r="I300" s="102" t="str">
        <f t="shared" si="18"/>
        <v/>
      </c>
      <c r="J300" s="101" t="e">
        <f t="shared" si="21"/>
        <v>#NUM!</v>
      </c>
      <c r="K300" s="101" t="e">
        <f t="shared" si="19"/>
        <v>#NUM!</v>
      </c>
      <c r="L300" s="101"/>
      <c r="M300" s="103">
        <f t="shared" si="20"/>
        <v>0</v>
      </c>
    </row>
    <row r="301" spans="1:13" x14ac:dyDescent="0.25">
      <c r="A301" s="117"/>
      <c r="G301" s="84"/>
      <c r="H301" s="101">
        <v>296</v>
      </c>
      <c r="I301" s="102" t="str">
        <f t="shared" si="18"/>
        <v/>
      </c>
      <c r="J301" s="101" t="e">
        <f t="shared" si="21"/>
        <v>#NUM!</v>
      </c>
      <c r="K301" s="101" t="e">
        <f t="shared" si="19"/>
        <v>#NUM!</v>
      </c>
      <c r="L301" s="101"/>
      <c r="M301" s="103">
        <f t="shared" si="20"/>
        <v>0</v>
      </c>
    </row>
    <row r="302" spans="1:13" x14ac:dyDescent="0.25">
      <c r="A302" s="117"/>
      <c r="G302" s="84"/>
      <c r="H302" s="101">
        <v>297</v>
      </c>
      <c r="I302" s="102" t="str">
        <f t="shared" si="18"/>
        <v/>
      </c>
      <c r="J302" s="101" t="e">
        <f t="shared" si="21"/>
        <v>#NUM!</v>
      </c>
      <c r="K302" s="101" t="e">
        <f t="shared" si="19"/>
        <v>#NUM!</v>
      </c>
      <c r="L302" s="101"/>
      <c r="M302" s="103">
        <f t="shared" si="20"/>
        <v>0</v>
      </c>
    </row>
    <row r="303" spans="1:13" x14ac:dyDescent="0.25">
      <c r="A303" s="117"/>
      <c r="G303" s="84"/>
      <c r="H303" s="101">
        <v>298</v>
      </c>
      <c r="I303" s="102" t="str">
        <f t="shared" si="18"/>
        <v/>
      </c>
      <c r="J303" s="101" t="e">
        <f t="shared" si="21"/>
        <v>#NUM!</v>
      </c>
      <c r="K303" s="101" t="e">
        <f t="shared" si="19"/>
        <v>#NUM!</v>
      </c>
      <c r="L303" s="101"/>
      <c r="M303" s="103">
        <f t="shared" si="20"/>
        <v>0</v>
      </c>
    </row>
    <row r="304" spans="1:13" x14ac:dyDescent="0.25">
      <c r="A304" s="117"/>
      <c r="G304" s="84"/>
      <c r="H304" s="101">
        <v>299</v>
      </c>
      <c r="I304" s="102" t="str">
        <f t="shared" si="18"/>
        <v/>
      </c>
      <c r="J304" s="101" t="e">
        <f t="shared" si="21"/>
        <v>#NUM!</v>
      </c>
      <c r="K304" s="101" t="e">
        <f t="shared" si="19"/>
        <v>#NUM!</v>
      </c>
      <c r="L304" s="101"/>
      <c r="M304" s="103">
        <f t="shared" si="20"/>
        <v>0</v>
      </c>
    </row>
    <row r="305" spans="1:16" x14ac:dyDescent="0.25">
      <c r="A305" s="117"/>
      <c r="G305" s="84"/>
      <c r="H305" s="101">
        <v>300</v>
      </c>
      <c r="I305" s="102" t="str">
        <f t="shared" si="18"/>
        <v/>
      </c>
      <c r="J305" s="101" t="e">
        <f t="shared" si="21"/>
        <v>#NUM!</v>
      </c>
      <c r="K305" s="101" t="e">
        <f t="shared" si="19"/>
        <v>#NUM!</v>
      </c>
      <c r="L305" s="101"/>
      <c r="M305" s="103">
        <f t="shared" si="20"/>
        <v>0</v>
      </c>
    </row>
    <row r="306" spans="1:16" x14ac:dyDescent="0.25">
      <c r="A306" s="119"/>
    </row>
    <row r="314" spans="1:16" x14ac:dyDescent="0.25">
      <c r="L314" s="122"/>
      <c r="P314" s="112"/>
    </row>
    <row r="315" spans="1:16" x14ac:dyDescent="0.25">
      <c r="L315" s="122"/>
      <c r="P315" s="112"/>
    </row>
    <row r="316" spans="1:16" x14ac:dyDescent="0.25">
      <c r="L316" s="122"/>
      <c r="P316" s="112"/>
    </row>
    <row r="317" spans="1:16" x14ac:dyDescent="0.25">
      <c r="L317" s="122"/>
      <c r="P317" s="112"/>
    </row>
  </sheetData>
  <conditionalFormatting sqref="J6:K305">
    <cfRule type="cellIs" dxfId="8" priority="1" operator="lessThanOrEqual">
      <formula>0</formula>
    </cfRule>
  </conditionalFormatting>
  <dataValidations count="1">
    <dataValidation type="list" allowBlank="1" showInputMessage="1" showErrorMessage="1" sqref="C38:C69" xr:uid="{07CB3574-1EC6-4CF5-86E1-AEFF11875F18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60D0E-B49B-4E1B-BEA7-6E4DEB20344C}">
  <sheetPr>
    <tabColor theme="7" tint="0.79998168889431442"/>
  </sheetPr>
  <dimension ref="A1:AL317"/>
  <sheetViews>
    <sheetView workbookViewId="0">
      <selection activeCell="B16" sqref="B16"/>
    </sheetView>
  </sheetViews>
  <sheetFormatPr defaultColWidth="8.85546875" defaultRowHeight="15" x14ac:dyDescent="0.25"/>
  <cols>
    <col min="1" max="1" width="8" style="118" customWidth="1"/>
    <col min="2" max="2" width="8.28515625" style="118" customWidth="1"/>
    <col min="3" max="3" width="34.7109375" style="118" customWidth="1"/>
    <col min="4" max="4" width="11.28515625" style="118" customWidth="1"/>
    <col min="5" max="6" width="8.85546875" style="118"/>
    <col min="7" max="7" width="0.85546875" style="118" customWidth="1"/>
    <col min="8" max="8" width="8.85546875" style="120"/>
    <col min="9" max="9" width="11" style="120" customWidth="1"/>
    <col min="10" max="10" width="15.28515625" style="120" customWidth="1"/>
    <col min="11" max="11" width="8.7109375" style="120" customWidth="1"/>
    <col min="12" max="12" width="11" style="120" customWidth="1"/>
    <col min="13" max="13" width="12.28515625" style="121" customWidth="1"/>
    <col min="14" max="15" width="13.85546875" style="84" customWidth="1"/>
    <col min="16" max="18" width="8.85546875" style="84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18"/>
  </cols>
  <sheetData>
    <row r="1" spans="1:36" x14ac:dyDescent="0.25">
      <c r="A1" s="84"/>
      <c r="B1" s="84"/>
      <c r="C1" s="84"/>
      <c r="D1" s="84"/>
      <c r="E1" s="84"/>
      <c r="F1" s="84"/>
      <c r="G1" s="84"/>
      <c r="H1" s="85" t="s">
        <v>26</v>
      </c>
      <c r="I1" s="86" t="s">
        <v>27</v>
      </c>
      <c r="J1" s="86" t="s">
        <v>28</v>
      </c>
      <c r="K1" s="87" t="s">
        <v>29</v>
      </c>
      <c r="L1" s="90"/>
      <c r="M1" s="90"/>
    </row>
    <row r="2" spans="1:36" ht="14.45" customHeight="1" x14ac:dyDescent="0.25">
      <c r="A2" s="84"/>
      <c r="B2" s="24" t="s">
        <v>32</v>
      </c>
      <c r="C2" s="83" t="s">
        <v>100</v>
      </c>
      <c r="D2" s="82"/>
      <c r="E2" s="25"/>
      <c r="F2" s="25"/>
      <c r="G2" s="25"/>
      <c r="H2" s="92">
        <v>13</v>
      </c>
      <c r="I2" s="93">
        <v>50</v>
      </c>
      <c r="J2" s="93">
        <v>10</v>
      </c>
      <c r="K2" s="94">
        <f>3*H2^(1/3)</f>
        <v>7.0540040631622718</v>
      </c>
      <c r="L2" s="90"/>
      <c r="M2" s="90"/>
    </row>
    <row r="3" spans="1:36" ht="14.45" customHeight="1" x14ac:dyDescent="0.25">
      <c r="A3" s="84"/>
      <c r="B3" s="96" t="s">
        <v>34</v>
      </c>
      <c r="C3" s="83"/>
      <c r="D3" s="83"/>
      <c r="E3" s="30"/>
      <c r="F3" s="30"/>
      <c r="G3" s="30"/>
      <c r="H3" s="90"/>
      <c r="I3" s="90"/>
      <c r="J3" s="97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7"/>
      <c r="K4" s="90"/>
      <c r="L4" s="90"/>
      <c r="M4" s="90"/>
    </row>
    <row r="5" spans="1:36" ht="36" x14ac:dyDescent="0.25">
      <c r="A5" s="1" t="s">
        <v>36</v>
      </c>
      <c r="B5" s="33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32"/>
      <c r="H5" s="98" t="s">
        <v>42</v>
      </c>
      <c r="I5" s="99" t="s">
        <v>43</v>
      </c>
      <c r="J5" s="100" t="s">
        <v>44</v>
      </c>
      <c r="K5" s="99" t="s">
        <v>45</v>
      </c>
      <c r="L5" s="99" t="s">
        <v>46</v>
      </c>
      <c r="M5" s="98" t="s">
        <v>47</v>
      </c>
    </row>
    <row r="6" spans="1:36" ht="14.45" customHeight="1" x14ac:dyDescent="0.25">
      <c r="A6" s="137">
        <f>M6</f>
        <v>111.16201218948682</v>
      </c>
      <c r="B6" s="38">
        <f t="shared" ref="B6:B65" si="0">IF(H6&gt;$H$2,"",(ROW()-5))</f>
        <v>1</v>
      </c>
      <c r="C6" s="39" t="s">
        <v>54</v>
      </c>
      <c r="D6" s="39"/>
      <c r="E6" s="39"/>
      <c r="F6" s="39"/>
      <c r="G6" s="32"/>
      <c r="H6" s="101">
        <v>1</v>
      </c>
      <c r="I6" s="102">
        <f t="shared" ref="I6:I69" si="1">IF(H6&lt;$H$2+1,($I$2-($I$2-1)*(LOG(H6)/LOG($H$2))),"")</f>
        <v>50</v>
      </c>
      <c r="J6" s="101">
        <f>INT(LOG($H$2,2))-ROUNDUP(LOG(H6,2),0)+IF(OR($H$2=1,$H$2=2,$H$2=4,$H$2=8,$H$2=16,$H$2=32,$H$2=64,$H$2=128,$H$2=256),0,1)</f>
        <v>4</v>
      </c>
      <c r="K6" s="101">
        <f t="shared" ref="K6:K69" si="2">J6*$J$2</f>
        <v>40</v>
      </c>
      <c r="L6" s="103">
        <f>3*K2</f>
        <v>21.162012189486816</v>
      </c>
      <c r="M6" s="103">
        <f t="shared" ref="M6:M69" si="3">IF(I6&lt;&gt;"",K6+I6+L6,0)</f>
        <v>111.16201218948682</v>
      </c>
    </row>
    <row r="7" spans="1:36" ht="14.45" customHeight="1" x14ac:dyDescent="0.25">
      <c r="A7" s="138">
        <f t="shared" ref="A7:A37" si="4">M7</f>
        <v>80.866338559385881</v>
      </c>
      <c r="B7" s="44">
        <f t="shared" si="0"/>
        <v>2</v>
      </c>
      <c r="C7" s="45" t="s">
        <v>54</v>
      </c>
      <c r="D7" s="45"/>
      <c r="E7" s="45"/>
      <c r="F7" s="45"/>
      <c r="G7" s="32"/>
      <c r="H7" s="104">
        <v>2</v>
      </c>
      <c r="I7" s="105">
        <f t="shared" si="1"/>
        <v>36.758330433061332</v>
      </c>
      <c r="J7" s="104">
        <f t="shared" ref="J7:J70" si="5">INT(LOG($H$2,2))-ROUNDUP(LOG(H7,2),0)+IF(OR($H$2=1,$H$2=2,$H$2=4,$H$2=8,$H$2=16,$H$2=32,$H$2=64,$H$2=128,$H$2=256),0,1)</f>
        <v>3</v>
      </c>
      <c r="K7" s="104">
        <f t="shared" si="2"/>
        <v>30</v>
      </c>
      <c r="L7" s="106">
        <f>2*K2</f>
        <v>14.108008126324544</v>
      </c>
      <c r="M7" s="106">
        <f t="shared" si="3"/>
        <v>80.866338559385881</v>
      </c>
    </row>
    <row r="8" spans="1:36" ht="14.45" customHeight="1" x14ac:dyDescent="0.25">
      <c r="A8" s="137">
        <f t="shared" si="4"/>
        <v>56.066454352623936</v>
      </c>
      <c r="B8" s="38">
        <f t="shared" si="0"/>
        <v>3</v>
      </c>
      <c r="C8" s="39" t="s">
        <v>17</v>
      </c>
      <c r="D8" s="39"/>
      <c r="E8" s="39"/>
      <c r="F8" s="39"/>
      <c r="G8" s="32"/>
      <c r="H8" s="101">
        <v>3</v>
      </c>
      <c r="I8" s="102">
        <f t="shared" si="1"/>
        <v>29.012450289461661</v>
      </c>
      <c r="J8" s="101">
        <f t="shared" si="5"/>
        <v>2</v>
      </c>
      <c r="K8" s="101">
        <f t="shared" si="2"/>
        <v>20</v>
      </c>
      <c r="L8" s="103">
        <f>K2</f>
        <v>7.0540040631622718</v>
      </c>
      <c r="M8" s="103">
        <f t="shared" si="3"/>
        <v>56.066454352623936</v>
      </c>
    </row>
    <row r="9" spans="1:36" s="91" customFormat="1" ht="14.45" customHeight="1" x14ac:dyDescent="0.25">
      <c r="A9" s="138">
        <f t="shared" si="4"/>
        <v>56.066454352623936</v>
      </c>
      <c r="B9" s="44">
        <f>IF(H9&gt;$H$2,"",3)</f>
        <v>3</v>
      </c>
      <c r="C9" s="45" t="s">
        <v>54</v>
      </c>
      <c r="D9" s="45"/>
      <c r="E9" s="45"/>
      <c r="F9" s="45"/>
      <c r="G9" s="32"/>
      <c r="H9" s="104">
        <v>3</v>
      </c>
      <c r="I9" s="105">
        <f t="shared" si="1"/>
        <v>29.012450289461661</v>
      </c>
      <c r="J9" s="104">
        <f t="shared" si="5"/>
        <v>2</v>
      </c>
      <c r="K9" s="104">
        <f t="shared" si="2"/>
        <v>20</v>
      </c>
      <c r="L9" s="106">
        <f>K2</f>
        <v>7.0540040631622718</v>
      </c>
      <c r="M9" s="106">
        <f t="shared" si="3"/>
        <v>56.066454352623936</v>
      </c>
      <c r="N9" s="84"/>
      <c r="O9" s="84"/>
      <c r="P9" s="84"/>
      <c r="Q9" s="84"/>
      <c r="R9" s="84"/>
      <c r="V9" s="107"/>
      <c r="Z9" s="108"/>
      <c r="AA9" s="108"/>
      <c r="AG9" s="109"/>
      <c r="AH9" s="91" t="s">
        <v>54</v>
      </c>
      <c r="AI9" s="91">
        <v>23</v>
      </c>
    </row>
    <row r="10" spans="1:36" ht="14.45" customHeight="1" x14ac:dyDescent="0.25">
      <c r="A10" s="137">
        <f t="shared" si="4"/>
        <v>29.253795409310133</v>
      </c>
      <c r="B10" s="38">
        <f t="shared" si="0"/>
        <v>5</v>
      </c>
      <c r="C10" s="39" t="s">
        <v>54</v>
      </c>
      <c r="D10" s="39"/>
      <c r="E10" s="39"/>
      <c r="F10" s="39"/>
      <c r="G10" s="32"/>
      <c r="H10" s="101">
        <v>5</v>
      </c>
      <c r="I10" s="102">
        <f t="shared" si="1"/>
        <v>19.253795409310133</v>
      </c>
      <c r="J10" s="101">
        <f t="shared" si="5"/>
        <v>1</v>
      </c>
      <c r="K10" s="101">
        <f t="shared" si="2"/>
        <v>10</v>
      </c>
      <c r="L10" s="101"/>
      <c r="M10" s="103">
        <f t="shared" si="3"/>
        <v>29.253795409310133</v>
      </c>
      <c r="V10" s="107"/>
      <c r="Z10" s="108"/>
      <c r="AA10" s="108"/>
      <c r="AG10" s="109"/>
      <c r="AH10" s="91" t="s">
        <v>55</v>
      </c>
      <c r="AI10" s="91">
        <v>45</v>
      </c>
    </row>
    <row r="11" spans="1:36" ht="14.45" customHeight="1" x14ac:dyDescent="0.25">
      <c r="A11" s="138">
        <f t="shared" si="4"/>
        <v>25.770780722522993</v>
      </c>
      <c r="B11" s="44">
        <f t="shared" si="0"/>
        <v>6</v>
      </c>
      <c r="C11" s="45" t="s">
        <v>54</v>
      </c>
      <c r="D11" s="45"/>
      <c r="E11" s="45"/>
      <c r="F11" s="45"/>
      <c r="G11" s="32"/>
      <c r="H11" s="104">
        <v>6</v>
      </c>
      <c r="I11" s="105">
        <f t="shared" si="1"/>
        <v>15.770780722522993</v>
      </c>
      <c r="J11" s="104">
        <f t="shared" si="5"/>
        <v>1</v>
      </c>
      <c r="K11" s="104">
        <f t="shared" si="2"/>
        <v>10</v>
      </c>
      <c r="L11" s="104"/>
      <c r="M11" s="106">
        <f t="shared" si="3"/>
        <v>25.770780722522993</v>
      </c>
      <c r="V11" s="110"/>
      <c r="Z11" s="108"/>
      <c r="AA11" s="108"/>
      <c r="AG11" s="109"/>
      <c r="AH11" s="91" t="s">
        <v>56</v>
      </c>
      <c r="AI11" s="91">
        <v>50</v>
      </c>
    </row>
    <row r="12" spans="1:36" ht="14.45" customHeight="1" x14ac:dyDescent="0.25">
      <c r="A12" s="137">
        <f t="shared" si="4"/>
        <v>22.825933764994346</v>
      </c>
      <c r="B12" s="38">
        <f t="shared" si="0"/>
        <v>7</v>
      </c>
      <c r="C12" s="39" t="s">
        <v>54</v>
      </c>
      <c r="D12" s="39"/>
      <c r="E12" s="39"/>
      <c r="F12" s="39"/>
      <c r="G12" s="32"/>
      <c r="H12" s="101">
        <v>7</v>
      </c>
      <c r="I12" s="102">
        <f t="shared" si="1"/>
        <v>12.825933764994346</v>
      </c>
      <c r="J12" s="101">
        <f t="shared" si="5"/>
        <v>1</v>
      </c>
      <c r="K12" s="101">
        <f t="shared" si="2"/>
        <v>10</v>
      </c>
      <c r="L12" s="101"/>
      <c r="M12" s="103">
        <f t="shared" si="3"/>
        <v>22.825933764994346</v>
      </c>
      <c r="Z12" s="108"/>
      <c r="AA12" s="108"/>
      <c r="AG12" s="109"/>
      <c r="AH12" s="91" t="s">
        <v>57</v>
      </c>
      <c r="AI12" s="91">
        <f>AI11-1</f>
        <v>49</v>
      </c>
    </row>
    <row r="13" spans="1:36" ht="14.45" customHeight="1" x14ac:dyDescent="0.25">
      <c r="A13" s="138">
        <f t="shared" si="4"/>
        <v>20.274991299184002</v>
      </c>
      <c r="B13" s="44">
        <f t="shared" si="0"/>
        <v>8</v>
      </c>
      <c r="C13" s="45" t="s">
        <v>54</v>
      </c>
      <c r="D13" s="45"/>
      <c r="E13" s="45"/>
      <c r="F13" s="45"/>
      <c r="G13" s="32"/>
      <c r="H13" s="104">
        <v>8</v>
      </c>
      <c r="I13" s="105">
        <f t="shared" si="1"/>
        <v>10.274991299184002</v>
      </c>
      <c r="J13" s="104">
        <f t="shared" si="5"/>
        <v>1</v>
      </c>
      <c r="K13" s="104">
        <f t="shared" si="2"/>
        <v>10</v>
      </c>
      <c r="L13" s="104"/>
      <c r="M13" s="106">
        <f t="shared" si="3"/>
        <v>20.274991299184002</v>
      </c>
      <c r="X13" s="107"/>
      <c r="AG13" s="109"/>
      <c r="AH13" s="91" t="s">
        <v>58</v>
      </c>
      <c r="AI13" s="91">
        <f>LOG(AI9)</f>
        <v>1.3617278360175928</v>
      </c>
    </row>
    <row r="14" spans="1:36" x14ac:dyDescent="0.25">
      <c r="A14" s="137">
        <f t="shared" si="4"/>
        <v>8.0249005789233223</v>
      </c>
      <c r="B14" s="38">
        <f t="shared" si="0"/>
        <v>9</v>
      </c>
      <c r="C14" s="39" t="s">
        <v>16</v>
      </c>
      <c r="D14" s="39"/>
      <c r="E14" s="39"/>
      <c r="F14" s="39"/>
      <c r="G14" s="32"/>
      <c r="H14" s="101">
        <v>9</v>
      </c>
      <c r="I14" s="102">
        <f t="shared" si="1"/>
        <v>8.0249005789233223</v>
      </c>
      <c r="J14" s="101">
        <f t="shared" si="5"/>
        <v>0</v>
      </c>
      <c r="K14" s="101">
        <f t="shared" si="2"/>
        <v>0</v>
      </c>
      <c r="L14" s="101"/>
      <c r="M14" s="103">
        <f t="shared" si="3"/>
        <v>8.0249005789233223</v>
      </c>
      <c r="X14" s="111"/>
      <c r="Z14" s="108"/>
      <c r="AA14" s="108"/>
      <c r="AG14" s="109"/>
      <c r="AH14" s="91" t="s">
        <v>59</v>
      </c>
      <c r="AI14" s="91">
        <f>LOG(AI10)</f>
        <v>1.6532125137753437</v>
      </c>
    </row>
    <row r="15" spans="1:36" x14ac:dyDescent="0.25">
      <c r="A15" s="138">
        <f t="shared" si="4"/>
        <v>6.0121258423714679</v>
      </c>
      <c r="B15" s="44">
        <f t="shared" si="0"/>
        <v>10</v>
      </c>
      <c r="C15" s="45" t="s">
        <v>54</v>
      </c>
      <c r="D15" s="45"/>
      <c r="E15" s="45"/>
      <c r="F15" s="45"/>
      <c r="G15" s="32"/>
      <c r="H15" s="104">
        <v>10</v>
      </c>
      <c r="I15" s="105">
        <f t="shared" si="1"/>
        <v>6.0121258423714679</v>
      </c>
      <c r="J15" s="104">
        <f t="shared" si="5"/>
        <v>0</v>
      </c>
      <c r="K15" s="104">
        <f t="shared" si="2"/>
        <v>0</v>
      </c>
      <c r="L15" s="104"/>
      <c r="M15" s="106">
        <f t="shared" si="3"/>
        <v>6.0121258423714679</v>
      </c>
      <c r="X15" s="107"/>
      <c r="Z15" s="108"/>
      <c r="AA15" s="108"/>
    </row>
    <row r="16" spans="1:36" x14ac:dyDescent="0.25">
      <c r="A16" s="137">
        <f t="shared" si="4"/>
        <v>4.1913496165851214</v>
      </c>
      <c r="B16" s="38">
        <f t="shared" si="0"/>
        <v>11</v>
      </c>
      <c r="C16" s="39" t="s">
        <v>54</v>
      </c>
      <c r="D16" s="39"/>
      <c r="E16" s="39"/>
      <c r="F16" s="39"/>
      <c r="G16" s="32"/>
      <c r="H16" s="101">
        <v>11</v>
      </c>
      <c r="I16" s="102">
        <f t="shared" si="1"/>
        <v>4.1913496165851214</v>
      </c>
      <c r="J16" s="101">
        <f t="shared" si="5"/>
        <v>0</v>
      </c>
      <c r="K16" s="101">
        <f t="shared" si="2"/>
        <v>0</v>
      </c>
      <c r="L16" s="101"/>
      <c r="M16" s="103">
        <f t="shared" si="3"/>
        <v>4.1913496165851214</v>
      </c>
      <c r="R16" s="112"/>
      <c r="Z16" s="108"/>
      <c r="AA16" s="108"/>
      <c r="AH16" s="113" t="s">
        <v>60</v>
      </c>
      <c r="AI16" s="91">
        <f>AI11-AI12*AI13/AI14</f>
        <v>9.6393909380186855</v>
      </c>
      <c r="AJ16" s="91" t="s">
        <v>61</v>
      </c>
    </row>
    <row r="17" spans="1:19" x14ac:dyDescent="0.25">
      <c r="A17" s="138">
        <f t="shared" si="4"/>
        <v>2.5291111555843244</v>
      </c>
      <c r="B17" s="44">
        <f t="shared" si="0"/>
        <v>12</v>
      </c>
      <c r="C17" s="45" t="s">
        <v>54</v>
      </c>
      <c r="D17" s="45"/>
      <c r="E17" s="45"/>
      <c r="F17" s="45"/>
      <c r="G17" s="32"/>
      <c r="H17" s="104">
        <v>12</v>
      </c>
      <c r="I17" s="105">
        <f t="shared" si="1"/>
        <v>2.5291111555843244</v>
      </c>
      <c r="J17" s="104">
        <f t="shared" si="5"/>
        <v>0</v>
      </c>
      <c r="K17" s="104">
        <f t="shared" si="2"/>
        <v>0</v>
      </c>
      <c r="L17" s="104"/>
      <c r="M17" s="106">
        <f t="shared" si="3"/>
        <v>2.5291111555843244</v>
      </c>
    </row>
    <row r="18" spans="1:19" x14ac:dyDescent="0.25">
      <c r="A18" s="137">
        <f t="shared" si="4"/>
        <v>1</v>
      </c>
      <c r="B18" s="38">
        <f t="shared" si="0"/>
        <v>13</v>
      </c>
      <c r="C18" s="39" t="s">
        <v>54</v>
      </c>
      <c r="D18" s="39"/>
      <c r="E18" s="39"/>
      <c r="F18" s="39"/>
      <c r="G18" s="32"/>
      <c r="H18" s="101">
        <v>13</v>
      </c>
      <c r="I18" s="102">
        <f t="shared" si="1"/>
        <v>1</v>
      </c>
      <c r="J18" s="101">
        <f t="shared" si="5"/>
        <v>0</v>
      </c>
      <c r="K18" s="101">
        <f t="shared" si="2"/>
        <v>0</v>
      </c>
      <c r="L18" s="101"/>
      <c r="M18" s="103">
        <f t="shared" si="3"/>
        <v>1</v>
      </c>
    </row>
    <row r="19" spans="1:19" x14ac:dyDescent="0.25">
      <c r="A19" s="138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4">
        <v>14</v>
      </c>
      <c r="I19" s="105" t="str">
        <f t="shared" si="1"/>
        <v/>
      </c>
      <c r="J19" s="104">
        <f t="shared" si="5"/>
        <v>0</v>
      </c>
      <c r="K19" s="104">
        <f t="shared" si="2"/>
        <v>0</v>
      </c>
      <c r="L19" s="104"/>
      <c r="M19" s="106">
        <f t="shared" si="3"/>
        <v>0</v>
      </c>
    </row>
    <row r="20" spans="1:19" x14ac:dyDescent="0.25">
      <c r="A20" s="137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1">
        <v>15</v>
      </c>
      <c r="I20" s="102" t="str">
        <f t="shared" si="1"/>
        <v/>
      </c>
      <c r="J20" s="101">
        <f t="shared" si="5"/>
        <v>0</v>
      </c>
      <c r="K20" s="101">
        <f t="shared" si="2"/>
        <v>0</v>
      </c>
      <c r="L20" s="101"/>
      <c r="M20" s="103">
        <f t="shared" si="3"/>
        <v>0</v>
      </c>
      <c r="R20" s="114"/>
      <c r="S20" s="115"/>
    </row>
    <row r="21" spans="1:19" x14ac:dyDescent="0.25">
      <c r="A21" s="138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4">
        <v>16</v>
      </c>
      <c r="I21" s="105" t="str">
        <f t="shared" si="1"/>
        <v/>
      </c>
      <c r="J21" s="104">
        <f t="shared" si="5"/>
        <v>0</v>
      </c>
      <c r="K21" s="104">
        <f t="shared" si="2"/>
        <v>0</v>
      </c>
      <c r="L21" s="104"/>
      <c r="M21" s="106">
        <f t="shared" si="3"/>
        <v>0</v>
      </c>
    </row>
    <row r="22" spans="1:19" x14ac:dyDescent="0.25">
      <c r="A22" s="137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1">
        <v>17</v>
      </c>
      <c r="I22" s="102" t="str">
        <f t="shared" si="1"/>
        <v/>
      </c>
      <c r="J22" s="101">
        <f t="shared" si="5"/>
        <v>-1</v>
      </c>
      <c r="K22" s="101">
        <f t="shared" si="2"/>
        <v>-10</v>
      </c>
      <c r="L22" s="101"/>
      <c r="M22" s="103">
        <f t="shared" si="3"/>
        <v>0</v>
      </c>
    </row>
    <row r="23" spans="1:19" x14ac:dyDescent="0.25">
      <c r="A23" s="138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4">
        <v>18</v>
      </c>
      <c r="I23" s="105" t="str">
        <f t="shared" si="1"/>
        <v/>
      </c>
      <c r="J23" s="104">
        <f t="shared" si="5"/>
        <v>-1</v>
      </c>
      <c r="K23" s="104">
        <f t="shared" si="2"/>
        <v>-10</v>
      </c>
      <c r="L23" s="104"/>
      <c r="M23" s="106">
        <f t="shared" si="3"/>
        <v>0</v>
      </c>
    </row>
    <row r="24" spans="1:19" x14ac:dyDescent="0.25">
      <c r="A24" s="137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1">
        <f t="shared" si="5"/>
        <v>-1</v>
      </c>
      <c r="K24" s="101">
        <f t="shared" si="2"/>
        <v>-10</v>
      </c>
      <c r="L24" s="101"/>
      <c r="M24" s="103">
        <f t="shared" si="3"/>
        <v>0</v>
      </c>
      <c r="R24" s="114"/>
      <c r="S24" s="115"/>
    </row>
    <row r="25" spans="1:19" x14ac:dyDescent="0.25">
      <c r="A25" s="138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4">
        <v>20</v>
      </c>
      <c r="I25" s="105" t="str">
        <f t="shared" si="1"/>
        <v/>
      </c>
      <c r="J25" s="104">
        <f t="shared" si="5"/>
        <v>-1</v>
      </c>
      <c r="K25" s="104">
        <f t="shared" si="2"/>
        <v>-10</v>
      </c>
      <c r="L25" s="104"/>
      <c r="M25" s="106">
        <f t="shared" si="3"/>
        <v>0</v>
      </c>
    </row>
    <row r="26" spans="1:19" x14ac:dyDescent="0.25">
      <c r="A26" s="137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1">
        <f t="shared" si="5"/>
        <v>-1</v>
      </c>
      <c r="K26" s="101">
        <f t="shared" si="2"/>
        <v>-10</v>
      </c>
      <c r="L26" s="101"/>
      <c r="M26" s="103">
        <f t="shared" si="3"/>
        <v>0</v>
      </c>
    </row>
    <row r="27" spans="1:19" x14ac:dyDescent="0.25">
      <c r="A27" s="138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4">
        <v>22</v>
      </c>
      <c r="I27" s="105" t="str">
        <f t="shared" si="1"/>
        <v/>
      </c>
      <c r="J27" s="104">
        <f t="shared" si="5"/>
        <v>-1</v>
      </c>
      <c r="K27" s="104">
        <f t="shared" si="2"/>
        <v>-10</v>
      </c>
      <c r="L27" s="104"/>
      <c r="M27" s="106">
        <f t="shared" si="3"/>
        <v>0</v>
      </c>
    </row>
    <row r="28" spans="1:19" x14ac:dyDescent="0.25">
      <c r="A28" s="137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1">
        <f t="shared" si="5"/>
        <v>-1</v>
      </c>
      <c r="K28" s="101">
        <f t="shared" si="2"/>
        <v>-10</v>
      </c>
      <c r="L28" s="101"/>
      <c r="M28" s="103">
        <f t="shared" si="3"/>
        <v>0</v>
      </c>
      <c r="R28" s="114"/>
      <c r="S28" s="115"/>
    </row>
    <row r="29" spans="1:19" x14ac:dyDescent="0.25">
      <c r="A29" s="138">
        <f t="shared" si="4"/>
        <v>0</v>
      </c>
      <c r="B29" s="44" t="str">
        <f t="shared" si="0"/>
        <v/>
      </c>
      <c r="C29" s="45"/>
      <c r="D29" s="45"/>
      <c r="E29" s="45"/>
      <c r="F29" s="45"/>
      <c r="G29" s="84"/>
      <c r="H29" s="104">
        <v>24</v>
      </c>
      <c r="I29" s="105" t="str">
        <f t="shared" si="1"/>
        <v/>
      </c>
      <c r="J29" s="104">
        <f t="shared" si="5"/>
        <v>-1</v>
      </c>
      <c r="K29" s="104">
        <f t="shared" si="2"/>
        <v>-10</v>
      </c>
      <c r="L29" s="104"/>
      <c r="M29" s="106">
        <f t="shared" si="3"/>
        <v>0</v>
      </c>
    </row>
    <row r="30" spans="1:19" x14ac:dyDescent="0.25">
      <c r="A30" s="137">
        <f t="shared" si="4"/>
        <v>0</v>
      </c>
      <c r="B30" s="38" t="str">
        <f t="shared" si="0"/>
        <v/>
      </c>
      <c r="C30" s="39"/>
      <c r="D30" s="39"/>
      <c r="E30" s="39"/>
      <c r="F30" s="39"/>
      <c r="G30" s="84"/>
      <c r="H30" s="101">
        <v>25</v>
      </c>
      <c r="I30" s="102" t="str">
        <f t="shared" si="1"/>
        <v/>
      </c>
      <c r="J30" s="101">
        <f t="shared" si="5"/>
        <v>-1</v>
      </c>
      <c r="K30" s="101">
        <f t="shared" si="2"/>
        <v>-10</v>
      </c>
      <c r="L30" s="101"/>
      <c r="M30" s="103">
        <f t="shared" si="3"/>
        <v>0</v>
      </c>
    </row>
    <row r="31" spans="1:19" x14ac:dyDescent="0.25">
      <c r="A31" s="138">
        <f t="shared" si="4"/>
        <v>0</v>
      </c>
      <c r="B31" s="44" t="str">
        <f t="shared" si="0"/>
        <v/>
      </c>
      <c r="C31" s="45"/>
      <c r="D31" s="45"/>
      <c r="E31" s="45"/>
      <c r="F31" s="45"/>
      <c r="G31" s="84"/>
      <c r="H31" s="104">
        <v>26</v>
      </c>
      <c r="I31" s="105" t="str">
        <f t="shared" si="1"/>
        <v/>
      </c>
      <c r="J31" s="104">
        <f t="shared" si="5"/>
        <v>-1</v>
      </c>
      <c r="K31" s="104">
        <f t="shared" si="2"/>
        <v>-10</v>
      </c>
      <c r="L31" s="104"/>
      <c r="M31" s="106">
        <f t="shared" si="3"/>
        <v>0</v>
      </c>
    </row>
    <row r="32" spans="1:19" x14ac:dyDescent="0.25">
      <c r="A32" s="137">
        <f t="shared" si="4"/>
        <v>0</v>
      </c>
      <c r="B32" s="38" t="str">
        <f t="shared" si="0"/>
        <v/>
      </c>
      <c r="C32" s="39"/>
      <c r="D32" s="39"/>
      <c r="E32" s="39"/>
      <c r="F32" s="39"/>
      <c r="G32" s="84"/>
      <c r="H32" s="101">
        <v>27</v>
      </c>
      <c r="I32" s="102" t="str">
        <f t="shared" si="1"/>
        <v/>
      </c>
      <c r="J32" s="101">
        <f t="shared" si="5"/>
        <v>-1</v>
      </c>
      <c r="K32" s="101">
        <f t="shared" si="2"/>
        <v>-10</v>
      </c>
      <c r="L32" s="101"/>
      <c r="M32" s="103">
        <f t="shared" si="3"/>
        <v>0</v>
      </c>
      <c r="R32" s="114"/>
      <c r="S32" s="115"/>
    </row>
    <row r="33" spans="1:21" x14ac:dyDescent="0.25">
      <c r="A33" s="138">
        <f t="shared" si="4"/>
        <v>0</v>
      </c>
      <c r="B33" s="44" t="str">
        <f t="shared" si="0"/>
        <v/>
      </c>
      <c r="C33" s="45"/>
      <c r="D33" s="45"/>
      <c r="E33" s="45"/>
      <c r="F33" s="45"/>
      <c r="G33" s="84"/>
      <c r="H33" s="104">
        <v>28</v>
      </c>
      <c r="I33" s="105" t="str">
        <f t="shared" si="1"/>
        <v/>
      </c>
      <c r="J33" s="104">
        <f t="shared" si="5"/>
        <v>-1</v>
      </c>
      <c r="K33" s="104">
        <f t="shared" si="2"/>
        <v>-10</v>
      </c>
      <c r="L33" s="104"/>
      <c r="M33" s="106">
        <f t="shared" si="3"/>
        <v>0</v>
      </c>
    </row>
    <row r="34" spans="1:21" x14ac:dyDescent="0.25">
      <c r="A34" s="137">
        <f t="shared" si="4"/>
        <v>0</v>
      </c>
      <c r="B34" s="38" t="str">
        <f t="shared" si="0"/>
        <v/>
      </c>
      <c r="C34" s="39"/>
      <c r="D34" s="39"/>
      <c r="E34" s="39"/>
      <c r="F34" s="39"/>
      <c r="G34" s="84"/>
      <c r="H34" s="101">
        <v>29</v>
      </c>
      <c r="I34" s="102" t="str">
        <f t="shared" si="1"/>
        <v/>
      </c>
      <c r="J34" s="101">
        <f t="shared" si="5"/>
        <v>-1</v>
      </c>
      <c r="K34" s="101">
        <f t="shared" si="2"/>
        <v>-10</v>
      </c>
      <c r="L34" s="101"/>
      <c r="M34" s="103">
        <f t="shared" si="3"/>
        <v>0</v>
      </c>
    </row>
    <row r="35" spans="1:21" x14ac:dyDescent="0.25">
      <c r="A35" s="138">
        <f t="shared" si="4"/>
        <v>0</v>
      </c>
      <c r="B35" s="44" t="str">
        <f t="shared" si="0"/>
        <v/>
      </c>
      <c r="C35" s="45"/>
      <c r="D35" s="45"/>
      <c r="E35" s="45"/>
      <c r="F35" s="45"/>
      <c r="G35" s="84"/>
      <c r="H35" s="104">
        <v>30</v>
      </c>
      <c r="I35" s="105" t="str">
        <f t="shared" si="1"/>
        <v/>
      </c>
      <c r="J35" s="104">
        <f t="shared" si="5"/>
        <v>-1</v>
      </c>
      <c r="K35" s="104">
        <f t="shared" si="2"/>
        <v>-10</v>
      </c>
      <c r="L35" s="104"/>
      <c r="M35" s="106">
        <f t="shared" si="3"/>
        <v>0</v>
      </c>
    </row>
    <row r="36" spans="1:21" x14ac:dyDescent="0.25">
      <c r="A36" s="137">
        <f t="shared" si="4"/>
        <v>0</v>
      </c>
      <c r="B36" s="38" t="str">
        <f t="shared" si="0"/>
        <v/>
      </c>
      <c r="C36" s="39"/>
      <c r="D36" s="39"/>
      <c r="E36" s="39"/>
      <c r="F36" s="39"/>
      <c r="G36" s="84"/>
      <c r="H36" s="101">
        <v>31</v>
      </c>
      <c r="I36" s="102" t="str">
        <f t="shared" si="1"/>
        <v/>
      </c>
      <c r="J36" s="101">
        <f t="shared" si="5"/>
        <v>-1</v>
      </c>
      <c r="K36" s="101">
        <f t="shared" si="2"/>
        <v>-10</v>
      </c>
      <c r="L36" s="101"/>
      <c r="M36" s="103">
        <f t="shared" si="3"/>
        <v>0</v>
      </c>
      <c r="R36" s="114"/>
      <c r="S36" s="115"/>
    </row>
    <row r="37" spans="1:21" x14ac:dyDescent="0.25">
      <c r="A37" s="138">
        <f t="shared" si="4"/>
        <v>0</v>
      </c>
      <c r="B37" s="44" t="str">
        <f t="shared" si="0"/>
        <v/>
      </c>
      <c r="C37" s="45"/>
      <c r="D37" s="45"/>
      <c r="E37" s="45"/>
      <c r="F37" s="45"/>
      <c r="G37" s="84"/>
      <c r="H37" s="104">
        <v>32</v>
      </c>
      <c r="I37" s="105" t="str">
        <f t="shared" si="1"/>
        <v/>
      </c>
      <c r="J37" s="104">
        <f t="shared" si="5"/>
        <v>-1</v>
      </c>
      <c r="K37" s="104">
        <f t="shared" si="2"/>
        <v>-10</v>
      </c>
      <c r="L37" s="104"/>
      <c r="M37" s="106">
        <f t="shared" si="3"/>
        <v>0</v>
      </c>
    </row>
    <row r="38" spans="1:21" x14ac:dyDescent="0.25">
      <c r="A38" s="137"/>
      <c r="B38" s="38" t="str">
        <f t="shared" si="0"/>
        <v/>
      </c>
      <c r="C38" s="39"/>
      <c r="D38" s="39"/>
      <c r="E38" s="39"/>
      <c r="F38" s="39"/>
      <c r="G38" s="84"/>
      <c r="H38" s="101">
        <v>33</v>
      </c>
      <c r="I38" s="102" t="str">
        <f t="shared" si="1"/>
        <v/>
      </c>
      <c r="J38" s="101">
        <f t="shared" si="5"/>
        <v>-2</v>
      </c>
      <c r="K38" s="101">
        <f t="shared" si="2"/>
        <v>-20</v>
      </c>
      <c r="L38" s="101"/>
      <c r="M38" s="103">
        <f t="shared" si="3"/>
        <v>0</v>
      </c>
    </row>
    <row r="39" spans="1:21" x14ac:dyDescent="0.25">
      <c r="A39" s="138"/>
      <c r="B39" s="44" t="str">
        <f t="shared" si="0"/>
        <v/>
      </c>
      <c r="C39" s="45"/>
      <c r="D39" s="45"/>
      <c r="E39" s="45"/>
      <c r="F39" s="45"/>
      <c r="G39" s="84"/>
      <c r="H39" s="104">
        <v>34</v>
      </c>
      <c r="I39" s="105" t="str">
        <f t="shared" si="1"/>
        <v/>
      </c>
      <c r="J39" s="104">
        <f t="shared" si="5"/>
        <v>-2</v>
      </c>
      <c r="K39" s="104">
        <f t="shared" si="2"/>
        <v>-20</v>
      </c>
      <c r="L39" s="104"/>
      <c r="M39" s="106">
        <f t="shared" si="3"/>
        <v>0</v>
      </c>
    </row>
    <row r="40" spans="1:21" x14ac:dyDescent="0.25">
      <c r="A40" s="137"/>
      <c r="B40" s="38" t="str">
        <f t="shared" si="0"/>
        <v/>
      </c>
      <c r="C40" s="39"/>
      <c r="D40" s="39"/>
      <c r="E40" s="39"/>
      <c r="F40" s="39"/>
      <c r="G40" s="84"/>
      <c r="H40" s="101">
        <v>35</v>
      </c>
      <c r="I40" s="102" t="str">
        <f t="shared" si="1"/>
        <v/>
      </c>
      <c r="J40" s="101">
        <f t="shared" si="5"/>
        <v>-2</v>
      </c>
      <c r="K40" s="101">
        <f t="shared" si="2"/>
        <v>-20</v>
      </c>
      <c r="L40" s="101"/>
      <c r="M40" s="103">
        <f t="shared" si="3"/>
        <v>0</v>
      </c>
    </row>
    <row r="41" spans="1:21" x14ac:dyDescent="0.25">
      <c r="A41" s="138"/>
      <c r="B41" s="44" t="str">
        <f t="shared" si="0"/>
        <v/>
      </c>
      <c r="C41" s="45"/>
      <c r="D41" s="45"/>
      <c r="E41" s="45"/>
      <c r="F41" s="45"/>
      <c r="G41" s="84"/>
      <c r="H41" s="104">
        <v>36</v>
      </c>
      <c r="I41" s="105" t="str">
        <f t="shared" si="1"/>
        <v/>
      </c>
      <c r="J41" s="104">
        <f t="shared" si="5"/>
        <v>-2</v>
      </c>
      <c r="K41" s="104">
        <f t="shared" si="2"/>
        <v>-20</v>
      </c>
      <c r="L41" s="104"/>
      <c r="M41" s="106">
        <f t="shared" si="3"/>
        <v>0</v>
      </c>
      <c r="S41" s="116"/>
    </row>
    <row r="42" spans="1:21" x14ac:dyDescent="0.25">
      <c r="A42" s="137"/>
      <c r="B42" s="38" t="str">
        <f t="shared" si="0"/>
        <v/>
      </c>
      <c r="C42" s="39"/>
      <c r="D42" s="39"/>
      <c r="E42" s="39"/>
      <c r="F42" s="39"/>
      <c r="G42" s="84"/>
      <c r="H42" s="101">
        <v>37</v>
      </c>
      <c r="I42" s="102" t="str">
        <f t="shared" si="1"/>
        <v/>
      </c>
      <c r="J42" s="101">
        <f t="shared" si="5"/>
        <v>-2</v>
      </c>
      <c r="K42" s="101">
        <f t="shared" si="2"/>
        <v>-20</v>
      </c>
      <c r="L42" s="101"/>
      <c r="M42" s="103">
        <f t="shared" si="3"/>
        <v>0</v>
      </c>
    </row>
    <row r="43" spans="1:21" x14ac:dyDescent="0.25">
      <c r="A43" s="138"/>
      <c r="B43" s="44" t="str">
        <f t="shared" si="0"/>
        <v/>
      </c>
      <c r="C43" s="45"/>
      <c r="D43" s="45"/>
      <c r="E43" s="45"/>
      <c r="F43" s="45"/>
      <c r="G43" s="84"/>
      <c r="H43" s="104">
        <v>38</v>
      </c>
      <c r="I43" s="105" t="str">
        <f t="shared" si="1"/>
        <v/>
      </c>
      <c r="J43" s="104">
        <f t="shared" si="5"/>
        <v>-2</v>
      </c>
      <c r="K43" s="104">
        <f t="shared" si="2"/>
        <v>-20</v>
      </c>
      <c r="L43" s="104"/>
      <c r="M43" s="106">
        <f t="shared" si="3"/>
        <v>0</v>
      </c>
    </row>
    <row r="44" spans="1:21" x14ac:dyDescent="0.25">
      <c r="A44" s="137"/>
      <c r="B44" s="38" t="str">
        <f t="shared" si="0"/>
        <v/>
      </c>
      <c r="C44" s="39"/>
      <c r="D44" s="39"/>
      <c r="E44" s="39"/>
      <c r="F44" s="39"/>
      <c r="G44" s="84"/>
      <c r="H44" s="101">
        <v>39</v>
      </c>
      <c r="I44" s="102" t="str">
        <f t="shared" si="1"/>
        <v/>
      </c>
      <c r="J44" s="101">
        <f t="shared" si="5"/>
        <v>-2</v>
      </c>
      <c r="K44" s="101">
        <f t="shared" si="2"/>
        <v>-20</v>
      </c>
      <c r="L44" s="101"/>
      <c r="M44" s="103">
        <f t="shared" si="3"/>
        <v>0</v>
      </c>
    </row>
    <row r="45" spans="1:21" x14ac:dyDescent="0.25">
      <c r="A45" s="138"/>
      <c r="B45" s="44" t="str">
        <f t="shared" si="0"/>
        <v/>
      </c>
      <c r="C45" s="45"/>
      <c r="D45" s="45"/>
      <c r="E45" s="45"/>
      <c r="F45" s="45"/>
      <c r="G45" s="84"/>
      <c r="H45" s="104">
        <v>40</v>
      </c>
      <c r="I45" s="105" t="str">
        <f t="shared" si="1"/>
        <v/>
      </c>
      <c r="J45" s="104">
        <f t="shared" si="5"/>
        <v>-2</v>
      </c>
      <c r="K45" s="104">
        <f t="shared" si="2"/>
        <v>-20</v>
      </c>
      <c r="L45" s="104"/>
      <c r="M45" s="106">
        <f t="shared" si="3"/>
        <v>0</v>
      </c>
    </row>
    <row r="46" spans="1:21" x14ac:dyDescent="0.25">
      <c r="A46" s="137"/>
      <c r="B46" s="38" t="str">
        <f t="shared" si="0"/>
        <v/>
      </c>
      <c r="C46" s="39"/>
      <c r="D46" s="39"/>
      <c r="E46" s="39"/>
      <c r="F46" s="39"/>
      <c r="G46" s="84"/>
      <c r="H46" s="101">
        <v>41</v>
      </c>
      <c r="I46" s="102" t="str">
        <f t="shared" si="1"/>
        <v/>
      </c>
      <c r="J46" s="101">
        <f t="shared" si="5"/>
        <v>-2</v>
      </c>
      <c r="K46" s="101">
        <f t="shared" si="2"/>
        <v>-20</v>
      </c>
      <c r="L46" s="101"/>
      <c r="M46" s="103">
        <f t="shared" si="3"/>
        <v>0</v>
      </c>
      <c r="R46" s="84">
        <f>LOG($H$2,2)</f>
        <v>3.7004397181410922</v>
      </c>
      <c r="T46" s="91">
        <f>LOG(H38,2)</f>
        <v>5.0443941193584534</v>
      </c>
      <c r="U46" s="91">
        <f>R46-T46</f>
        <v>-1.3439544012173612</v>
      </c>
    </row>
    <row r="47" spans="1:21" x14ac:dyDescent="0.25">
      <c r="A47" s="138"/>
      <c r="B47" s="44" t="str">
        <f t="shared" si="0"/>
        <v/>
      </c>
      <c r="C47" s="45"/>
      <c r="D47" s="45"/>
      <c r="E47" s="45"/>
      <c r="F47" s="45"/>
      <c r="G47" s="84"/>
      <c r="H47" s="104">
        <v>42</v>
      </c>
      <c r="I47" s="105" t="str">
        <f t="shared" si="1"/>
        <v/>
      </c>
      <c r="J47" s="104">
        <f t="shared" si="5"/>
        <v>-2</v>
      </c>
      <c r="K47" s="104">
        <f t="shared" si="2"/>
        <v>-20</v>
      </c>
      <c r="L47" s="104"/>
      <c r="M47" s="106">
        <f t="shared" si="3"/>
        <v>0</v>
      </c>
    </row>
    <row r="48" spans="1:21" x14ac:dyDescent="0.25">
      <c r="A48" s="137"/>
      <c r="B48" s="38" t="str">
        <f t="shared" si="0"/>
        <v/>
      </c>
      <c r="C48" s="39"/>
      <c r="D48" s="39"/>
      <c r="E48" s="39"/>
      <c r="F48" s="39"/>
      <c r="G48" s="84"/>
      <c r="H48" s="101">
        <v>43</v>
      </c>
      <c r="I48" s="102" t="str">
        <f t="shared" si="1"/>
        <v/>
      </c>
      <c r="J48" s="101">
        <f t="shared" si="5"/>
        <v>-2</v>
      </c>
      <c r="K48" s="101">
        <f t="shared" si="2"/>
        <v>-20</v>
      </c>
      <c r="L48" s="101"/>
      <c r="M48" s="103">
        <f t="shared" si="3"/>
        <v>0</v>
      </c>
    </row>
    <row r="49" spans="1:13" x14ac:dyDescent="0.25">
      <c r="A49" s="138"/>
      <c r="B49" s="44" t="str">
        <f t="shared" si="0"/>
        <v/>
      </c>
      <c r="C49" s="45"/>
      <c r="D49" s="45"/>
      <c r="E49" s="45"/>
      <c r="F49" s="45"/>
      <c r="G49" s="84"/>
      <c r="H49" s="104">
        <v>44</v>
      </c>
      <c r="I49" s="105" t="str">
        <f t="shared" si="1"/>
        <v/>
      </c>
      <c r="J49" s="104">
        <f t="shared" si="5"/>
        <v>-2</v>
      </c>
      <c r="K49" s="104">
        <f t="shared" si="2"/>
        <v>-20</v>
      </c>
      <c r="L49" s="104"/>
      <c r="M49" s="106">
        <f t="shared" si="3"/>
        <v>0</v>
      </c>
    </row>
    <row r="50" spans="1:13" x14ac:dyDescent="0.25">
      <c r="A50" s="137"/>
      <c r="B50" s="38" t="str">
        <f t="shared" si="0"/>
        <v/>
      </c>
      <c r="C50" s="39"/>
      <c r="D50" s="39"/>
      <c r="E50" s="39"/>
      <c r="F50" s="39"/>
      <c r="G50" s="84"/>
      <c r="H50" s="101">
        <v>45</v>
      </c>
      <c r="I50" s="102" t="str">
        <f t="shared" si="1"/>
        <v/>
      </c>
      <c r="J50" s="101">
        <f t="shared" si="5"/>
        <v>-2</v>
      </c>
      <c r="K50" s="101">
        <f t="shared" si="2"/>
        <v>-20</v>
      </c>
      <c r="L50" s="101"/>
      <c r="M50" s="103">
        <f t="shared" si="3"/>
        <v>0</v>
      </c>
    </row>
    <row r="51" spans="1:13" x14ac:dyDescent="0.25">
      <c r="A51" s="138"/>
      <c r="B51" s="44" t="str">
        <f t="shared" si="0"/>
        <v/>
      </c>
      <c r="C51" s="45"/>
      <c r="D51" s="45"/>
      <c r="E51" s="45"/>
      <c r="F51" s="45"/>
      <c r="G51" s="84"/>
      <c r="H51" s="104">
        <v>46</v>
      </c>
      <c r="I51" s="105" t="str">
        <f t="shared" si="1"/>
        <v/>
      </c>
      <c r="J51" s="104">
        <f t="shared" si="5"/>
        <v>-2</v>
      </c>
      <c r="K51" s="104">
        <f t="shared" si="2"/>
        <v>-20</v>
      </c>
      <c r="L51" s="104"/>
      <c r="M51" s="106">
        <f t="shared" si="3"/>
        <v>0</v>
      </c>
    </row>
    <row r="52" spans="1:13" x14ac:dyDescent="0.25">
      <c r="A52" s="137"/>
      <c r="B52" s="38" t="str">
        <f t="shared" si="0"/>
        <v/>
      </c>
      <c r="C52" s="39"/>
      <c r="D52" s="39"/>
      <c r="E52" s="39"/>
      <c r="F52" s="39"/>
      <c r="G52" s="84"/>
      <c r="H52" s="101">
        <v>47</v>
      </c>
      <c r="I52" s="102" t="str">
        <f t="shared" si="1"/>
        <v/>
      </c>
      <c r="J52" s="101">
        <f t="shared" si="5"/>
        <v>-2</v>
      </c>
      <c r="K52" s="101">
        <f t="shared" si="2"/>
        <v>-20</v>
      </c>
      <c r="L52" s="101"/>
      <c r="M52" s="103">
        <f t="shared" si="3"/>
        <v>0</v>
      </c>
    </row>
    <row r="53" spans="1:13" x14ac:dyDescent="0.25">
      <c r="A53" s="138"/>
      <c r="B53" s="44" t="str">
        <f t="shared" si="0"/>
        <v/>
      </c>
      <c r="C53" s="45"/>
      <c r="D53" s="45"/>
      <c r="E53" s="45"/>
      <c r="F53" s="45"/>
      <c r="G53" s="84"/>
      <c r="H53" s="104">
        <v>48</v>
      </c>
      <c r="I53" s="105" t="str">
        <f t="shared" si="1"/>
        <v/>
      </c>
      <c r="J53" s="104">
        <f t="shared" si="5"/>
        <v>-2</v>
      </c>
      <c r="K53" s="104">
        <f t="shared" si="2"/>
        <v>-20</v>
      </c>
      <c r="L53" s="104"/>
      <c r="M53" s="106">
        <f t="shared" si="3"/>
        <v>0</v>
      </c>
    </row>
    <row r="54" spans="1:13" x14ac:dyDescent="0.25">
      <c r="A54" s="137"/>
      <c r="B54" s="38" t="str">
        <f t="shared" si="0"/>
        <v/>
      </c>
      <c r="C54" s="39"/>
      <c r="D54" s="39"/>
      <c r="E54" s="39"/>
      <c r="F54" s="39"/>
      <c r="G54" s="84"/>
      <c r="H54" s="101">
        <v>49</v>
      </c>
      <c r="I54" s="102" t="str">
        <f t="shared" si="1"/>
        <v/>
      </c>
      <c r="J54" s="101">
        <f t="shared" si="5"/>
        <v>-2</v>
      </c>
      <c r="K54" s="101">
        <f t="shared" si="2"/>
        <v>-20</v>
      </c>
      <c r="L54" s="101"/>
      <c r="M54" s="103">
        <f t="shared" si="3"/>
        <v>0</v>
      </c>
    </row>
    <row r="55" spans="1:13" x14ac:dyDescent="0.25">
      <c r="A55" s="138"/>
      <c r="B55" s="44" t="str">
        <f t="shared" si="0"/>
        <v/>
      </c>
      <c r="C55" s="45"/>
      <c r="D55" s="45"/>
      <c r="E55" s="45"/>
      <c r="F55" s="45"/>
      <c r="G55" s="84"/>
      <c r="H55" s="104">
        <v>50</v>
      </c>
      <c r="I55" s="105" t="str">
        <f t="shared" si="1"/>
        <v/>
      </c>
      <c r="J55" s="104">
        <f t="shared" si="5"/>
        <v>-2</v>
      </c>
      <c r="K55" s="104">
        <f t="shared" si="2"/>
        <v>-20</v>
      </c>
      <c r="L55" s="104"/>
      <c r="M55" s="106">
        <f t="shared" si="3"/>
        <v>0</v>
      </c>
    </row>
    <row r="56" spans="1:13" x14ac:dyDescent="0.25">
      <c r="A56" s="137"/>
      <c r="B56" s="38" t="str">
        <f t="shared" si="0"/>
        <v/>
      </c>
      <c r="C56" s="39"/>
      <c r="D56" s="39"/>
      <c r="E56" s="39"/>
      <c r="F56" s="39"/>
      <c r="G56" s="84"/>
      <c r="H56" s="101">
        <v>51</v>
      </c>
      <c r="I56" s="102" t="str">
        <f t="shared" si="1"/>
        <v/>
      </c>
      <c r="J56" s="101">
        <f t="shared" si="5"/>
        <v>-2</v>
      </c>
      <c r="K56" s="101">
        <f t="shared" si="2"/>
        <v>-20</v>
      </c>
      <c r="L56" s="101"/>
      <c r="M56" s="103">
        <f t="shared" si="3"/>
        <v>0</v>
      </c>
    </row>
    <row r="57" spans="1:13" x14ac:dyDescent="0.25">
      <c r="A57" s="138"/>
      <c r="B57" s="44" t="str">
        <f t="shared" si="0"/>
        <v/>
      </c>
      <c r="C57" s="45"/>
      <c r="D57" s="45"/>
      <c r="E57" s="45"/>
      <c r="F57" s="45"/>
      <c r="G57" s="84"/>
      <c r="H57" s="104">
        <v>52</v>
      </c>
      <c r="I57" s="105" t="str">
        <f t="shared" si="1"/>
        <v/>
      </c>
      <c r="J57" s="104">
        <f t="shared" si="5"/>
        <v>-2</v>
      </c>
      <c r="K57" s="104">
        <f t="shared" si="2"/>
        <v>-20</v>
      </c>
      <c r="L57" s="104"/>
      <c r="M57" s="106">
        <f t="shared" si="3"/>
        <v>0</v>
      </c>
    </row>
    <row r="58" spans="1:13" x14ac:dyDescent="0.25">
      <c r="A58" s="137"/>
      <c r="B58" s="38" t="str">
        <f t="shared" si="0"/>
        <v/>
      </c>
      <c r="C58" s="39"/>
      <c r="D58" s="39"/>
      <c r="E58" s="39"/>
      <c r="F58" s="39"/>
      <c r="G58" s="84"/>
      <c r="H58" s="101">
        <v>53</v>
      </c>
      <c r="I58" s="102" t="str">
        <f t="shared" si="1"/>
        <v/>
      </c>
      <c r="J58" s="101">
        <f t="shared" si="5"/>
        <v>-2</v>
      </c>
      <c r="K58" s="101">
        <f t="shared" si="2"/>
        <v>-20</v>
      </c>
      <c r="L58" s="101"/>
      <c r="M58" s="103">
        <f t="shared" si="3"/>
        <v>0</v>
      </c>
    </row>
    <row r="59" spans="1:13" x14ac:dyDescent="0.25">
      <c r="A59" s="138"/>
      <c r="B59" s="44" t="str">
        <f t="shared" si="0"/>
        <v/>
      </c>
      <c r="C59" s="45"/>
      <c r="D59" s="45"/>
      <c r="E59" s="45"/>
      <c r="F59" s="45"/>
      <c r="G59" s="84"/>
      <c r="H59" s="104">
        <v>54</v>
      </c>
      <c r="I59" s="105" t="str">
        <f t="shared" si="1"/>
        <v/>
      </c>
      <c r="J59" s="104">
        <f t="shared" si="5"/>
        <v>-2</v>
      </c>
      <c r="K59" s="104">
        <f t="shared" si="2"/>
        <v>-20</v>
      </c>
      <c r="L59" s="104"/>
      <c r="M59" s="106">
        <f t="shared" si="3"/>
        <v>0</v>
      </c>
    </row>
    <row r="60" spans="1:13" x14ac:dyDescent="0.25">
      <c r="A60" s="137"/>
      <c r="B60" s="38" t="str">
        <f t="shared" si="0"/>
        <v/>
      </c>
      <c r="C60" s="39"/>
      <c r="D60" s="39"/>
      <c r="E60" s="39"/>
      <c r="F60" s="39"/>
      <c r="G60" s="84"/>
      <c r="H60" s="101">
        <v>55</v>
      </c>
      <c r="I60" s="102" t="str">
        <f t="shared" si="1"/>
        <v/>
      </c>
      <c r="J60" s="101">
        <f t="shared" si="5"/>
        <v>-2</v>
      </c>
      <c r="K60" s="101">
        <f t="shared" si="2"/>
        <v>-20</v>
      </c>
      <c r="L60" s="101"/>
      <c r="M60" s="103">
        <f t="shared" si="3"/>
        <v>0</v>
      </c>
    </row>
    <row r="61" spans="1:13" x14ac:dyDescent="0.25">
      <c r="A61" s="138"/>
      <c r="B61" s="44" t="str">
        <f t="shared" si="0"/>
        <v/>
      </c>
      <c r="C61" s="45"/>
      <c r="D61" s="45"/>
      <c r="E61" s="45"/>
      <c r="F61" s="45"/>
      <c r="G61" s="84"/>
      <c r="H61" s="104">
        <v>56</v>
      </c>
      <c r="I61" s="105" t="str">
        <f t="shared" si="1"/>
        <v/>
      </c>
      <c r="J61" s="104">
        <f t="shared" si="5"/>
        <v>-2</v>
      </c>
      <c r="K61" s="104">
        <f t="shared" si="2"/>
        <v>-20</v>
      </c>
      <c r="L61" s="104"/>
      <c r="M61" s="106">
        <f t="shared" si="3"/>
        <v>0</v>
      </c>
    </row>
    <row r="62" spans="1:13" x14ac:dyDescent="0.25">
      <c r="A62" s="137"/>
      <c r="B62" s="38" t="str">
        <f t="shared" si="0"/>
        <v/>
      </c>
      <c r="C62" s="39"/>
      <c r="D62" s="39"/>
      <c r="E62" s="39"/>
      <c r="F62" s="39"/>
      <c r="G62" s="84"/>
      <c r="H62" s="101">
        <v>57</v>
      </c>
      <c r="I62" s="102" t="str">
        <f t="shared" si="1"/>
        <v/>
      </c>
      <c r="J62" s="101">
        <f t="shared" si="5"/>
        <v>-2</v>
      </c>
      <c r="K62" s="101">
        <f t="shared" si="2"/>
        <v>-20</v>
      </c>
      <c r="L62" s="101"/>
      <c r="M62" s="103">
        <f t="shared" si="3"/>
        <v>0</v>
      </c>
    </row>
    <row r="63" spans="1:13" x14ac:dyDescent="0.25">
      <c r="A63" s="138"/>
      <c r="B63" s="44" t="str">
        <f t="shared" si="0"/>
        <v/>
      </c>
      <c r="C63" s="45"/>
      <c r="D63" s="45"/>
      <c r="E63" s="45"/>
      <c r="F63" s="45"/>
      <c r="G63" s="84"/>
      <c r="H63" s="104">
        <v>58</v>
      </c>
      <c r="I63" s="105" t="str">
        <f t="shared" si="1"/>
        <v/>
      </c>
      <c r="J63" s="104">
        <f t="shared" si="5"/>
        <v>-2</v>
      </c>
      <c r="K63" s="104">
        <f t="shared" si="2"/>
        <v>-20</v>
      </c>
      <c r="L63" s="104"/>
      <c r="M63" s="106">
        <f t="shared" si="3"/>
        <v>0</v>
      </c>
    </row>
    <row r="64" spans="1:13" x14ac:dyDescent="0.25">
      <c r="A64" s="137"/>
      <c r="B64" s="38" t="str">
        <f t="shared" si="0"/>
        <v/>
      </c>
      <c r="C64" s="39"/>
      <c r="D64" s="39"/>
      <c r="E64" s="39"/>
      <c r="F64" s="39"/>
      <c r="G64" s="84"/>
      <c r="H64" s="101">
        <v>59</v>
      </c>
      <c r="I64" s="102" t="str">
        <f t="shared" si="1"/>
        <v/>
      </c>
      <c r="J64" s="101">
        <f t="shared" si="5"/>
        <v>-2</v>
      </c>
      <c r="K64" s="101">
        <f t="shared" si="2"/>
        <v>-20</v>
      </c>
      <c r="L64" s="101"/>
      <c r="M64" s="103">
        <f t="shared" si="3"/>
        <v>0</v>
      </c>
    </row>
    <row r="65" spans="1:13" x14ac:dyDescent="0.25">
      <c r="A65" s="138"/>
      <c r="B65" s="44" t="str">
        <f t="shared" si="0"/>
        <v/>
      </c>
      <c r="C65" s="45"/>
      <c r="D65" s="45"/>
      <c r="E65" s="45"/>
      <c r="F65" s="45"/>
      <c r="G65" s="84"/>
      <c r="H65" s="104">
        <v>60</v>
      </c>
      <c r="I65" s="105" t="str">
        <f t="shared" si="1"/>
        <v/>
      </c>
      <c r="J65" s="104">
        <f t="shared" si="5"/>
        <v>-2</v>
      </c>
      <c r="K65" s="104">
        <f t="shared" si="2"/>
        <v>-20</v>
      </c>
      <c r="L65" s="104"/>
      <c r="M65" s="106">
        <f t="shared" si="3"/>
        <v>0</v>
      </c>
    </row>
    <row r="66" spans="1:13" x14ac:dyDescent="0.25">
      <c r="A66" s="137"/>
      <c r="B66" s="38"/>
      <c r="G66" s="84"/>
      <c r="H66" s="101">
        <v>61</v>
      </c>
      <c r="I66" s="102" t="str">
        <f t="shared" si="1"/>
        <v/>
      </c>
      <c r="J66" s="101">
        <f t="shared" si="5"/>
        <v>-2</v>
      </c>
      <c r="K66" s="101">
        <f t="shared" si="2"/>
        <v>-20</v>
      </c>
      <c r="L66" s="101"/>
      <c r="M66" s="103">
        <f t="shared" si="3"/>
        <v>0</v>
      </c>
    </row>
    <row r="67" spans="1:13" x14ac:dyDescent="0.25">
      <c r="A67" s="138"/>
      <c r="B67" s="44"/>
      <c r="G67" s="84"/>
      <c r="H67" s="101">
        <v>62</v>
      </c>
      <c r="I67" s="102" t="str">
        <f t="shared" si="1"/>
        <v/>
      </c>
      <c r="J67" s="101">
        <f t="shared" si="5"/>
        <v>-2</v>
      </c>
      <c r="K67" s="101">
        <f t="shared" si="2"/>
        <v>-20</v>
      </c>
      <c r="L67" s="101"/>
      <c r="M67" s="103">
        <f t="shared" si="3"/>
        <v>0</v>
      </c>
    </row>
    <row r="68" spans="1:13" x14ac:dyDescent="0.25">
      <c r="A68" s="137"/>
      <c r="B68" s="38"/>
      <c r="G68" s="84"/>
      <c r="H68" s="101">
        <v>63</v>
      </c>
      <c r="I68" s="102" t="str">
        <f t="shared" si="1"/>
        <v/>
      </c>
      <c r="J68" s="101">
        <f t="shared" si="5"/>
        <v>-2</v>
      </c>
      <c r="K68" s="101">
        <f t="shared" si="2"/>
        <v>-20</v>
      </c>
      <c r="L68" s="101"/>
      <c r="M68" s="103">
        <f t="shared" si="3"/>
        <v>0</v>
      </c>
    </row>
    <row r="69" spans="1:13" x14ac:dyDescent="0.25">
      <c r="A69" s="138"/>
      <c r="B69" s="44"/>
      <c r="G69" s="84"/>
      <c r="H69" s="101">
        <v>64</v>
      </c>
      <c r="I69" s="102" t="str">
        <f t="shared" si="1"/>
        <v/>
      </c>
      <c r="J69" s="101">
        <f t="shared" si="5"/>
        <v>-2</v>
      </c>
      <c r="K69" s="101">
        <f t="shared" si="2"/>
        <v>-20</v>
      </c>
      <c r="L69" s="101"/>
      <c r="M69" s="103">
        <f t="shared" si="3"/>
        <v>0</v>
      </c>
    </row>
    <row r="70" spans="1:13" x14ac:dyDescent="0.25">
      <c r="A70" s="117"/>
      <c r="G70" s="84"/>
      <c r="H70" s="101">
        <v>65</v>
      </c>
      <c r="I70" s="102" t="str">
        <f t="shared" ref="I70:I133" si="6">IF(H70&lt;$H$2+1,($I$2-($I$2-1)*(LOG(H70)/LOG($H$2))),"")</f>
        <v/>
      </c>
      <c r="J70" s="101">
        <f t="shared" si="5"/>
        <v>-3</v>
      </c>
      <c r="K70" s="101">
        <f t="shared" ref="K70:K133" si="7">J70*$J$2</f>
        <v>-30</v>
      </c>
      <c r="L70" s="101"/>
      <c r="M70" s="103">
        <f t="shared" ref="M70:M133" si="8">IF(I70&lt;&gt;"",K70+I70+L70,0)</f>
        <v>0</v>
      </c>
    </row>
    <row r="71" spans="1:13" x14ac:dyDescent="0.25">
      <c r="A71" s="117"/>
      <c r="G71" s="84"/>
      <c r="H71" s="101">
        <v>66</v>
      </c>
      <c r="I71" s="102" t="str">
        <f t="shared" si="6"/>
        <v/>
      </c>
      <c r="J71" s="101">
        <f t="shared" ref="J71:J134" si="9">INT(LOG($H$2,2))-ROUNDUP(LOG(H71,2),0)+IF(OR($H$2=1,$H$2=2,$H$2=4,$H$2=8,$H$2=16,$H$2=32,$H$2=64,$H$2=128,$H$2=256),0,1)</f>
        <v>-3</v>
      </c>
      <c r="K71" s="101">
        <f t="shared" si="7"/>
        <v>-30</v>
      </c>
      <c r="L71" s="101"/>
      <c r="M71" s="103">
        <f t="shared" si="8"/>
        <v>0</v>
      </c>
    </row>
    <row r="72" spans="1:13" x14ac:dyDescent="0.25">
      <c r="A72" s="117"/>
      <c r="G72" s="84"/>
      <c r="H72" s="101">
        <v>67</v>
      </c>
      <c r="I72" s="102" t="str">
        <f t="shared" si="6"/>
        <v/>
      </c>
      <c r="J72" s="101">
        <f t="shared" si="9"/>
        <v>-3</v>
      </c>
      <c r="K72" s="101">
        <f t="shared" si="7"/>
        <v>-30</v>
      </c>
      <c r="L72" s="101"/>
      <c r="M72" s="103">
        <f t="shared" si="8"/>
        <v>0</v>
      </c>
    </row>
    <row r="73" spans="1:13" x14ac:dyDescent="0.25">
      <c r="A73" s="117"/>
      <c r="G73" s="84"/>
      <c r="H73" s="101">
        <v>68</v>
      </c>
      <c r="I73" s="102" t="str">
        <f t="shared" si="6"/>
        <v/>
      </c>
      <c r="J73" s="101">
        <f t="shared" si="9"/>
        <v>-3</v>
      </c>
      <c r="K73" s="101">
        <f t="shared" si="7"/>
        <v>-30</v>
      </c>
      <c r="L73" s="101"/>
      <c r="M73" s="103">
        <f t="shared" si="8"/>
        <v>0</v>
      </c>
    </row>
    <row r="74" spans="1:13" x14ac:dyDescent="0.25">
      <c r="A74" s="117"/>
      <c r="G74" s="84"/>
      <c r="H74" s="101">
        <v>69</v>
      </c>
      <c r="I74" s="102" t="str">
        <f t="shared" si="6"/>
        <v/>
      </c>
      <c r="J74" s="101">
        <f t="shared" si="9"/>
        <v>-3</v>
      </c>
      <c r="K74" s="101">
        <f t="shared" si="7"/>
        <v>-30</v>
      </c>
      <c r="L74" s="101"/>
      <c r="M74" s="103">
        <f t="shared" si="8"/>
        <v>0</v>
      </c>
    </row>
    <row r="75" spans="1:13" x14ac:dyDescent="0.25">
      <c r="A75" s="117"/>
      <c r="G75" s="84"/>
      <c r="H75" s="101">
        <v>70</v>
      </c>
      <c r="I75" s="102" t="str">
        <f t="shared" si="6"/>
        <v/>
      </c>
      <c r="J75" s="101">
        <f t="shared" si="9"/>
        <v>-3</v>
      </c>
      <c r="K75" s="101">
        <f t="shared" si="7"/>
        <v>-30</v>
      </c>
      <c r="L75" s="101"/>
      <c r="M75" s="103">
        <f t="shared" si="8"/>
        <v>0</v>
      </c>
    </row>
    <row r="76" spans="1:13" x14ac:dyDescent="0.25">
      <c r="A76" s="117"/>
      <c r="G76" s="84"/>
      <c r="H76" s="101">
        <v>71</v>
      </c>
      <c r="I76" s="102" t="str">
        <f t="shared" si="6"/>
        <v/>
      </c>
      <c r="J76" s="101">
        <f t="shared" si="9"/>
        <v>-3</v>
      </c>
      <c r="K76" s="101">
        <f t="shared" si="7"/>
        <v>-30</v>
      </c>
      <c r="L76" s="101"/>
      <c r="M76" s="103">
        <f t="shared" si="8"/>
        <v>0</v>
      </c>
    </row>
    <row r="77" spans="1:13" x14ac:dyDescent="0.25">
      <c r="A77" s="117"/>
      <c r="G77" s="84"/>
      <c r="H77" s="101">
        <v>72</v>
      </c>
      <c r="I77" s="102" t="str">
        <f t="shared" si="6"/>
        <v/>
      </c>
      <c r="J77" s="101">
        <f t="shared" si="9"/>
        <v>-3</v>
      </c>
      <c r="K77" s="101">
        <f t="shared" si="7"/>
        <v>-30</v>
      </c>
      <c r="L77" s="101"/>
      <c r="M77" s="103">
        <f t="shared" si="8"/>
        <v>0</v>
      </c>
    </row>
    <row r="78" spans="1:13" x14ac:dyDescent="0.25">
      <c r="A78" s="117"/>
      <c r="G78" s="84"/>
      <c r="H78" s="101">
        <v>73</v>
      </c>
      <c r="I78" s="102" t="str">
        <f t="shared" si="6"/>
        <v/>
      </c>
      <c r="J78" s="101">
        <f t="shared" si="9"/>
        <v>-3</v>
      </c>
      <c r="K78" s="101">
        <f t="shared" si="7"/>
        <v>-30</v>
      </c>
      <c r="L78" s="101"/>
      <c r="M78" s="103">
        <f t="shared" si="8"/>
        <v>0</v>
      </c>
    </row>
    <row r="79" spans="1:13" x14ac:dyDescent="0.25">
      <c r="A79" s="117"/>
      <c r="G79" s="84"/>
      <c r="H79" s="101">
        <v>74</v>
      </c>
      <c r="I79" s="102" t="str">
        <f t="shared" si="6"/>
        <v/>
      </c>
      <c r="J79" s="101">
        <f t="shared" si="9"/>
        <v>-3</v>
      </c>
      <c r="K79" s="101">
        <f t="shared" si="7"/>
        <v>-30</v>
      </c>
      <c r="L79" s="101"/>
      <c r="M79" s="103">
        <f t="shared" si="8"/>
        <v>0</v>
      </c>
    </row>
    <row r="80" spans="1:13" x14ac:dyDescent="0.25">
      <c r="A80" s="117"/>
      <c r="G80" s="84"/>
      <c r="H80" s="101">
        <v>75</v>
      </c>
      <c r="I80" s="102" t="str">
        <f t="shared" si="6"/>
        <v/>
      </c>
      <c r="J80" s="101">
        <f t="shared" si="9"/>
        <v>-3</v>
      </c>
      <c r="K80" s="101">
        <f t="shared" si="7"/>
        <v>-30</v>
      </c>
      <c r="L80" s="101"/>
      <c r="M80" s="103">
        <f t="shared" si="8"/>
        <v>0</v>
      </c>
    </row>
    <row r="81" spans="1:13" x14ac:dyDescent="0.25">
      <c r="A81" s="117"/>
      <c r="G81" s="84"/>
      <c r="H81" s="101">
        <v>76</v>
      </c>
      <c r="I81" s="102" t="str">
        <f t="shared" si="6"/>
        <v/>
      </c>
      <c r="J81" s="101">
        <f t="shared" si="9"/>
        <v>-3</v>
      </c>
      <c r="K81" s="101">
        <f t="shared" si="7"/>
        <v>-30</v>
      </c>
      <c r="L81" s="101"/>
      <c r="M81" s="103">
        <f t="shared" si="8"/>
        <v>0</v>
      </c>
    </row>
    <row r="82" spans="1:13" x14ac:dyDescent="0.25">
      <c r="A82" s="117"/>
      <c r="G82" s="84"/>
      <c r="H82" s="101">
        <v>77</v>
      </c>
      <c r="I82" s="102" t="str">
        <f t="shared" si="6"/>
        <v/>
      </c>
      <c r="J82" s="101">
        <f t="shared" si="9"/>
        <v>-3</v>
      </c>
      <c r="K82" s="101">
        <f t="shared" si="7"/>
        <v>-30</v>
      </c>
      <c r="L82" s="101"/>
      <c r="M82" s="103">
        <f t="shared" si="8"/>
        <v>0</v>
      </c>
    </row>
    <row r="83" spans="1:13" x14ac:dyDescent="0.25">
      <c r="A83" s="117"/>
      <c r="G83" s="84"/>
      <c r="H83" s="101">
        <v>78</v>
      </c>
      <c r="I83" s="102" t="str">
        <f t="shared" si="6"/>
        <v/>
      </c>
      <c r="J83" s="101">
        <f t="shared" si="9"/>
        <v>-3</v>
      </c>
      <c r="K83" s="101">
        <f t="shared" si="7"/>
        <v>-30</v>
      </c>
      <c r="L83" s="101"/>
      <c r="M83" s="103">
        <f t="shared" si="8"/>
        <v>0</v>
      </c>
    </row>
    <row r="84" spans="1:13" x14ac:dyDescent="0.25">
      <c r="A84" s="117"/>
      <c r="G84" s="84"/>
      <c r="H84" s="101">
        <v>79</v>
      </c>
      <c r="I84" s="102" t="str">
        <f t="shared" si="6"/>
        <v/>
      </c>
      <c r="J84" s="101">
        <f t="shared" si="9"/>
        <v>-3</v>
      </c>
      <c r="K84" s="101">
        <f t="shared" si="7"/>
        <v>-30</v>
      </c>
      <c r="L84" s="101"/>
      <c r="M84" s="103">
        <f t="shared" si="8"/>
        <v>0</v>
      </c>
    </row>
    <row r="85" spans="1:13" x14ac:dyDescent="0.25">
      <c r="A85" s="117"/>
      <c r="G85" s="84"/>
      <c r="H85" s="101">
        <v>80</v>
      </c>
      <c r="I85" s="102" t="str">
        <f t="shared" si="6"/>
        <v/>
      </c>
      <c r="J85" s="101">
        <f t="shared" si="9"/>
        <v>-3</v>
      </c>
      <c r="K85" s="101">
        <f t="shared" si="7"/>
        <v>-30</v>
      </c>
      <c r="L85" s="101"/>
      <c r="M85" s="103">
        <f t="shared" si="8"/>
        <v>0</v>
      </c>
    </row>
    <row r="86" spans="1:13" x14ac:dyDescent="0.25">
      <c r="A86" s="117"/>
      <c r="G86" s="84"/>
      <c r="H86" s="101">
        <v>81</v>
      </c>
      <c r="I86" s="102" t="str">
        <f t="shared" si="6"/>
        <v/>
      </c>
      <c r="J86" s="101">
        <f t="shared" si="9"/>
        <v>-3</v>
      </c>
      <c r="K86" s="101">
        <f t="shared" si="7"/>
        <v>-30</v>
      </c>
      <c r="L86" s="101"/>
      <c r="M86" s="103">
        <f t="shared" si="8"/>
        <v>0</v>
      </c>
    </row>
    <row r="87" spans="1:13" x14ac:dyDescent="0.25">
      <c r="A87" s="117"/>
      <c r="G87" s="84"/>
      <c r="H87" s="101">
        <v>82</v>
      </c>
      <c r="I87" s="102" t="str">
        <f t="shared" si="6"/>
        <v/>
      </c>
      <c r="J87" s="101">
        <f t="shared" si="9"/>
        <v>-3</v>
      </c>
      <c r="K87" s="101">
        <f t="shared" si="7"/>
        <v>-30</v>
      </c>
      <c r="L87" s="101"/>
      <c r="M87" s="103">
        <f t="shared" si="8"/>
        <v>0</v>
      </c>
    </row>
    <row r="88" spans="1:13" x14ac:dyDescent="0.25">
      <c r="A88" s="117"/>
      <c r="G88" s="84"/>
      <c r="H88" s="101">
        <v>83</v>
      </c>
      <c r="I88" s="102" t="str">
        <f t="shared" si="6"/>
        <v/>
      </c>
      <c r="J88" s="101">
        <f t="shared" si="9"/>
        <v>-3</v>
      </c>
      <c r="K88" s="101">
        <f t="shared" si="7"/>
        <v>-30</v>
      </c>
      <c r="L88" s="101"/>
      <c r="M88" s="103">
        <f t="shared" si="8"/>
        <v>0</v>
      </c>
    </row>
    <row r="89" spans="1:13" x14ac:dyDescent="0.25">
      <c r="A89" s="117"/>
      <c r="G89" s="84"/>
      <c r="H89" s="101">
        <v>84</v>
      </c>
      <c r="I89" s="102" t="str">
        <f t="shared" si="6"/>
        <v/>
      </c>
      <c r="J89" s="101">
        <f t="shared" si="9"/>
        <v>-3</v>
      </c>
      <c r="K89" s="101">
        <f t="shared" si="7"/>
        <v>-30</v>
      </c>
      <c r="L89" s="101"/>
      <c r="M89" s="103">
        <f t="shared" si="8"/>
        <v>0</v>
      </c>
    </row>
    <row r="90" spans="1:13" x14ac:dyDescent="0.25">
      <c r="A90" s="117"/>
      <c r="G90" s="84"/>
      <c r="H90" s="101">
        <v>85</v>
      </c>
      <c r="I90" s="102" t="str">
        <f t="shared" si="6"/>
        <v/>
      </c>
      <c r="J90" s="101">
        <f t="shared" si="9"/>
        <v>-3</v>
      </c>
      <c r="K90" s="101">
        <f t="shared" si="7"/>
        <v>-30</v>
      </c>
      <c r="L90" s="101"/>
      <c r="M90" s="103">
        <f t="shared" si="8"/>
        <v>0</v>
      </c>
    </row>
    <row r="91" spans="1:13" x14ac:dyDescent="0.25">
      <c r="A91" s="117"/>
      <c r="G91" s="84"/>
      <c r="H91" s="101">
        <v>86</v>
      </c>
      <c r="I91" s="102" t="str">
        <f t="shared" si="6"/>
        <v/>
      </c>
      <c r="J91" s="101">
        <f t="shared" si="9"/>
        <v>-3</v>
      </c>
      <c r="K91" s="101">
        <f t="shared" si="7"/>
        <v>-30</v>
      </c>
      <c r="L91" s="101"/>
      <c r="M91" s="103">
        <f t="shared" si="8"/>
        <v>0</v>
      </c>
    </row>
    <row r="92" spans="1:13" x14ac:dyDescent="0.25">
      <c r="A92" s="117"/>
      <c r="G92" s="84"/>
      <c r="H92" s="101">
        <v>87</v>
      </c>
      <c r="I92" s="102" t="str">
        <f t="shared" si="6"/>
        <v/>
      </c>
      <c r="J92" s="101">
        <f t="shared" si="9"/>
        <v>-3</v>
      </c>
      <c r="K92" s="101">
        <f t="shared" si="7"/>
        <v>-30</v>
      </c>
      <c r="L92" s="101"/>
      <c r="M92" s="103">
        <f t="shared" si="8"/>
        <v>0</v>
      </c>
    </row>
    <row r="93" spans="1:13" x14ac:dyDescent="0.25">
      <c r="A93" s="117"/>
      <c r="G93" s="84"/>
      <c r="H93" s="101">
        <v>88</v>
      </c>
      <c r="I93" s="102" t="str">
        <f t="shared" si="6"/>
        <v/>
      </c>
      <c r="J93" s="101">
        <f t="shared" si="9"/>
        <v>-3</v>
      </c>
      <c r="K93" s="101">
        <f t="shared" si="7"/>
        <v>-30</v>
      </c>
      <c r="L93" s="101"/>
      <c r="M93" s="103">
        <f t="shared" si="8"/>
        <v>0</v>
      </c>
    </row>
    <row r="94" spans="1:13" x14ac:dyDescent="0.25">
      <c r="A94" s="117"/>
      <c r="G94" s="84"/>
      <c r="H94" s="101">
        <v>89</v>
      </c>
      <c r="I94" s="102" t="str">
        <f t="shared" si="6"/>
        <v/>
      </c>
      <c r="J94" s="101">
        <f t="shared" si="9"/>
        <v>-3</v>
      </c>
      <c r="K94" s="101">
        <f t="shared" si="7"/>
        <v>-30</v>
      </c>
      <c r="L94" s="101"/>
      <c r="M94" s="103">
        <f t="shared" si="8"/>
        <v>0</v>
      </c>
    </row>
    <row r="95" spans="1:13" x14ac:dyDescent="0.25">
      <c r="A95" s="117"/>
      <c r="G95" s="84"/>
      <c r="H95" s="101">
        <v>90</v>
      </c>
      <c r="I95" s="102" t="str">
        <f t="shared" si="6"/>
        <v/>
      </c>
      <c r="J95" s="101">
        <f t="shared" si="9"/>
        <v>-3</v>
      </c>
      <c r="K95" s="101">
        <f t="shared" si="7"/>
        <v>-30</v>
      </c>
      <c r="L95" s="101"/>
      <c r="M95" s="103">
        <f t="shared" si="8"/>
        <v>0</v>
      </c>
    </row>
    <row r="96" spans="1:13" x14ac:dyDescent="0.25">
      <c r="A96" s="117"/>
      <c r="G96" s="84"/>
      <c r="H96" s="101">
        <v>91</v>
      </c>
      <c r="I96" s="102" t="str">
        <f t="shared" si="6"/>
        <v/>
      </c>
      <c r="J96" s="101">
        <f t="shared" si="9"/>
        <v>-3</v>
      </c>
      <c r="K96" s="101">
        <f t="shared" si="7"/>
        <v>-30</v>
      </c>
      <c r="L96" s="101"/>
      <c r="M96" s="103">
        <f t="shared" si="8"/>
        <v>0</v>
      </c>
    </row>
    <row r="97" spans="1:13" x14ac:dyDescent="0.25">
      <c r="A97" s="117"/>
      <c r="G97" s="84"/>
      <c r="H97" s="101">
        <v>92</v>
      </c>
      <c r="I97" s="102" t="str">
        <f t="shared" si="6"/>
        <v/>
      </c>
      <c r="J97" s="101">
        <f t="shared" si="9"/>
        <v>-3</v>
      </c>
      <c r="K97" s="101">
        <f t="shared" si="7"/>
        <v>-30</v>
      </c>
      <c r="L97" s="101"/>
      <c r="M97" s="103">
        <f t="shared" si="8"/>
        <v>0</v>
      </c>
    </row>
    <row r="98" spans="1:13" x14ac:dyDescent="0.25">
      <c r="A98" s="117"/>
      <c r="G98" s="84"/>
      <c r="H98" s="101">
        <v>93</v>
      </c>
      <c r="I98" s="102" t="str">
        <f t="shared" si="6"/>
        <v/>
      </c>
      <c r="J98" s="101">
        <f t="shared" si="9"/>
        <v>-3</v>
      </c>
      <c r="K98" s="101">
        <f t="shared" si="7"/>
        <v>-30</v>
      </c>
      <c r="L98" s="101"/>
      <c r="M98" s="103">
        <f t="shared" si="8"/>
        <v>0</v>
      </c>
    </row>
    <row r="99" spans="1:13" x14ac:dyDescent="0.25">
      <c r="A99" s="117"/>
      <c r="G99" s="84"/>
      <c r="H99" s="101">
        <v>94</v>
      </c>
      <c r="I99" s="102" t="str">
        <f t="shared" si="6"/>
        <v/>
      </c>
      <c r="J99" s="101">
        <f t="shared" si="9"/>
        <v>-3</v>
      </c>
      <c r="K99" s="101">
        <f t="shared" si="7"/>
        <v>-30</v>
      </c>
      <c r="L99" s="101"/>
      <c r="M99" s="103">
        <f t="shared" si="8"/>
        <v>0</v>
      </c>
    </row>
    <row r="100" spans="1:13" x14ac:dyDescent="0.25">
      <c r="A100" s="117"/>
      <c r="G100" s="84"/>
      <c r="H100" s="101">
        <v>95</v>
      </c>
      <c r="I100" s="102" t="str">
        <f t="shared" si="6"/>
        <v/>
      </c>
      <c r="J100" s="101">
        <f t="shared" si="9"/>
        <v>-3</v>
      </c>
      <c r="K100" s="101">
        <f t="shared" si="7"/>
        <v>-30</v>
      </c>
      <c r="L100" s="101"/>
      <c r="M100" s="103">
        <f t="shared" si="8"/>
        <v>0</v>
      </c>
    </row>
    <row r="101" spans="1:13" x14ac:dyDescent="0.25">
      <c r="A101" s="117"/>
      <c r="G101" s="84"/>
      <c r="H101" s="101">
        <v>96</v>
      </c>
      <c r="I101" s="102" t="str">
        <f t="shared" si="6"/>
        <v/>
      </c>
      <c r="J101" s="101">
        <f t="shared" si="9"/>
        <v>-3</v>
      </c>
      <c r="K101" s="101">
        <f t="shared" si="7"/>
        <v>-30</v>
      </c>
      <c r="L101" s="101"/>
      <c r="M101" s="103">
        <f t="shared" si="8"/>
        <v>0</v>
      </c>
    </row>
    <row r="102" spans="1:13" x14ac:dyDescent="0.25">
      <c r="A102" s="117"/>
      <c r="G102" s="84"/>
      <c r="H102" s="101">
        <v>97</v>
      </c>
      <c r="I102" s="102" t="str">
        <f t="shared" si="6"/>
        <v/>
      </c>
      <c r="J102" s="101">
        <f t="shared" si="9"/>
        <v>-3</v>
      </c>
      <c r="K102" s="101">
        <f t="shared" si="7"/>
        <v>-30</v>
      </c>
      <c r="L102" s="101"/>
      <c r="M102" s="103">
        <f t="shared" si="8"/>
        <v>0</v>
      </c>
    </row>
    <row r="103" spans="1:13" x14ac:dyDescent="0.25">
      <c r="A103" s="117"/>
      <c r="G103" s="84"/>
      <c r="H103" s="101">
        <v>98</v>
      </c>
      <c r="I103" s="102" t="str">
        <f t="shared" si="6"/>
        <v/>
      </c>
      <c r="J103" s="101">
        <f t="shared" si="9"/>
        <v>-3</v>
      </c>
      <c r="K103" s="101">
        <f t="shared" si="7"/>
        <v>-30</v>
      </c>
      <c r="L103" s="101"/>
      <c r="M103" s="103">
        <f t="shared" si="8"/>
        <v>0</v>
      </c>
    </row>
    <row r="104" spans="1:13" x14ac:dyDescent="0.25">
      <c r="A104" s="117"/>
      <c r="G104" s="84"/>
      <c r="H104" s="101">
        <v>99</v>
      </c>
      <c r="I104" s="102" t="str">
        <f t="shared" si="6"/>
        <v/>
      </c>
      <c r="J104" s="101">
        <f t="shared" si="9"/>
        <v>-3</v>
      </c>
      <c r="K104" s="101">
        <f t="shared" si="7"/>
        <v>-30</v>
      </c>
      <c r="L104" s="101"/>
      <c r="M104" s="103">
        <f t="shared" si="8"/>
        <v>0</v>
      </c>
    </row>
    <row r="105" spans="1:13" x14ac:dyDescent="0.25">
      <c r="A105" s="117"/>
      <c r="G105" s="84"/>
      <c r="H105" s="101">
        <v>100</v>
      </c>
      <c r="I105" s="102" t="str">
        <f t="shared" si="6"/>
        <v/>
      </c>
      <c r="J105" s="101">
        <f t="shared" si="9"/>
        <v>-3</v>
      </c>
      <c r="K105" s="101">
        <f t="shared" si="7"/>
        <v>-30</v>
      </c>
      <c r="L105" s="101"/>
      <c r="M105" s="103">
        <f t="shared" si="8"/>
        <v>0</v>
      </c>
    </row>
    <row r="106" spans="1:13" x14ac:dyDescent="0.25">
      <c r="A106" s="117"/>
      <c r="G106" s="84"/>
      <c r="H106" s="101">
        <v>101</v>
      </c>
      <c r="I106" s="102" t="str">
        <f t="shared" si="6"/>
        <v/>
      </c>
      <c r="J106" s="101">
        <f t="shared" si="9"/>
        <v>-3</v>
      </c>
      <c r="K106" s="101">
        <f t="shared" si="7"/>
        <v>-30</v>
      </c>
      <c r="L106" s="101"/>
      <c r="M106" s="103">
        <f t="shared" si="8"/>
        <v>0</v>
      </c>
    </row>
    <row r="107" spans="1:13" x14ac:dyDescent="0.25">
      <c r="A107" s="117"/>
      <c r="G107" s="84"/>
      <c r="H107" s="101">
        <v>102</v>
      </c>
      <c r="I107" s="102" t="str">
        <f t="shared" si="6"/>
        <v/>
      </c>
      <c r="J107" s="101">
        <f t="shared" si="9"/>
        <v>-3</v>
      </c>
      <c r="K107" s="101">
        <f t="shared" si="7"/>
        <v>-30</v>
      </c>
      <c r="L107" s="101"/>
      <c r="M107" s="103">
        <f t="shared" si="8"/>
        <v>0</v>
      </c>
    </row>
    <row r="108" spans="1:13" x14ac:dyDescent="0.25">
      <c r="A108" s="117"/>
      <c r="G108" s="84"/>
      <c r="H108" s="101">
        <v>103</v>
      </c>
      <c r="I108" s="102" t="str">
        <f t="shared" si="6"/>
        <v/>
      </c>
      <c r="J108" s="101">
        <f t="shared" si="9"/>
        <v>-3</v>
      </c>
      <c r="K108" s="101">
        <f t="shared" si="7"/>
        <v>-30</v>
      </c>
      <c r="L108" s="101"/>
      <c r="M108" s="103">
        <f t="shared" si="8"/>
        <v>0</v>
      </c>
    </row>
    <row r="109" spans="1:13" x14ac:dyDescent="0.25">
      <c r="A109" s="117"/>
      <c r="G109" s="84"/>
      <c r="H109" s="101">
        <v>104</v>
      </c>
      <c r="I109" s="102" t="str">
        <f t="shared" si="6"/>
        <v/>
      </c>
      <c r="J109" s="101">
        <f t="shared" si="9"/>
        <v>-3</v>
      </c>
      <c r="K109" s="101">
        <f t="shared" si="7"/>
        <v>-30</v>
      </c>
      <c r="L109" s="101"/>
      <c r="M109" s="103">
        <f t="shared" si="8"/>
        <v>0</v>
      </c>
    </row>
    <row r="110" spans="1:13" x14ac:dyDescent="0.25">
      <c r="A110" s="117"/>
      <c r="G110" s="84"/>
      <c r="H110" s="101">
        <v>105</v>
      </c>
      <c r="I110" s="102" t="str">
        <f t="shared" si="6"/>
        <v/>
      </c>
      <c r="J110" s="101">
        <f t="shared" si="9"/>
        <v>-3</v>
      </c>
      <c r="K110" s="101">
        <f t="shared" si="7"/>
        <v>-30</v>
      </c>
      <c r="L110" s="101"/>
      <c r="M110" s="103">
        <f t="shared" si="8"/>
        <v>0</v>
      </c>
    </row>
    <row r="111" spans="1:13" x14ac:dyDescent="0.25">
      <c r="A111" s="117"/>
      <c r="G111" s="84"/>
      <c r="H111" s="101">
        <v>106</v>
      </c>
      <c r="I111" s="102" t="str">
        <f t="shared" si="6"/>
        <v/>
      </c>
      <c r="J111" s="101">
        <f t="shared" si="9"/>
        <v>-3</v>
      </c>
      <c r="K111" s="101">
        <f t="shared" si="7"/>
        <v>-30</v>
      </c>
      <c r="L111" s="101"/>
      <c r="M111" s="103">
        <f t="shared" si="8"/>
        <v>0</v>
      </c>
    </row>
    <row r="112" spans="1:13" x14ac:dyDescent="0.25">
      <c r="A112" s="117"/>
      <c r="G112" s="84"/>
      <c r="H112" s="101">
        <v>107</v>
      </c>
      <c r="I112" s="102" t="str">
        <f t="shared" si="6"/>
        <v/>
      </c>
      <c r="J112" s="101">
        <f t="shared" si="9"/>
        <v>-3</v>
      </c>
      <c r="K112" s="101">
        <f t="shared" si="7"/>
        <v>-30</v>
      </c>
      <c r="L112" s="101"/>
      <c r="M112" s="103">
        <f t="shared" si="8"/>
        <v>0</v>
      </c>
    </row>
    <row r="113" spans="1:13" x14ac:dyDescent="0.25">
      <c r="A113" s="117"/>
      <c r="G113" s="84"/>
      <c r="H113" s="101">
        <v>108</v>
      </c>
      <c r="I113" s="102" t="str">
        <f t="shared" si="6"/>
        <v/>
      </c>
      <c r="J113" s="101">
        <f t="shared" si="9"/>
        <v>-3</v>
      </c>
      <c r="K113" s="101">
        <f t="shared" si="7"/>
        <v>-30</v>
      </c>
      <c r="L113" s="101"/>
      <c r="M113" s="103">
        <f t="shared" si="8"/>
        <v>0</v>
      </c>
    </row>
    <row r="114" spans="1:13" x14ac:dyDescent="0.25">
      <c r="A114" s="117"/>
      <c r="G114" s="84"/>
      <c r="H114" s="101">
        <v>109</v>
      </c>
      <c r="I114" s="102" t="str">
        <f t="shared" si="6"/>
        <v/>
      </c>
      <c r="J114" s="101">
        <f t="shared" si="9"/>
        <v>-3</v>
      </c>
      <c r="K114" s="101">
        <f t="shared" si="7"/>
        <v>-30</v>
      </c>
      <c r="L114" s="101"/>
      <c r="M114" s="103">
        <f t="shared" si="8"/>
        <v>0</v>
      </c>
    </row>
    <row r="115" spans="1:13" x14ac:dyDescent="0.25">
      <c r="A115" s="117"/>
      <c r="G115" s="84"/>
      <c r="H115" s="101">
        <v>110</v>
      </c>
      <c r="I115" s="102" t="str">
        <f t="shared" si="6"/>
        <v/>
      </c>
      <c r="J115" s="101">
        <f t="shared" si="9"/>
        <v>-3</v>
      </c>
      <c r="K115" s="101">
        <f t="shared" si="7"/>
        <v>-30</v>
      </c>
      <c r="L115" s="101"/>
      <c r="M115" s="103">
        <f t="shared" si="8"/>
        <v>0</v>
      </c>
    </row>
    <row r="116" spans="1:13" x14ac:dyDescent="0.25">
      <c r="A116" s="117"/>
      <c r="G116" s="84"/>
      <c r="H116" s="101">
        <v>111</v>
      </c>
      <c r="I116" s="102" t="str">
        <f t="shared" si="6"/>
        <v/>
      </c>
      <c r="J116" s="101">
        <f t="shared" si="9"/>
        <v>-3</v>
      </c>
      <c r="K116" s="101">
        <f t="shared" si="7"/>
        <v>-30</v>
      </c>
      <c r="L116" s="101"/>
      <c r="M116" s="103">
        <f t="shared" si="8"/>
        <v>0</v>
      </c>
    </row>
    <row r="117" spans="1:13" x14ac:dyDescent="0.25">
      <c r="A117" s="117"/>
      <c r="G117" s="84"/>
      <c r="H117" s="101">
        <v>112</v>
      </c>
      <c r="I117" s="102" t="str">
        <f t="shared" si="6"/>
        <v/>
      </c>
      <c r="J117" s="101">
        <f t="shared" si="9"/>
        <v>-3</v>
      </c>
      <c r="K117" s="101">
        <f t="shared" si="7"/>
        <v>-30</v>
      </c>
      <c r="L117" s="101"/>
      <c r="M117" s="103">
        <f t="shared" si="8"/>
        <v>0</v>
      </c>
    </row>
    <row r="118" spans="1:13" x14ac:dyDescent="0.25">
      <c r="A118" s="117"/>
      <c r="G118" s="84"/>
      <c r="H118" s="101">
        <v>113</v>
      </c>
      <c r="I118" s="102" t="str">
        <f t="shared" si="6"/>
        <v/>
      </c>
      <c r="J118" s="101">
        <f t="shared" si="9"/>
        <v>-3</v>
      </c>
      <c r="K118" s="101">
        <f t="shared" si="7"/>
        <v>-30</v>
      </c>
      <c r="L118" s="101"/>
      <c r="M118" s="103">
        <f t="shared" si="8"/>
        <v>0</v>
      </c>
    </row>
    <row r="119" spans="1:13" x14ac:dyDescent="0.25">
      <c r="A119" s="117"/>
      <c r="G119" s="84"/>
      <c r="H119" s="101">
        <v>114</v>
      </c>
      <c r="I119" s="102" t="str">
        <f t="shared" si="6"/>
        <v/>
      </c>
      <c r="J119" s="101">
        <f t="shared" si="9"/>
        <v>-3</v>
      </c>
      <c r="K119" s="101">
        <f t="shared" si="7"/>
        <v>-30</v>
      </c>
      <c r="L119" s="101"/>
      <c r="M119" s="103">
        <f t="shared" si="8"/>
        <v>0</v>
      </c>
    </row>
    <row r="120" spans="1:13" x14ac:dyDescent="0.25">
      <c r="A120" s="117"/>
      <c r="G120" s="84"/>
      <c r="H120" s="101">
        <v>115</v>
      </c>
      <c r="I120" s="102" t="str">
        <f t="shared" si="6"/>
        <v/>
      </c>
      <c r="J120" s="101">
        <f t="shared" si="9"/>
        <v>-3</v>
      </c>
      <c r="K120" s="101">
        <f t="shared" si="7"/>
        <v>-30</v>
      </c>
      <c r="L120" s="101"/>
      <c r="M120" s="103">
        <f t="shared" si="8"/>
        <v>0</v>
      </c>
    </row>
    <row r="121" spans="1:13" x14ac:dyDescent="0.25">
      <c r="A121" s="117"/>
      <c r="G121" s="84"/>
      <c r="H121" s="101">
        <v>116</v>
      </c>
      <c r="I121" s="102" t="str">
        <f t="shared" si="6"/>
        <v/>
      </c>
      <c r="J121" s="101">
        <f t="shared" si="9"/>
        <v>-3</v>
      </c>
      <c r="K121" s="101">
        <f t="shared" si="7"/>
        <v>-30</v>
      </c>
      <c r="L121" s="101"/>
      <c r="M121" s="103">
        <f t="shared" si="8"/>
        <v>0</v>
      </c>
    </row>
    <row r="122" spans="1:13" x14ac:dyDescent="0.25">
      <c r="A122" s="117"/>
      <c r="G122" s="84"/>
      <c r="H122" s="101">
        <v>117</v>
      </c>
      <c r="I122" s="102" t="str">
        <f t="shared" si="6"/>
        <v/>
      </c>
      <c r="J122" s="101">
        <f t="shared" si="9"/>
        <v>-3</v>
      </c>
      <c r="K122" s="101">
        <f t="shared" si="7"/>
        <v>-30</v>
      </c>
      <c r="L122" s="101"/>
      <c r="M122" s="103">
        <f t="shared" si="8"/>
        <v>0</v>
      </c>
    </row>
    <row r="123" spans="1:13" x14ac:dyDescent="0.25">
      <c r="A123" s="117"/>
      <c r="G123" s="84"/>
      <c r="H123" s="101">
        <v>118</v>
      </c>
      <c r="I123" s="102" t="str">
        <f t="shared" si="6"/>
        <v/>
      </c>
      <c r="J123" s="101">
        <f t="shared" si="9"/>
        <v>-3</v>
      </c>
      <c r="K123" s="101">
        <f t="shared" si="7"/>
        <v>-30</v>
      </c>
      <c r="L123" s="101"/>
      <c r="M123" s="103">
        <f t="shared" si="8"/>
        <v>0</v>
      </c>
    </row>
    <row r="124" spans="1:13" x14ac:dyDescent="0.25">
      <c r="A124" s="117"/>
      <c r="G124" s="84"/>
      <c r="H124" s="101">
        <v>119</v>
      </c>
      <c r="I124" s="102" t="str">
        <f t="shared" si="6"/>
        <v/>
      </c>
      <c r="J124" s="101">
        <f t="shared" si="9"/>
        <v>-3</v>
      </c>
      <c r="K124" s="101">
        <f t="shared" si="7"/>
        <v>-30</v>
      </c>
      <c r="L124" s="101"/>
      <c r="M124" s="103">
        <f t="shared" si="8"/>
        <v>0</v>
      </c>
    </row>
    <row r="125" spans="1:13" x14ac:dyDescent="0.25">
      <c r="A125" s="117"/>
      <c r="G125" s="84"/>
      <c r="H125" s="101">
        <v>120</v>
      </c>
      <c r="I125" s="102" t="str">
        <f t="shared" si="6"/>
        <v/>
      </c>
      <c r="J125" s="101">
        <f t="shared" si="9"/>
        <v>-3</v>
      </c>
      <c r="K125" s="101">
        <f t="shared" si="7"/>
        <v>-30</v>
      </c>
      <c r="L125" s="101"/>
      <c r="M125" s="103">
        <f t="shared" si="8"/>
        <v>0</v>
      </c>
    </row>
    <row r="126" spans="1:13" x14ac:dyDescent="0.25">
      <c r="A126" s="117"/>
      <c r="G126" s="84"/>
      <c r="H126" s="101">
        <v>121</v>
      </c>
      <c r="I126" s="102" t="str">
        <f t="shared" si="6"/>
        <v/>
      </c>
      <c r="J126" s="101">
        <f t="shared" si="9"/>
        <v>-3</v>
      </c>
      <c r="K126" s="101">
        <f t="shared" si="7"/>
        <v>-30</v>
      </c>
      <c r="L126" s="101"/>
      <c r="M126" s="103">
        <f t="shared" si="8"/>
        <v>0</v>
      </c>
    </row>
    <row r="127" spans="1:13" x14ac:dyDescent="0.25">
      <c r="A127" s="117"/>
      <c r="G127" s="84"/>
      <c r="H127" s="101">
        <v>122</v>
      </c>
      <c r="I127" s="102" t="str">
        <f t="shared" si="6"/>
        <v/>
      </c>
      <c r="J127" s="101">
        <f t="shared" si="9"/>
        <v>-3</v>
      </c>
      <c r="K127" s="101">
        <f t="shared" si="7"/>
        <v>-30</v>
      </c>
      <c r="L127" s="101"/>
      <c r="M127" s="103">
        <f t="shared" si="8"/>
        <v>0</v>
      </c>
    </row>
    <row r="128" spans="1:13" x14ac:dyDescent="0.25">
      <c r="A128" s="117"/>
      <c r="G128" s="84"/>
      <c r="H128" s="101">
        <v>123</v>
      </c>
      <c r="I128" s="102" t="str">
        <f t="shared" si="6"/>
        <v/>
      </c>
      <c r="J128" s="101">
        <f t="shared" si="9"/>
        <v>-3</v>
      </c>
      <c r="K128" s="101">
        <f t="shared" si="7"/>
        <v>-30</v>
      </c>
      <c r="L128" s="101"/>
      <c r="M128" s="103">
        <f t="shared" si="8"/>
        <v>0</v>
      </c>
    </row>
    <row r="129" spans="1:13" x14ac:dyDescent="0.25">
      <c r="A129" s="117"/>
      <c r="G129" s="84"/>
      <c r="H129" s="101">
        <v>124</v>
      </c>
      <c r="I129" s="102" t="str">
        <f t="shared" si="6"/>
        <v/>
      </c>
      <c r="J129" s="101">
        <f t="shared" si="9"/>
        <v>-3</v>
      </c>
      <c r="K129" s="101">
        <f t="shared" si="7"/>
        <v>-30</v>
      </c>
      <c r="L129" s="101"/>
      <c r="M129" s="103">
        <f t="shared" si="8"/>
        <v>0</v>
      </c>
    </row>
    <row r="130" spans="1:13" x14ac:dyDescent="0.25">
      <c r="A130" s="117"/>
      <c r="G130" s="84"/>
      <c r="H130" s="101">
        <v>125</v>
      </c>
      <c r="I130" s="102" t="str">
        <f t="shared" si="6"/>
        <v/>
      </c>
      <c r="J130" s="101">
        <f t="shared" si="9"/>
        <v>-3</v>
      </c>
      <c r="K130" s="101">
        <f t="shared" si="7"/>
        <v>-30</v>
      </c>
      <c r="L130" s="101"/>
      <c r="M130" s="103">
        <f t="shared" si="8"/>
        <v>0</v>
      </c>
    </row>
    <row r="131" spans="1:13" x14ac:dyDescent="0.25">
      <c r="A131" s="117"/>
      <c r="G131" s="84"/>
      <c r="H131" s="101">
        <v>126</v>
      </c>
      <c r="I131" s="102" t="str">
        <f t="shared" si="6"/>
        <v/>
      </c>
      <c r="J131" s="101">
        <f t="shared" si="9"/>
        <v>-3</v>
      </c>
      <c r="K131" s="101">
        <f t="shared" si="7"/>
        <v>-30</v>
      </c>
      <c r="L131" s="101"/>
      <c r="M131" s="103">
        <f t="shared" si="8"/>
        <v>0</v>
      </c>
    </row>
    <row r="132" spans="1:13" x14ac:dyDescent="0.25">
      <c r="A132" s="117"/>
      <c r="G132" s="84"/>
      <c r="H132" s="101">
        <v>127</v>
      </c>
      <c r="I132" s="102" t="str">
        <f t="shared" si="6"/>
        <v/>
      </c>
      <c r="J132" s="101">
        <f t="shared" si="9"/>
        <v>-3</v>
      </c>
      <c r="K132" s="101">
        <f t="shared" si="7"/>
        <v>-30</v>
      </c>
      <c r="L132" s="101"/>
      <c r="M132" s="103">
        <f t="shared" si="8"/>
        <v>0</v>
      </c>
    </row>
    <row r="133" spans="1:13" x14ac:dyDescent="0.25">
      <c r="A133" s="117"/>
      <c r="G133" s="84"/>
      <c r="H133" s="101">
        <v>128</v>
      </c>
      <c r="I133" s="102" t="str">
        <f t="shared" si="6"/>
        <v/>
      </c>
      <c r="J133" s="101">
        <f t="shared" si="9"/>
        <v>-3</v>
      </c>
      <c r="K133" s="101">
        <f t="shared" si="7"/>
        <v>-30</v>
      </c>
      <c r="L133" s="101"/>
      <c r="M133" s="103">
        <f t="shared" si="8"/>
        <v>0</v>
      </c>
    </row>
    <row r="134" spans="1:13" x14ac:dyDescent="0.25">
      <c r="A134" s="117"/>
      <c r="G134" s="84"/>
      <c r="H134" s="101">
        <v>129</v>
      </c>
      <c r="I134" s="102" t="str">
        <f t="shared" ref="I134:I197" si="10">IF(H134&lt;$H$2+1,($I$2-($I$2-1)*(LOG(H134)/LOG($H$2))),"")</f>
        <v/>
      </c>
      <c r="J134" s="101">
        <f t="shared" si="9"/>
        <v>-4</v>
      </c>
      <c r="K134" s="101">
        <f t="shared" ref="K134:K197" si="11">J134*$J$2</f>
        <v>-40</v>
      </c>
      <c r="L134" s="101"/>
      <c r="M134" s="103">
        <f t="shared" ref="M134:M197" si="12">IF(I134&lt;&gt;"",K134+I134+L134,0)</f>
        <v>0</v>
      </c>
    </row>
    <row r="135" spans="1:13" x14ac:dyDescent="0.25">
      <c r="A135" s="117"/>
      <c r="G135" s="84"/>
      <c r="H135" s="101">
        <v>130</v>
      </c>
      <c r="I135" s="102" t="str">
        <f t="shared" si="10"/>
        <v/>
      </c>
      <c r="J135" s="101">
        <f t="shared" ref="J135:J198" si="13">INT(LOG($H$2,2))-ROUNDUP(LOG(H135,2),0)+IF(OR($H$2=1,$H$2=2,$H$2=4,$H$2=8,$H$2=16,$H$2=32,$H$2=64,$H$2=128,$H$2=256),0,1)</f>
        <v>-4</v>
      </c>
      <c r="K135" s="101">
        <f t="shared" si="11"/>
        <v>-40</v>
      </c>
      <c r="L135" s="101"/>
      <c r="M135" s="103">
        <f t="shared" si="12"/>
        <v>0</v>
      </c>
    </row>
    <row r="136" spans="1:13" x14ac:dyDescent="0.25">
      <c r="A136" s="117"/>
      <c r="G136" s="84"/>
      <c r="H136" s="101">
        <v>131</v>
      </c>
      <c r="I136" s="102" t="str">
        <f t="shared" si="10"/>
        <v/>
      </c>
      <c r="J136" s="101">
        <f t="shared" si="13"/>
        <v>-4</v>
      </c>
      <c r="K136" s="101">
        <f t="shared" si="11"/>
        <v>-40</v>
      </c>
      <c r="L136" s="101"/>
      <c r="M136" s="103">
        <f t="shared" si="12"/>
        <v>0</v>
      </c>
    </row>
    <row r="137" spans="1:13" x14ac:dyDescent="0.25">
      <c r="A137" s="117"/>
      <c r="G137" s="84"/>
      <c r="H137" s="101">
        <v>132</v>
      </c>
      <c r="I137" s="102" t="str">
        <f t="shared" si="10"/>
        <v/>
      </c>
      <c r="J137" s="101">
        <f t="shared" si="13"/>
        <v>-4</v>
      </c>
      <c r="K137" s="101">
        <f t="shared" si="11"/>
        <v>-40</v>
      </c>
      <c r="L137" s="101"/>
      <c r="M137" s="103">
        <f t="shared" si="12"/>
        <v>0</v>
      </c>
    </row>
    <row r="138" spans="1:13" x14ac:dyDescent="0.25">
      <c r="A138" s="117"/>
      <c r="G138" s="84"/>
      <c r="H138" s="101">
        <v>133</v>
      </c>
      <c r="I138" s="102" t="str">
        <f t="shared" si="10"/>
        <v/>
      </c>
      <c r="J138" s="101">
        <f t="shared" si="13"/>
        <v>-4</v>
      </c>
      <c r="K138" s="101">
        <f t="shared" si="11"/>
        <v>-40</v>
      </c>
      <c r="L138" s="101"/>
      <c r="M138" s="103">
        <f t="shared" si="12"/>
        <v>0</v>
      </c>
    </row>
    <row r="139" spans="1:13" x14ac:dyDescent="0.25">
      <c r="A139" s="117"/>
      <c r="G139" s="84"/>
      <c r="H139" s="101">
        <v>134</v>
      </c>
      <c r="I139" s="102" t="str">
        <f t="shared" si="10"/>
        <v/>
      </c>
      <c r="J139" s="101">
        <f t="shared" si="13"/>
        <v>-4</v>
      </c>
      <c r="K139" s="101">
        <f t="shared" si="11"/>
        <v>-40</v>
      </c>
      <c r="L139" s="101"/>
      <c r="M139" s="103">
        <f t="shared" si="12"/>
        <v>0</v>
      </c>
    </row>
    <row r="140" spans="1:13" x14ac:dyDescent="0.25">
      <c r="A140" s="117"/>
      <c r="G140" s="84"/>
      <c r="H140" s="101">
        <v>135</v>
      </c>
      <c r="I140" s="102" t="str">
        <f t="shared" si="10"/>
        <v/>
      </c>
      <c r="J140" s="101">
        <f t="shared" si="13"/>
        <v>-4</v>
      </c>
      <c r="K140" s="101">
        <f t="shared" si="11"/>
        <v>-40</v>
      </c>
      <c r="L140" s="101"/>
      <c r="M140" s="103">
        <f t="shared" si="12"/>
        <v>0</v>
      </c>
    </row>
    <row r="141" spans="1:13" x14ac:dyDescent="0.25">
      <c r="A141" s="117"/>
      <c r="G141" s="84"/>
      <c r="H141" s="101">
        <v>136</v>
      </c>
      <c r="I141" s="102" t="str">
        <f t="shared" si="10"/>
        <v/>
      </c>
      <c r="J141" s="101">
        <f t="shared" si="13"/>
        <v>-4</v>
      </c>
      <c r="K141" s="101">
        <f t="shared" si="11"/>
        <v>-40</v>
      </c>
      <c r="L141" s="101"/>
      <c r="M141" s="103">
        <f t="shared" si="12"/>
        <v>0</v>
      </c>
    </row>
    <row r="142" spans="1:13" x14ac:dyDescent="0.25">
      <c r="A142" s="117"/>
      <c r="G142" s="84"/>
      <c r="H142" s="101">
        <v>137</v>
      </c>
      <c r="I142" s="102" t="str">
        <f t="shared" si="10"/>
        <v/>
      </c>
      <c r="J142" s="101">
        <f t="shared" si="13"/>
        <v>-4</v>
      </c>
      <c r="K142" s="101">
        <f t="shared" si="11"/>
        <v>-40</v>
      </c>
      <c r="L142" s="101"/>
      <c r="M142" s="103">
        <f t="shared" si="12"/>
        <v>0</v>
      </c>
    </row>
    <row r="143" spans="1:13" x14ac:dyDescent="0.25">
      <c r="A143" s="117"/>
      <c r="G143" s="84"/>
      <c r="H143" s="101">
        <v>138</v>
      </c>
      <c r="I143" s="102" t="str">
        <f t="shared" si="10"/>
        <v/>
      </c>
      <c r="J143" s="101">
        <f t="shared" si="13"/>
        <v>-4</v>
      </c>
      <c r="K143" s="101">
        <f t="shared" si="11"/>
        <v>-40</v>
      </c>
      <c r="L143" s="101"/>
      <c r="M143" s="103">
        <f t="shared" si="12"/>
        <v>0</v>
      </c>
    </row>
    <row r="144" spans="1:13" x14ac:dyDescent="0.25">
      <c r="A144" s="117"/>
      <c r="G144" s="84"/>
      <c r="H144" s="101">
        <v>139</v>
      </c>
      <c r="I144" s="102" t="str">
        <f t="shared" si="10"/>
        <v/>
      </c>
      <c r="J144" s="101">
        <f t="shared" si="13"/>
        <v>-4</v>
      </c>
      <c r="K144" s="101">
        <f t="shared" si="11"/>
        <v>-40</v>
      </c>
      <c r="L144" s="101"/>
      <c r="M144" s="103">
        <f t="shared" si="12"/>
        <v>0</v>
      </c>
    </row>
    <row r="145" spans="1:13" x14ac:dyDescent="0.25">
      <c r="A145" s="117"/>
      <c r="G145" s="84"/>
      <c r="H145" s="101">
        <v>140</v>
      </c>
      <c r="I145" s="102" t="str">
        <f t="shared" si="10"/>
        <v/>
      </c>
      <c r="J145" s="101">
        <f t="shared" si="13"/>
        <v>-4</v>
      </c>
      <c r="K145" s="101">
        <f t="shared" si="11"/>
        <v>-40</v>
      </c>
      <c r="L145" s="101"/>
      <c r="M145" s="103">
        <f t="shared" si="12"/>
        <v>0</v>
      </c>
    </row>
    <row r="146" spans="1:13" x14ac:dyDescent="0.25">
      <c r="A146" s="117"/>
      <c r="G146" s="84"/>
      <c r="H146" s="101">
        <v>141</v>
      </c>
      <c r="I146" s="102" t="str">
        <f t="shared" si="10"/>
        <v/>
      </c>
      <c r="J146" s="101">
        <f t="shared" si="13"/>
        <v>-4</v>
      </c>
      <c r="K146" s="101">
        <f t="shared" si="11"/>
        <v>-40</v>
      </c>
      <c r="L146" s="101"/>
      <c r="M146" s="103">
        <f t="shared" si="12"/>
        <v>0</v>
      </c>
    </row>
    <row r="147" spans="1:13" x14ac:dyDescent="0.25">
      <c r="A147" s="117"/>
      <c r="G147" s="84"/>
      <c r="H147" s="101">
        <v>142</v>
      </c>
      <c r="I147" s="102" t="str">
        <f t="shared" si="10"/>
        <v/>
      </c>
      <c r="J147" s="101">
        <f t="shared" si="13"/>
        <v>-4</v>
      </c>
      <c r="K147" s="101">
        <f t="shared" si="11"/>
        <v>-40</v>
      </c>
      <c r="L147" s="101"/>
      <c r="M147" s="103">
        <f t="shared" si="12"/>
        <v>0</v>
      </c>
    </row>
    <row r="148" spans="1:13" x14ac:dyDescent="0.25">
      <c r="A148" s="117"/>
      <c r="G148" s="84"/>
      <c r="H148" s="101">
        <v>143</v>
      </c>
      <c r="I148" s="102" t="str">
        <f t="shared" si="10"/>
        <v/>
      </c>
      <c r="J148" s="101">
        <f t="shared" si="13"/>
        <v>-4</v>
      </c>
      <c r="K148" s="101">
        <f t="shared" si="11"/>
        <v>-40</v>
      </c>
      <c r="L148" s="101"/>
      <c r="M148" s="103">
        <f t="shared" si="12"/>
        <v>0</v>
      </c>
    </row>
    <row r="149" spans="1:13" x14ac:dyDescent="0.25">
      <c r="A149" s="117"/>
      <c r="G149" s="84"/>
      <c r="H149" s="101">
        <v>144</v>
      </c>
      <c r="I149" s="102" t="str">
        <f t="shared" si="10"/>
        <v/>
      </c>
      <c r="J149" s="101">
        <f t="shared" si="13"/>
        <v>-4</v>
      </c>
      <c r="K149" s="101">
        <f t="shared" si="11"/>
        <v>-40</v>
      </c>
      <c r="L149" s="101"/>
      <c r="M149" s="103">
        <f t="shared" si="12"/>
        <v>0</v>
      </c>
    </row>
    <row r="150" spans="1:13" x14ac:dyDescent="0.25">
      <c r="A150" s="117"/>
      <c r="G150" s="84"/>
      <c r="H150" s="101">
        <v>145</v>
      </c>
      <c r="I150" s="102" t="str">
        <f t="shared" si="10"/>
        <v/>
      </c>
      <c r="J150" s="101">
        <f t="shared" si="13"/>
        <v>-4</v>
      </c>
      <c r="K150" s="101">
        <f t="shared" si="11"/>
        <v>-40</v>
      </c>
      <c r="L150" s="101"/>
      <c r="M150" s="103">
        <f t="shared" si="12"/>
        <v>0</v>
      </c>
    </row>
    <row r="151" spans="1:13" x14ac:dyDescent="0.25">
      <c r="A151" s="117"/>
      <c r="G151" s="84"/>
      <c r="H151" s="101">
        <v>146</v>
      </c>
      <c r="I151" s="102" t="str">
        <f t="shared" si="10"/>
        <v/>
      </c>
      <c r="J151" s="101">
        <f t="shared" si="13"/>
        <v>-4</v>
      </c>
      <c r="K151" s="101">
        <f t="shared" si="11"/>
        <v>-40</v>
      </c>
      <c r="L151" s="101"/>
      <c r="M151" s="103">
        <f t="shared" si="12"/>
        <v>0</v>
      </c>
    </row>
    <row r="152" spans="1:13" x14ac:dyDescent="0.25">
      <c r="A152" s="117"/>
      <c r="G152" s="84"/>
      <c r="H152" s="101">
        <v>147</v>
      </c>
      <c r="I152" s="102" t="str">
        <f t="shared" si="10"/>
        <v/>
      </c>
      <c r="J152" s="101">
        <f t="shared" si="13"/>
        <v>-4</v>
      </c>
      <c r="K152" s="101">
        <f t="shared" si="11"/>
        <v>-40</v>
      </c>
      <c r="L152" s="101"/>
      <c r="M152" s="103">
        <f t="shared" si="12"/>
        <v>0</v>
      </c>
    </row>
    <row r="153" spans="1:13" x14ac:dyDescent="0.25">
      <c r="A153" s="117"/>
      <c r="G153" s="84"/>
      <c r="H153" s="101">
        <v>148</v>
      </c>
      <c r="I153" s="102" t="str">
        <f t="shared" si="10"/>
        <v/>
      </c>
      <c r="J153" s="101">
        <f t="shared" si="13"/>
        <v>-4</v>
      </c>
      <c r="K153" s="101">
        <f t="shared" si="11"/>
        <v>-40</v>
      </c>
      <c r="L153" s="101"/>
      <c r="M153" s="103">
        <f t="shared" si="12"/>
        <v>0</v>
      </c>
    </row>
    <row r="154" spans="1:13" x14ac:dyDescent="0.25">
      <c r="A154" s="117"/>
      <c r="G154" s="84"/>
      <c r="H154" s="101">
        <v>149</v>
      </c>
      <c r="I154" s="102" t="str">
        <f t="shared" si="10"/>
        <v/>
      </c>
      <c r="J154" s="101">
        <f t="shared" si="13"/>
        <v>-4</v>
      </c>
      <c r="K154" s="101">
        <f t="shared" si="11"/>
        <v>-40</v>
      </c>
      <c r="L154" s="101"/>
      <c r="M154" s="103">
        <f t="shared" si="12"/>
        <v>0</v>
      </c>
    </row>
    <row r="155" spans="1:13" x14ac:dyDescent="0.25">
      <c r="A155" s="117"/>
      <c r="G155" s="84"/>
      <c r="H155" s="101">
        <v>150</v>
      </c>
      <c r="I155" s="102" t="str">
        <f t="shared" si="10"/>
        <v/>
      </c>
      <c r="J155" s="101">
        <f t="shared" si="13"/>
        <v>-4</v>
      </c>
      <c r="K155" s="101">
        <f t="shared" si="11"/>
        <v>-40</v>
      </c>
      <c r="L155" s="101"/>
      <c r="M155" s="103">
        <f t="shared" si="12"/>
        <v>0</v>
      </c>
    </row>
    <row r="156" spans="1:13" x14ac:dyDescent="0.25">
      <c r="A156" s="117"/>
      <c r="G156" s="84"/>
      <c r="H156" s="101">
        <v>151</v>
      </c>
      <c r="I156" s="102" t="str">
        <f t="shared" si="10"/>
        <v/>
      </c>
      <c r="J156" s="101">
        <f t="shared" si="13"/>
        <v>-4</v>
      </c>
      <c r="K156" s="101">
        <f t="shared" si="11"/>
        <v>-40</v>
      </c>
      <c r="L156" s="101"/>
      <c r="M156" s="103">
        <f t="shared" si="12"/>
        <v>0</v>
      </c>
    </row>
    <row r="157" spans="1:13" x14ac:dyDescent="0.25">
      <c r="A157" s="117"/>
      <c r="G157" s="84"/>
      <c r="H157" s="101">
        <v>152</v>
      </c>
      <c r="I157" s="102" t="str">
        <f t="shared" si="10"/>
        <v/>
      </c>
      <c r="J157" s="101">
        <f t="shared" si="13"/>
        <v>-4</v>
      </c>
      <c r="K157" s="101">
        <f t="shared" si="11"/>
        <v>-40</v>
      </c>
      <c r="L157" s="101"/>
      <c r="M157" s="103">
        <f t="shared" si="12"/>
        <v>0</v>
      </c>
    </row>
    <row r="158" spans="1:13" x14ac:dyDescent="0.25">
      <c r="A158" s="117"/>
      <c r="G158" s="84"/>
      <c r="H158" s="101">
        <v>153</v>
      </c>
      <c r="I158" s="102" t="str">
        <f t="shared" si="10"/>
        <v/>
      </c>
      <c r="J158" s="101">
        <f t="shared" si="13"/>
        <v>-4</v>
      </c>
      <c r="K158" s="101">
        <f t="shared" si="11"/>
        <v>-40</v>
      </c>
      <c r="L158" s="101"/>
      <c r="M158" s="103">
        <f t="shared" si="12"/>
        <v>0</v>
      </c>
    </row>
    <row r="159" spans="1:13" x14ac:dyDescent="0.25">
      <c r="A159" s="117"/>
      <c r="G159" s="84"/>
      <c r="H159" s="101">
        <v>154</v>
      </c>
      <c r="I159" s="102" t="str">
        <f t="shared" si="10"/>
        <v/>
      </c>
      <c r="J159" s="101">
        <f t="shared" si="13"/>
        <v>-4</v>
      </c>
      <c r="K159" s="101">
        <f t="shared" si="11"/>
        <v>-40</v>
      </c>
      <c r="L159" s="101"/>
      <c r="M159" s="103">
        <f t="shared" si="12"/>
        <v>0</v>
      </c>
    </row>
    <row r="160" spans="1:13" x14ac:dyDescent="0.25">
      <c r="A160" s="117"/>
      <c r="G160" s="84"/>
      <c r="H160" s="101">
        <v>155</v>
      </c>
      <c r="I160" s="102" t="str">
        <f t="shared" si="10"/>
        <v/>
      </c>
      <c r="J160" s="101">
        <f t="shared" si="13"/>
        <v>-4</v>
      </c>
      <c r="K160" s="101">
        <f t="shared" si="11"/>
        <v>-40</v>
      </c>
      <c r="L160" s="101"/>
      <c r="M160" s="103">
        <f t="shared" si="12"/>
        <v>0</v>
      </c>
    </row>
    <row r="161" spans="1:13" x14ac:dyDescent="0.25">
      <c r="A161" s="117"/>
      <c r="G161" s="84"/>
      <c r="H161" s="101">
        <v>156</v>
      </c>
      <c r="I161" s="102" t="str">
        <f t="shared" si="10"/>
        <v/>
      </c>
      <c r="J161" s="101">
        <f t="shared" si="13"/>
        <v>-4</v>
      </c>
      <c r="K161" s="101">
        <f t="shared" si="11"/>
        <v>-40</v>
      </c>
      <c r="L161" s="101"/>
      <c r="M161" s="103">
        <f t="shared" si="12"/>
        <v>0</v>
      </c>
    </row>
    <row r="162" spans="1:13" x14ac:dyDescent="0.25">
      <c r="A162" s="117"/>
      <c r="G162" s="84"/>
      <c r="H162" s="101">
        <v>157</v>
      </c>
      <c r="I162" s="102" t="str">
        <f t="shared" si="10"/>
        <v/>
      </c>
      <c r="J162" s="101">
        <f t="shared" si="13"/>
        <v>-4</v>
      </c>
      <c r="K162" s="101">
        <f t="shared" si="11"/>
        <v>-40</v>
      </c>
      <c r="L162" s="101"/>
      <c r="M162" s="103">
        <f t="shared" si="12"/>
        <v>0</v>
      </c>
    </row>
    <row r="163" spans="1:13" x14ac:dyDescent="0.25">
      <c r="A163" s="117"/>
      <c r="G163" s="84"/>
      <c r="H163" s="101">
        <v>158</v>
      </c>
      <c r="I163" s="102" t="str">
        <f t="shared" si="10"/>
        <v/>
      </c>
      <c r="J163" s="101">
        <f t="shared" si="13"/>
        <v>-4</v>
      </c>
      <c r="K163" s="101">
        <f t="shared" si="11"/>
        <v>-40</v>
      </c>
      <c r="L163" s="101"/>
      <c r="M163" s="103">
        <f t="shared" si="12"/>
        <v>0</v>
      </c>
    </row>
    <row r="164" spans="1:13" x14ac:dyDescent="0.25">
      <c r="A164" s="117"/>
      <c r="G164" s="84"/>
      <c r="H164" s="101">
        <v>159</v>
      </c>
      <c r="I164" s="102" t="str">
        <f t="shared" si="10"/>
        <v/>
      </c>
      <c r="J164" s="101">
        <f t="shared" si="13"/>
        <v>-4</v>
      </c>
      <c r="K164" s="101">
        <f t="shared" si="11"/>
        <v>-40</v>
      </c>
      <c r="L164" s="101"/>
      <c r="M164" s="103">
        <f t="shared" si="12"/>
        <v>0</v>
      </c>
    </row>
    <row r="165" spans="1:13" x14ac:dyDescent="0.25">
      <c r="A165" s="117"/>
      <c r="G165" s="84"/>
      <c r="H165" s="101">
        <v>160</v>
      </c>
      <c r="I165" s="102" t="str">
        <f t="shared" si="10"/>
        <v/>
      </c>
      <c r="J165" s="101">
        <f t="shared" si="13"/>
        <v>-4</v>
      </c>
      <c r="K165" s="101">
        <f t="shared" si="11"/>
        <v>-40</v>
      </c>
      <c r="L165" s="101"/>
      <c r="M165" s="103">
        <f t="shared" si="12"/>
        <v>0</v>
      </c>
    </row>
    <row r="166" spans="1:13" x14ac:dyDescent="0.25">
      <c r="A166" s="117"/>
      <c r="G166" s="84"/>
      <c r="H166" s="101">
        <v>161</v>
      </c>
      <c r="I166" s="102" t="str">
        <f t="shared" si="10"/>
        <v/>
      </c>
      <c r="J166" s="101">
        <f t="shared" si="13"/>
        <v>-4</v>
      </c>
      <c r="K166" s="101">
        <f t="shared" si="11"/>
        <v>-40</v>
      </c>
      <c r="L166" s="101"/>
      <c r="M166" s="103">
        <f t="shared" si="12"/>
        <v>0</v>
      </c>
    </row>
    <row r="167" spans="1:13" x14ac:dyDescent="0.25">
      <c r="A167" s="117"/>
      <c r="G167" s="84"/>
      <c r="H167" s="101">
        <v>162</v>
      </c>
      <c r="I167" s="102" t="str">
        <f t="shared" si="10"/>
        <v/>
      </c>
      <c r="J167" s="101">
        <f t="shared" si="13"/>
        <v>-4</v>
      </c>
      <c r="K167" s="101">
        <f t="shared" si="11"/>
        <v>-40</v>
      </c>
      <c r="L167" s="101"/>
      <c r="M167" s="103">
        <f t="shared" si="12"/>
        <v>0</v>
      </c>
    </row>
    <row r="168" spans="1:13" x14ac:dyDescent="0.25">
      <c r="A168" s="117"/>
      <c r="G168" s="84"/>
      <c r="H168" s="101">
        <v>163</v>
      </c>
      <c r="I168" s="102" t="str">
        <f t="shared" si="10"/>
        <v/>
      </c>
      <c r="J168" s="101">
        <f t="shared" si="13"/>
        <v>-4</v>
      </c>
      <c r="K168" s="101">
        <f t="shared" si="11"/>
        <v>-40</v>
      </c>
      <c r="L168" s="101"/>
      <c r="M168" s="103">
        <f t="shared" si="12"/>
        <v>0</v>
      </c>
    </row>
    <row r="169" spans="1:13" x14ac:dyDescent="0.25">
      <c r="A169" s="117"/>
      <c r="G169" s="84"/>
      <c r="H169" s="101">
        <v>164</v>
      </c>
      <c r="I169" s="102" t="str">
        <f t="shared" si="10"/>
        <v/>
      </c>
      <c r="J169" s="101">
        <f t="shared" si="13"/>
        <v>-4</v>
      </c>
      <c r="K169" s="101">
        <f t="shared" si="11"/>
        <v>-40</v>
      </c>
      <c r="L169" s="101"/>
      <c r="M169" s="103">
        <f t="shared" si="12"/>
        <v>0</v>
      </c>
    </row>
    <row r="170" spans="1:13" x14ac:dyDescent="0.25">
      <c r="A170" s="117"/>
      <c r="G170" s="84"/>
      <c r="H170" s="101">
        <v>165</v>
      </c>
      <c r="I170" s="102" t="str">
        <f t="shared" si="10"/>
        <v/>
      </c>
      <c r="J170" s="101">
        <f t="shared" si="13"/>
        <v>-4</v>
      </c>
      <c r="K170" s="101">
        <f t="shared" si="11"/>
        <v>-40</v>
      </c>
      <c r="L170" s="101"/>
      <c r="M170" s="103">
        <f t="shared" si="12"/>
        <v>0</v>
      </c>
    </row>
    <row r="171" spans="1:13" x14ac:dyDescent="0.25">
      <c r="A171" s="117"/>
      <c r="G171" s="84"/>
      <c r="H171" s="101">
        <v>166</v>
      </c>
      <c r="I171" s="102" t="str">
        <f t="shared" si="10"/>
        <v/>
      </c>
      <c r="J171" s="101">
        <f t="shared" si="13"/>
        <v>-4</v>
      </c>
      <c r="K171" s="101">
        <f t="shared" si="11"/>
        <v>-40</v>
      </c>
      <c r="L171" s="101"/>
      <c r="M171" s="103">
        <f t="shared" si="12"/>
        <v>0</v>
      </c>
    </row>
    <row r="172" spans="1:13" x14ac:dyDescent="0.25">
      <c r="A172" s="117"/>
      <c r="G172" s="84"/>
      <c r="H172" s="101">
        <v>167</v>
      </c>
      <c r="I172" s="102" t="str">
        <f t="shared" si="10"/>
        <v/>
      </c>
      <c r="J172" s="101">
        <f t="shared" si="13"/>
        <v>-4</v>
      </c>
      <c r="K172" s="101">
        <f t="shared" si="11"/>
        <v>-40</v>
      </c>
      <c r="L172" s="101"/>
      <c r="M172" s="103">
        <f t="shared" si="12"/>
        <v>0</v>
      </c>
    </row>
    <row r="173" spans="1:13" x14ac:dyDescent="0.25">
      <c r="A173" s="117"/>
      <c r="G173" s="84"/>
      <c r="H173" s="101">
        <v>168</v>
      </c>
      <c r="I173" s="102" t="str">
        <f t="shared" si="10"/>
        <v/>
      </c>
      <c r="J173" s="101">
        <f t="shared" si="13"/>
        <v>-4</v>
      </c>
      <c r="K173" s="101">
        <f t="shared" si="11"/>
        <v>-40</v>
      </c>
      <c r="L173" s="101"/>
      <c r="M173" s="103">
        <f t="shared" si="12"/>
        <v>0</v>
      </c>
    </row>
    <row r="174" spans="1:13" x14ac:dyDescent="0.25">
      <c r="A174" s="117"/>
      <c r="G174" s="84"/>
      <c r="H174" s="101">
        <v>169</v>
      </c>
      <c r="I174" s="102" t="str">
        <f t="shared" si="10"/>
        <v/>
      </c>
      <c r="J174" s="101">
        <f t="shared" si="13"/>
        <v>-4</v>
      </c>
      <c r="K174" s="101">
        <f t="shared" si="11"/>
        <v>-40</v>
      </c>
      <c r="L174" s="101"/>
      <c r="M174" s="103">
        <f t="shared" si="12"/>
        <v>0</v>
      </c>
    </row>
    <row r="175" spans="1:13" x14ac:dyDescent="0.25">
      <c r="A175" s="117"/>
      <c r="G175" s="84"/>
      <c r="H175" s="101">
        <v>170</v>
      </c>
      <c r="I175" s="102" t="str">
        <f t="shared" si="10"/>
        <v/>
      </c>
      <c r="J175" s="101">
        <f t="shared" si="13"/>
        <v>-4</v>
      </c>
      <c r="K175" s="101">
        <f t="shared" si="11"/>
        <v>-40</v>
      </c>
      <c r="L175" s="101"/>
      <c r="M175" s="103">
        <f t="shared" si="12"/>
        <v>0</v>
      </c>
    </row>
    <row r="176" spans="1:13" x14ac:dyDescent="0.25">
      <c r="A176" s="117"/>
      <c r="G176" s="84"/>
      <c r="H176" s="101">
        <v>171</v>
      </c>
      <c r="I176" s="102" t="str">
        <f t="shared" si="10"/>
        <v/>
      </c>
      <c r="J176" s="101">
        <f t="shared" si="13"/>
        <v>-4</v>
      </c>
      <c r="K176" s="101">
        <f t="shared" si="11"/>
        <v>-40</v>
      </c>
      <c r="L176" s="101"/>
      <c r="M176" s="103">
        <f t="shared" si="12"/>
        <v>0</v>
      </c>
    </row>
    <row r="177" spans="1:13" x14ac:dyDescent="0.25">
      <c r="A177" s="117"/>
      <c r="G177" s="84"/>
      <c r="H177" s="101">
        <v>172</v>
      </c>
      <c r="I177" s="102" t="str">
        <f t="shared" si="10"/>
        <v/>
      </c>
      <c r="J177" s="101">
        <f t="shared" si="13"/>
        <v>-4</v>
      </c>
      <c r="K177" s="101">
        <f t="shared" si="11"/>
        <v>-40</v>
      </c>
      <c r="L177" s="101"/>
      <c r="M177" s="103">
        <f t="shared" si="12"/>
        <v>0</v>
      </c>
    </row>
    <row r="178" spans="1:13" x14ac:dyDescent="0.25">
      <c r="A178" s="117"/>
      <c r="G178" s="84"/>
      <c r="H178" s="101">
        <v>173</v>
      </c>
      <c r="I178" s="102" t="str">
        <f t="shared" si="10"/>
        <v/>
      </c>
      <c r="J178" s="101">
        <f t="shared" si="13"/>
        <v>-4</v>
      </c>
      <c r="K178" s="101">
        <f t="shared" si="11"/>
        <v>-40</v>
      </c>
      <c r="L178" s="101"/>
      <c r="M178" s="103">
        <f t="shared" si="12"/>
        <v>0</v>
      </c>
    </row>
    <row r="179" spans="1:13" x14ac:dyDescent="0.25">
      <c r="A179" s="117"/>
      <c r="G179" s="84"/>
      <c r="H179" s="101">
        <v>174</v>
      </c>
      <c r="I179" s="102" t="str">
        <f t="shared" si="10"/>
        <v/>
      </c>
      <c r="J179" s="101">
        <f t="shared" si="13"/>
        <v>-4</v>
      </c>
      <c r="K179" s="101">
        <f t="shared" si="11"/>
        <v>-40</v>
      </c>
      <c r="L179" s="101"/>
      <c r="M179" s="103">
        <f t="shared" si="12"/>
        <v>0</v>
      </c>
    </row>
    <row r="180" spans="1:13" x14ac:dyDescent="0.25">
      <c r="A180" s="117"/>
      <c r="G180" s="84"/>
      <c r="H180" s="101">
        <v>175</v>
      </c>
      <c r="I180" s="102" t="str">
        <f t="shared" si="10"/>
        <v/>
      </c>
      <c r="J180" s="101">
        <f t="shared" si="13"/>
        <v>-4</v>
      </c>
      <c r="K180" s="101">
        <f t="shared" si="11"/>
        <v>-40</v>
      </c>
      <c r="L180" s="101"/>
      <c r="M180" s="103">
        <f t="shared" si="12"/>
        <v>0</v>
      </c>
    </row>
    <row r="181" spans="1:13" x14ac:dyDescent="0.25">
      <c r="A181" s="117"/>
      <c r="G181" s="84"/>
      <c r="H181" s="101">
        <v>176</v>
      </c>
      <c r="I181" s="102" t="str">
        <f t="shared" si="10"/>
        <v/>
      </c>
      <c r="J181" s="101">
        <f t="shared" si="13"/>
        <v>-4</v>
      </c>
      <c r="K181" s="101">
        <f t="shared" si="11"/>
        <v>-40</v>
      </c>
      <c r="L181" s="101"/>
      <c r="M181" s="103">
        <f t="shared" si="12"/>
        <v>0</v>
      </c>
    </row>
    <row r="182" spans="1:13" x14ac:dyDescent="0.25">
      <c r="A182" s="117"/>
      <c r="G182" s="84"/>
      <c r="H182" s="101">
        <v>177</v>
      </c>
      <c r="I182" s="102" t="str">
        <f t="shared" si="10"/>
        <v/>
      </c>
      <c r="J182" s="101">
        <f t="shared" si="13"/>
        <v>-4</v>
      </c>
      <c r="K182" s="101">
        <f t="shared" si="11"/>
        <v>-40</v>
      </c>
      <c r="L182" s="101"/>
      <c r="M182" s="103">
        <f t="shared" si="12"/>
        <v>0</v>
      </c>
    </row>
    <row r="183" spans="1:13" x14ac:dyDescent="0.25">
      <c r="A183" s="117"/>
      <c r="G183" s="84"/>
      <c r="H183" s="101">
        <v>178</v>
      </c>
      <c r="I183" s="102" t="str">
        <f t="shared" si="10"/>
        <v/>
      </c>
      <c r="J183" s="101">
        <f t="shared" si="13"/>
        <v>-4</v>
      </c>
      <c r="K183" s="101">
        <f t="shared" si="11"/>
        <v>-40</v>
      </c>
      <c r="L183" s="101"/>
      <c r="M183" s="103">
        <f t="shared" si="12"/>
        <v>0</v>
      </c>
    </row>
    <row r="184" spans="1:13" x14ac:dyDescent="0.25">
      <c r="A184" s="117"/>
      <c r="G184" s="84"/>
      <c r="H184" s="101">
        <v>179</v>
      </c>
      <c r="I184" s="102" t="str">
        <f t="shared" si="10"/>
        <v/>
      </c>
      <c r="J184" s="101">
        <f t="shared" si="13"/>
        <v>-4</v>
      </c>
      <c r="K184" s="101">
        <f t="shared" si="11"/>
        <v>-40</v>
      </c>
      <c r="L184" s="101"/>
      <c r="M184" s="103">
        <f t="shared" si="12"/>
        <v>0</v>
      </c>
    </row>
    <row r="185" spans="1:13" x14ac:dyDescent="0.25">
      <c r="A185" s="117"/>
      <c r="G185" s="84"/>
      <c r="H185" s="101">
        <v>180</v>
      </c>
      <c r="I185" s="102" t="str">
        <f t="shared" si="10"/>
        <v/>
      </c>
      <c r="J185" s="101">
        <f t="shared" si="13"/>
        <v>-4</v>
      </c>
      <c r="K185" s="101">
        <f t="shared" si="11"/>
        <v>-40</v>
      </c>
      <c r="L185" s="101"/>
      <c r="M185" s="103">
        <f t="shared" si="12"/>
        <v>0</v>
      </c>
    </row>
    <row r="186" spans="1:13" x14ac:dyDescent="0.25">
      <c r="A186" s="117"/>
      <c r="G186" s="84"/>
      <c r="H186" s="101">
        <v>181</v>
      </c>
      <c r="I186" s="102" t="str">
        <f t="shared" si="10"/>
        <v/>
      </c>
      <c r="J186" s="101">
        <f t="shared" si="13"/>
        <v>-4</v>
      </c>
      <c r="K186" s="101">
        <f t="shared" si="11"/>
        <v>-40</v>
      </c>
      <c r="L186" s="101"/>
      <c r="M186" s="103">
        <f t="shared" si="12"/>
        <v>0</v>
      </c>
    </row>
    <row r="187" spans="1:13" x14ac:dyDescent="0.25">
      <c r="A187" s="117"/>
      <c r="G187" s="84"/>
      <c r="H187" s="101">
        <v>182</v>
      </c>
      <c r="I187" s="102" t="str">
        <f t="shared" si="10"/>
        <v/>
      </c>
      <c r="J187" s="101">
        <f t="shared" si="13"/>
        <v>-4</v>
      </c>
      <c r="K187" s="101">
        <f t="shared" si="11"/>
        <v>-40</v>
      </c>
      <c r="L187" s="101"/>
      <c r="M187" s="103">
        <f t="shared" si="12"/>
        <v>0</v>
      </c>
    </row>
    <row r="188" spans="1:13" x14ac:dyDescent="0.25">
      <c r="A188" s="117"/>
      <c r="G188" s="84"/>
      <c r="H188" s="101">
        <v>183</v>
      </c>
      <c r="I188" s="102" t="str">
        <f t="shared" si="10"/>
        <v/>
      </c>
      <c r="J188" s="101">
        <f t="shared" si="13"/>
        <v>-4</v>
      </c>
      <c r="K188" s="101">
        <f t="shared" si="11"/>
        <v>-40</v>
      </c>
      <c r="L188" s="101"/>
      <c r="M188" s="103">
        <f t="shared" si="12"/>
        <v>0</v>
      </c>
    </row>
    <row r="189" spans="1:13" x14ac:dyDescent="0.25">
      <c r="A189" s="117"/>
      <c r="G189" s="84"/>
      <c r="H189" s="101">
        <v>184</v>
      </c>
      <c r="I189" s="102" t="str">
        <f t="shared" si="10"/>
        <v/>
      </c>
      <c r="J189" s="101">
        <f t="shared" si="13"/>
        <v>-4</v>
      </c>
      <c r="K189" s="101">
        <f t="shared" si="11"/>
        <v>-40</v>
      </c>
      <c r="L189" s="101"/>
      <c r="M189" s="103">
        <f t="shared" si="12"/>
        <v>0</v>
      </c>
    </row>
    <row r="190" spans="1:13" x14ac:dyDescent="0.25">
      <c r="A190" s="117"/>
      <c r="G190" s="84"/>
      <c r="H190" s="101">
        <v>185</v>
      </c>
      <c r="I190" s="102" t="str">
        <f t="shared" si="10"/>
        <v/>
      </c>
      <c r="J190" s="101">
        <f t="shared" si="13"/>
        <v>-4</v>
      </c>
      <c r="K190" s="101">
        <f t="shared" si="11"/>
        <v>-40</v>
      </c>
      <c r="L190" s="101"/>
      <c r="M190" s="103">
        <f t="shared" si="12"/>
        <v>0</v>
      </c>
    </row>
    <row r="191" spans="1:13" x14ac:dyDescent="0.25">
      <c r="A191" s="117"/>
      <c r="G191" s="84"/>
      <c r="H191" s="101">
        <v>186</v>
      </c>
      <c r="I191" s="102" t="str">
        <f t="shared" si="10"/>
        <v/>
      </c>
      <c r="J191" s="101">
        <f t="shared" si="13"/>
        <v>-4</v>
      </c>
      <c r="K191" s="101">
        <f t="shared" si="11"/>
        <v>-40</v>
      </c>
      <c r="L191" s="101"/>
      <c r="M191" s="103">
        <f t="shared" si="12"/>
        <v>0</v>
      </c>
    </row>
    <row r="192" spans="1:13" x14ac:dyDescent="0.25">
      <c r="A192" s="117"/>
      <c r="G192" s="84"/>
      <c r="H192" s="101">
        <v>187</v>
      </c>
      <c r="I192" s="102" t="str">
        <f t="shared" si="10"/>
        <v/>
      </c>
      <c r="J192" s="101">
        <f t="shared" si="13"/>
        <v>-4</v>
      </c>
      <c r="K192" s="101">
        <f t="shared" si="11"/>
        <v>-40</v>
      </c>
      <c r="L192" s="101"/>
      <c r="M192" s="103">
        <f t="shared" si="12"/>
        <v>0</v>
      </c>
    </row>
    <row r="193" spans="1:13" x14ac:dyDescent="0.25">
      <c r="A193" s="117"/>
      <c r="G193" s="84"/>
      <c r="H193" s="101">
        <v>188</v>
      </c>
      <c r="I193" s="102" t="str">
        <f t="shared" si="10"/>
        <v/>
      </c>
      <c r="J193" s="101">
        <f t="shared" si="13"/>
        <v>-4</v>
      </c>
      <c r="K193" s="101">
        <f t="shared" si="11"/>
        <v>-40</v>
      </c>
      <c r="L193" s="101"/>
      <c r="M193" s="103">
        <f t="shared" si="12"/>
        <v>0</v>
      </c>
    </row>
    <row r="194" spans="1:13" x14ac:dyDescent="0.25">
      <c r="A194" s="117"/>
      <c r="G194" s="84"/>
      <c r="H194" s="101">
        <v>189</v>
      </c>
      <c r="I194" s="102" t="str">
        <f t="shared" si="10"/>
        <v/>
      </c>
      <c r="J194" s="101">
        <f t="shared" si="13"/>
        <v>-4</v>
      </c>
      <c r="K194" s="101">
        <f t="shared" si="11"/>
        <v>-40</v>
      </c>
      <c r="L194" s="101"/>
      <c r="M194" s="103">
        <f t="shared" si="12"/>
        <v>0</v>
      </c>
    </row>
    <row r="195" spans="1:13" x14ac:dyDescent="0.25">
      <c r="A195" s="117"/>
      <c r="G195" s="84"/>
      <c r="H195" s="101">
        <v>190</v>
      </c>
      <c r="I195" s="102" t="str">
        <f t="shared" si="10"/>
        <v/>
      </c>
      <c r="J195" s="101">
        <f t="shared" si="13"/>
        <v>-4</v>
      </c>
      <c r="K195" s="101">
        <f t="shared" si="11"/>
        <v>-40</v>
      </c>
      <c r="L195" s="101"/>
      <c r="M195" s="103">
        <f t="shared" si="12"/>
        <v>0</v>
      </c>
    </row>
    <row r="196" spans="1:13" x14ac:dyDescent="0.25">
      <c r="A196" s="117"/>
      <c r="G196" s="84"/>
      <c r="H196" s="101">
        <v>191</v>
      </c>
      <c r="I196" s="102" t="str">
        <f t="shared" si="10"/>
        <v/>
      </c>
      <c r="J196" s="101">
        <f t="shared" si="13"/>
        <v>-4</v>
      </c>
      <c r="K196" s="101">
        <f t="shared" si="11"/>
        <v>-40</v>
      </c>
      <c r="L196" s="101"/>
      <c r="M196" s="103">
        <f t="shared" si="12"/>
        <v>0</v>
      </c>
    </row>
    <row r="197" spans="1:13" x14ac:dyDescent="0.25">
      <c r="A197" s="117"/>
      <c r="G197" s="84"/>
      <c r="H197" s="101">
        <v>192</v>
      </c>
      <c r="I197" s="102" t="str">
        <f t="shared" si="10"/>
        <v/>
      </c>
      <c r="J197" s="101">
        <f t="shared" si="13"/>
        <v>-4</v>
      </c>
      <c r="K197" s="101">
        <f t="shared" si="11"/>
        <v>-40</v>
      </c>
      <c r="L197" s="101"/>
      <c r="M197" s="103">
        <f t="shared" si="12"/>
        <v>0</v>
      </c>
    </row>
    <row r="198" spans="1:13" x14ac:dyDescent="0.25">
      <c r="A198" s="117"/>
      <c r="G198" s="84"/>
      <c r="H198" s="101">
        <v>193</v>
      </c>
      <c r="I198" s="102" t="str">
        <f t="shared" ref="I198:I261" si="14">IF(H198&lt;$H$2+1,($I$2-($I$2-1)*(LOG(H198)/LOG($H$2))),"")</f>
        <v/>
      </c>
      <c r="J198" s="101">
        <f t="shared" si="13"/>
        <v>-4</v>
      </c>
      <c r="K198" s="101">
        <f t="shared" ref="K198:K261" si="15">J198*$J$2</f>
        <v>-40</v>
      </c>
      <c r="L198" s="101"/>
      <c r="M198" s="103">
        <f t="shared" ref="M198:M261" si="16">IF(I198&lt;&gt;"",K198+I198+L198,0)</f>
        <v>0</v>
      </c>
    </row>
    <row r="199" spans="1:13" x14ac:dyDescent="0.25">
      <c r="A199" s="117"/>
      <c r="G199" s="84"/>
      <c r="H199" s="101">
        <v>194</v>
      </c>
      <c r="I199" s="102" t="str">
        <f t="shared" si="14"/>
        <v/>
      </c>
      <c r="J199" s="101">
        <f t="shared" ref="J199:J262" si="17">INT(LOG($H$2,2))-ROUNDUP(LOG(H199,2),0)+IF(OR($H$2=1,$H$2=2,$H$2=4,$H$2=8,$H$2=16,$H$2=32,$H$2=64,$H$2=128,$H$2=256),0,1)</f>
        <v>-4</v>
      </c>
      <c r="K199" s="101">
        <f t="shared" si="15"/>
        <v>-40</v>
      </c>
      <c r="L199" s="101"/>
      <c r="M199" s="103">
        <f t="shared" si="16"/>
        <v>0</v>
      </c>
    </row>
    <row r="200" spans="1:13" x14ac:dyDescent="0.25">
      <c r="A200" s="117"/>
      <c r="G200" s="84"/>
      <c r="H200" s="101">
        <v>195</v>
      </c>
      <c r="I200" s="102" t="str">
        <f t="shared" si="14"/>
        <v/>
      </c>
      <c r="J200" s="101">
        <f t="shared" si="17"/>
        <v>-4</v>
      </c>
      <c r="K200" s="101">
        <f t="shared" si="15"/>
        <v>-40</v>
      </c>
      <c r="L200" s="101"/>
      <c r="M200" s="103">
        <f t="shared" si="16"/>
        <v>0</v>
      </c>
    </row>
    <row r="201" spans="1:13" x14ac:dyDescent="0.25">
      <c r="A201" s="117"/>
      <c r="G201" s="84"/>
      <c r="H201" s="101">
        <v>196</v>
      </c>
      <c r="I201" s="102" t="str">
        <f t="shared" si="14"/>
        <v/>
      </c>
      <c r="J201" s="101">
        <f t="shared" si="17"/>
        <v>-4</v>
      </c>
      <c r="K201" s="101">
        <f t="shared" si="15"/>
        <v>-40</v>
      </c>
      <c r="L201" s="101"/>
      <c r="M201" s="103">
        <f t="shared" si="16"/>
        <v>0</v>
      </c>
    </row>
    <row r="202" spans="1:13" x14ac:dyDescent="0.25">
      <c r="A202" s="117"/>
      <c r="G202" s="84"/>
      <c r="H202" s="101">
        <v>197</v>
      </c>
      <c r="I202" s="102" t="str">
        <f t="shared" si="14"/>
        <v/>
      </c>
      <c r="J202" s="101">
        <f t="shared" si="17"/>
        <v>-4</v>
      </c>
      <c r="K202" s="101">
        <f t="shared" si="15"/>
        <v>-40</v>
      </c>
      <c r="L202" s="101"/>
      <c r="M202" s="103">
        <f t="shared" si="16"/>
        <v>0</v>
      </c>
    </row>
    <row r="203" spans="1:13" x14ac:dyDescent="0.25">
      <c r="A203" s="117"/>
      <c r="G203" s="84"/>
      <c r="H203" s="101">
        <v>198</v>
      </c>
      <c r="I203" s="102" t="str">
        <f t="shared" si="14"/>
        <v/>
      </c>
      <c r="J203" s="101">
        <f t="shared" si="17"/>
        <v>-4</v>
      </c>
      <c r="K203" s="101">
        <f t="shared" si="15"/>
        <v>-40</v>
      </c>
      <c r="L203" s="101"/>
      <c r="M203" s="103">
        <f t="shared" si="16"/>
        <v>0</v>
      </c>
    </row>
    <row r="204" spans="1:13" x14ac:dyDescent="0.25">
      <c r="A204" s="117"/>
      <c r="G204" s="84"/>
      <c r="H204" s="101">
        <v>199</v>
      </c>
      <c r="I204" s="102" t="str">
        <f t="shared" si="14"/>
        <v/>
      </c>
      <c r="J204" s="101">
        <f t="shared" si="17"/>
        <v>-4</v>
      </c>
      <c r="K204" s="101">
        <f t="shared" si="15"/>
        <v>-40</v>
      </c>
      <c r="L204" s="101"/>
      <c r="M204" s="103">
        <f t="shared" si="16"/>
        <v>0</v>
      </c>
    </row>
    <row r="205" spans="1:13" x14ac:dyDescent="0.25">
      <c r="A205" s="117"/>
      <c r="G205" s="84"/>
      <c r="H205" s="101">
        <v>200</v>
      </c>
      <c r="I205" s="102" t="str">
        <f t="shared" si="14"/>
        <v/>
      </c>
      <c r="J205" s="101">
        <f t="shared" si="17"/>
        <v>-4</v>
      </c>
      <c r="K205" s="101">
        <f t="shared" si="15"/>
        <v>-40</v>
      </c>
      <c r="L205" s="101"/>
      <c r="M205" s="103">
        <f t="shared" si="16"/>
        <v>0</v>
      </c>
    </row>
    <row r="206" spans="1:13" x14ac:dyDescent="0.25">
      <c r="A206" s="117"/>
      <c r="G206" s="84"/>
      <c r="H206" s="101">
        <v>201</v>
      </c>
      <c r="I206" s="102" t="str">
        <f t="shared" si="14"/>
        <v/>
      </c>
      <c r="J206" s="101">
        <f t="shared" si="17"/>
        <v>-4</v>
      </c>
      <c r="K206" s="101">
        <f t="shared" si="15"/>
        <v>-40</v>
      </c>
      <c r="L206" s="101"/>
      <c r="M206" s="103">
        <f t="shared" si="16"/>
        <v>0</v>
      </c>
    </row>
    <row r="207" spans="1:13" x14ac:dyDescent="0.25">
      <c r="A207" s="117"/>
      <c r="G207" s="84"/>
      <c r="H207" s="101">
        <v>202</v>
      </c>
      <c r="I207" s="102" t="str">
        <f t="shared" si="14"/>
        <v/>
      </c>
      <c r="J207" s="101">
        <f t="shared" si="17"/>
        <v>-4</v>
      </c>
      <c r="K207" s="101">
        <f t="shared" si="15"/>
        <v>-40</v>
      </c>
      <c r="L207" s="101"/>
      <c r="M207" s="103">
        <f t="shared" si="16"/>
        <v>0</v>
      </c>
    </row>
    <row r="208" spans="1:13" x14ac:dyDescent="0.25">
      <c r="A208" s="117"/>
      <c r="G208" s="84"/>
      <c r="H208" s="101">
        <v>203</v>
      </c>
      <c r="I208" s="102" t="str">
        <f t="shared" si="14"/>
        <v/>
      </c>
      <c r="J208" s="101">
        <f t="shared" si="17"/>
        <v>-4</v>
      </c>
      <c r="K208" s="101">
        <f t="shared" si="15"/>
        <v>-40</v>
      </c>
      <c r="L208" s="101"/>
      <c r="M208" s="103">
        <f t="shared" si="16"/>
        <v>0</v>
      </c>
    </row>
    <row r="209" spans="1:13" x14ac:dyDescent="0.25">
      <c r="A209" s="117"/>
      <c r="G209" s="84"/>
      <c r="H209" s="101">
        <v>204</v>
      </c>
      <c r="I209" s="102" t="str">
        <f t="shared" si="14"/>
        <v/>
      </c>
      <c r="J209" s="101">
        <f t="shared" si="17"/>
        <v>-4</v>
      </c>
      <c r="K209" s="101">
        <f t="shared" si="15"/>
        <v>-40</v>
      </c>
      <c r="L209" s="101"/>
      <c r="M209" s="103">
        <f t="shared" si="16"/>
        <v>0</v>
      </c>
    </row>
    <row r="210" spans="1:13" x14ac:dyDescent="0.25">
      <c r="A210" s="117"/>
      <c r="G210" s="84"/>
      <c r="H210" s="101">
        <v>205</v>
      </c>
      <c r="I210" s="102" t="str">
        <f t="shared" si="14"/>
        <v/>
      </c>
      <c r="J210" s="101">
        <f t="shared" si="17"/>
        <v>-4</v>
      </c>
      <c r="K210" s="101">
        <f t="shared" si="15"/>
        <v>-40</v>
      </c>
      <c r="L210" s="101"/>
      <c r="M210" s="103">
        <f t="shared" si="16"/>
        <v>0</v>
      </c>
    </row>
    <row r="211" spans="1:13" x14ac:dyDescent="0.25">
      <c r="A211" s="117"/>
      <c r="G211" s="84"/>
      <c r="H211" s="101">
        <v>206</v>
      </c>
      <c r="I211" s="102" t="str">
        <f t="shared" si="14"/>
        <v/>
      </c>
      <c r="J211" s="101">
        <f t="shared" si="17"/>
        <v>-4</v>
      </c>
      <c r="K211" s="101">
        <f t="shared" si="15"/>
        <v>-40</v>
      </c>
      <c r="L211" s="101"/>
      <c r="M211" s="103">
        <f t="shared" si="16"/>
        <v>0</v>
      </c>
    </row>
    <row r="212" spans="1:13" x14ac:dyDescent="0.25">
      <c r="A212" s="117"/>
      <c r="G212" s="84"/>
      <c r="H212" s="101">
        <v>207</v>
      </c>
      <c r="I212" s="102" t="str">
        <f t="shared" si="14"/>
        <v/>
      </c>
      <c r="J212" s="101">
        <f t="shared" si="17"/>
        <v>-4</v>
      </c>
      <c r="K212" s="101">
        <f t="shared" si="15"/>
        <v>-40</v>
      </c>
      <c r="L212" s="101"/>
      <c r="M212" s="103">
        <f t="shared" si="16"/>
        <v>0</v>
      </c>
    </row>
    <row r="213" spans="1:13" x14ac:dyDescent="0.25">
      <c r="A213" s="117"/>
      <c r="G213" s="84"/>
      <c r="H213" s="101">
        <v>208</v>
      </c>
      <c r="I213" s="102" t="str">
        <f t="shared" si="14"/>
        <v/>
      </c>
      <c r="J213" s="101">
        <f t="shared" si="17"/>
        <v>-4</v>
      </c>
      <c r="K213" s="101">
        <f t="shared" si="15"/>
        <v>-40</v>
      </c>
      <c r="L213" s="101"/>
      <c r="M213" s="103">
        <f t="shared" si="16"/>
        <v>0</v>
      </c>
    </row>
    <row r="214" spans="1:13" x14ac:dyDescent="0.25">
      <c r="A214" s="117"/>
      <c r="G214" s="84"/>
      <c r="H214" s="101">
        <v>209</v>
      </c>
      <c r="I214" s="102" t="str">
        <f t="shared" si="14"/>
        <v/>
      </c>
      <c r="J214" s="101">
        <f t="shared" si="17"/>
        <v>-4</v>
      </c>
      <c r="K214" s="101">
        <f t="shared" si="15"/>
        <v>-40</v>
      </c>
      <c r="L214" s="101"/>
      <c r="M214" s="103">
        <f t="shared" si="16"/>
        <v>0</v>
      </c>
    </row>
    <row r="215" spans="1:13" x14ac:dyDescent="0.25">
      <c r="A215" s="117"/>
      <c r="G215" s="84"/>
      <c r="H215" s="101">
        <v>210</v>
      </c>
      <c r="I215" s="102" t="str">
        <f t="shared" si="14"/>
        <v/>
      </c>
      <c r="J215" s="101">
        <f t="shared" si="17"/>
        <v>-4</v>
      </c>
      <c r="K215" s="101">
        <f t="shared" si="15"/>
        <v>-40</v>
      </c>
      <c r="L215" s="101"/>
      <c r="M215" s="103">
        <f t="shared" si="16"/>
        <v>0</v>
      </c>
    </row>
    <row r="216" spans="1:13" x14ac:dyDescent="0.25">
      <c r="A216" s="117"/>
      <c r="G216" s="84"/>
      <c r="H216" s="101">
        <v>211</v>
      </c>
      <c r="I216" s="102" t="str">
        <f t="shared" si="14"/>
        <v/>
      </c>
      <c r="J216" s="101">
        <f t="shared" si="17"/>
        <v>-4</v>
      </c>
      <c r="K216" s="101">
        <f t="shared" si="15"/>
        <v>-40</v>
      </c>
      <c r="L216" s="101"/>
      <c r="M216" s="103">
        <f t="shared" si="16"/>
        <v>0</v>
      </c>
    </row>
    <row r="217" spans="1:13" x14ac:dyDescent="0.25">
      <c r="A217" s="117"/>
      <c r="G217" s="84"/>
      <c r="H217" s="101">
        <v>212</v>
      </c>
      <c r="I217" s="102" t="str">
        <f t="shared" si="14"/>
        <v/>
      </c>
      <c r="J217" s="101">
        <f t="shared" si="17"/>
        <v>-4</v>
      </c>
      <c r="K217" s="101">
        <f t="shared" si="15"/>
        <v>-40</v>
      </c>
      <c r="L217" s="101"/>
      <c r="M217" s="103">
        <f t="shared" si="16"/>
        <v>0</v>
      </c>
    </row>
    <row r="218" spans="1:13" x14ac:dyDescent="0.25">
      <c r="A218" s="117"/>
      <c r="G218" s="84"/>
      <c r="H218" s="101">
        <v>213</v>
      </c>
      <c r="I218" s="102" t="str">
        <f t="shared" si="14"/>
        <v/>
      </c>
      <c r="J218" s="101">
        <f t="shared" si="17"/>
        <v>-4</v>
      </c>
      <c r="K218" s="101">
        <f t="shared" si="15"/>
        <v>-40</v>
      </c>
      <c r="L218" s="101"/>
      <c r="M218" s="103">
        <f t="shared" si="16"/>
        <v>0</v>
      </c>
    </row>
    <row r="219" spans="1:13" x14ac:dyDescent="0.25">
      <c r="A219" s="117"/>
      <c r="G219" s="84"/>
      <c r="H219" s="101">
        <v>214</v>
      </c>
      <c r="I219" s="102" t="str">
        <f t="shared" si="14"/>
        <v/>
      </c>
      <c r="J219" s="101">
        <f t="shared" si="17"/>
        <v>-4</v>
      </c>
      <c r="K219" s="101">
        <f t="shared" si="15"/>
        <v>-40</v>
      </c>
      <c r="L219" s="101"/>
      <c r="M219" s="103">
        <f t="shared" si="16"/>
        <v>0</v>
      </c>
    </row>
    <row r="220" spans="1:13" x14ac:dyDescent="0.25">
      <c r="A220" s="117"/>
      <c r="G220" s="84"/>
      <c r="H220" s="101">
        <v>215</v>
      </c>
      <c r="I220" s="102" t="str">
        <f t="shared" si="14"/>
        <v/>
      </c>
      <c r="J220" s="101">
        <f t="shared" si="17"/>
        <v>-4</v>
      </c>
      <c r="K220" s="101">
        <f t="shared" si="15"/>
        <v>-40</v>
      </c>
      <c r="L220" s="101"/>
      <c r="M220" s="103">
        <f t="shared" si="16"/>
        <v>0</v>
      </c>
    </row>
    <row r="221" spans="1:13" x14ac:dyDescent="0.25">
      <c r="A221" s="117"/>
      <c r="G221" s="84"/>
      <c r="H221" s="101">
        <v>216</v>
      </c>
      <c r="I221" s="102" t="str">
        <f t="shared" si="14"/>
        <v/>
      </c>
      <c r="J221" s="101">
        <f t="shared" si="17"/>
        <v>-4</v>
      </c>
      <c r="K221" s="101">
        <f t="shared" si="15"/>
        <v>-40</v>
      </c>
      <c r="L221" s="101"/>
      <c r="M221" s="103">
        <f t="shared" si="16"/>
        <v>0</v>
      </c>
    </row>
    <row r="222" spans="1:13" x14ac:dyDescent="0.25">
      <c r="A222" s="117"/>
      <c r="G222" s="84"/>
      <c r="H222" s="101">
        <v>217</v>
      </c>
      <c r="I222" s="102" t="str">
        <f t="shared" si="14"/>
        <v/>
      </c>
      <c r="J222" s="101">
        <f t="shared" si="17"/>
        <v>-4</v>
      </c>
      <c r="K222" s="101">
        <f t="shared" si="15"/>
        <v>-40</v>
      </c>
      <c r="L222" s="101"/>
      <c r="M222" s="103">
        <f t="shared" si="16"/>
        <v>0</v>
      </c>
    </row>
    <row r="223" spans="1:13" x14ac:dyDescent="0.25">
      <c r="A223" s="117"/>
      <c r="G223" s="84"/>
      <c r="H223" s="101">
        <v>218</v>
      </c>
      <c r="I223" s="102" t="str">
        <f t="shared" si="14"/>
        <v/>
      </c>
      <c r="J223" s="101">
        <f t="shared" si="17"/>
        <v>-4</v>
      </c>
      <c r="K223" s="101">
        <f t="shared" si="15"/>
        <v>-40</v>
      </c>
      <c r="L223" s="101"/>
      <c r="M223" s="103">
        <f t="shared" si="16"/>
        <v>0</v>
      </c>
    </row>
    <row r="224" spans="1:13" x14ac:dyDescent="0.25">
      <c r="A224" s="117"/>
      <c r="G224" s="84"/>
      <c r="H224" s="101">
        <v>219</v>
      </c>
      <c r="I224" s="102" t="str">
        <f t="shared" si="14"/>
        <v/>
      </c>
      <c r="J224" s="101">
        <f t="shared" si="17"/>
        <v>-4</v>
      </c>
      <c r="K224" s="101">
        <f t="shared" si="15"/>
        <v>-40</v>
      </c>
      <c r="L224" s="101"/>
      <c r="M224" s="103">
        <f t="shared" si="16"/>
        <v>0</v>
      </c>
    </row>
    <row r="225" spans="1:13" x14ac:dyDescent="0.25">
      <c r="A225" s="117"/>
      <c r="G225" s="84"/>
      <c r="H225" s="101">
        <v>220</v>
      </c>
      <c r="I225" s="102" t="str">
        <f t="shared" si="14"/>
        <v/>
      </c>
      <c r="J225" s="101">
        <f t="shared" si="17"/>
        <v>-4</v>
      </c>
      <c r="K225" s="101">
        <f t="shared" si="15"/>
        <v>-40</v>
      </c>
      <c r="L225" s="101"/>
      <c r="M225" s="103">
        <f t="shared" si="16"/>
        <v>0</v>
      </c>
    </row>
    <row r="226" spans="1:13" x14ac:dyDescent="0.25">
      <c r="A226" s="117"/>
      <c r="G226" s="84"/>
      <c r="H226" s="101">
        <v>221</v>
      </c>
      <c r="I226" s="102" t="str">
        <f t="shared" si="14"/>
        <v/>
      </c>
      <c r="J226" s="101">
        <f t="shared" si="17"/>
        <v>-4</v>
      </c>
      <c r="K226" s="101">
        <f t="shared" si="15"/>
        <v>-40</v>
      </c>
      <c r="L226" s="101"/>
      <c r="M226" s="103">
        <f t="shared" si="16"/>
        <v>0</v>
      </c>
    </row>
    <row r="227" spans="1:13" x14ac:dyDescent="0.25">
      <c r="A227" s="117"/>
      <c r="G227" s="84"/>
      <c r="H227" s="101">
        <v>222</v>
      </c>
      <c r="I227" s="102" t="str">
        <f t="shared" si="14"/>
        <v/>
      </c>
      <c r="J227" s="101">
        <f t="shared" si="17"/>
        <v>-4</v>
      </c>
      <c r="K227" s="101">
        <f t="shared" si="15"/>
        <v>-40</v>
      </c>
      <c r="L227" s="101"/>
      <c r="M227" s="103">
        <f t="shared" si="16"/>
        <v>0</v>
      </c>
    </row>
    <row r="228" spans="1:13" x14ac:dyDescent="0.25">
      <c r="A228" s="117"/>
      <c r="G228" s="84"/>
      <c r="H228" s="101">
        <v>223</v>
      </c>
      <c r="I228" s="102" t="str">
        <f t="shared" si="14"/>
        <v/>
      </c>
      <c r="J228" s="101">
        <f t="shared" si="17"/>
        <v>-4</v>
      </c>
      <c r="K228" s="101">
        <f t="shared" si="15"/>
        <v>-40</v>
      </c>
      <c r="L228" s="101"/>
      <c r="M228" s="103">
        <f t="shared" si="16"/>
        <v>0</v>
      </c>
    </row>
    <row r="229" spans="1:13" x14ac:dyDescent="0.25">
      <c r="A229" s="117"/>
      <c r="G229" s="84"/>
      <c r="H229" s="101">
        <v>224</v>
      </c>
      <c r="I229" s="102" t="str">
        <f t="shared" si="14"/>
        <v/>
      </c>
      <c r="J229" s="101">
        <f t="shared" si="17"/>
        <v>-4</v>
      </c>
      <c r="K229" s="101">
        <f t="shared" si="15"/>
        <v>-40</v>
      </c>
      <c r="L229" s="101"/>
      <c r="M229" s="103">
        <f t="shared" si="16"/>
        <v>0</v>
      </c>
    </row>
    <row r="230" spans="1:13" x14ac:dyDescent="0.25">
      <c r="A230" s="117"/>
      <c r="G230" s="84"/>
      <c r="H230" s="101">
        <v>225</v>
      </c>
      <c r="I230" s="102" t="str">
        <f t="shared" si="14"/>
        <v/>
      </c>
      <c r="J230" s="101">
        <f t="shared" si="17"/>
        <v>-4</v>
      </c>
      <c r="K230" s="101">
        <f t="shared" si="15"/>
        <v>-40</v>
      </c>
      <c r="L230" s="101"/>
      <c r="M230" s="103">
        <f t="shared" si="16"/>
        <v>0</v>
      </c>
    </row>
    <row r="231" spans="1:13" x14ac:dyDescent="0.25">
      <c r="A231" s="117"/>
      <c r="G231" s="84"/>
      <c r="H231" s="101">
        <v>226</v>
      </c>
      <c r="I231" s="102" t="str">
        <f t="shared" si="14"/>
        <v/>
      </c>
      <c r="J231" s="101">
        <f t="shared" si="17"/>
        <v>-4</v>
      </c>
      <c r="K231" s="101">
        <f t="shared" si="15"/>
        <v>-40</v>
      </c>
      <c r="L231" s="101"/>
      <c r="M231" s="103">
        <f t="shared" si="16"/>
        <v>0</v>
      </c>
    </row>
    <row r="232" spans="1:13" x14ac:dyDescent="0.25">
      <c r="A232" s="117"/>
      <c r="G232" s="84"/>
      <c r="H232" s="101">
        <v>227</v>
      </c>
      <c r="I232" s="102" t="str">
        <f t="shared" si="14"/>
        <v/>
      </c>
      <c r="J232" s="101">
        <f t="shared" si="17"/>
        <v>-4</v>
      </c>
      <c r="K232" s="101">
        <f t="shared" si="15"/>
        <v>-40</v>
      </c>
      <c r="L232" s="101"/>
      <c r="M232" s="103">
        <f t="shared" si="16"/>
        <v>0</v>
      </c>
    </row>
    <row r="233" spans="1:13" x14ac:dyDescent="0.25">
      <c r="A233" s="117"/>
      <c r="G233" s="84"/>
      <c r="H233" s="101">
        <v>228</v>
      </c>
      <c r="I233" s="102" t="str">
        <f t="shared" si="14"/>
        <v/>
      </c>
      <c r="J233" s="101">
        <f t="shared" si="17"/>
        <v>-4</v>
      </c>
      <c r="K233" s="101">
        <f t="shared" si="15"/>
        <v>-40</v>
      </c>
      <c r="L233" s="101"/>
      <c r="M233" s="103">
        <f t="shared" si="16"/>
        <v>0</v>
      </c>
    </row>
    <row r="234" spans="1:13" x14ac:dyDescent="0.25">
      <c r="A234" s="117"/>
      <c r="G234" s="84"/>
      <c r="H234" s="101">
        <v>229</v>
      </c>
      <c r="I234" s="102" t="str">
        <f t="shared" si="14"/>
        <v/>
      </c>
      <c r="J234" s="101">
        <f t="shared" si="17"/>
        <v>-4</v>
      </c>
      <c r="K234" s="101">
        <f t="shared" si="15"/>
        <v>-40</v>
      </c>
      <c r="L234" s="101"/>
      <c r="M234" s="103">
        <f t="shared" si="16"/>
        <v>0</v>
      </c>
    </row>
    <row r="235" spans="1:13" x14ac:dyDescent="0.25">
      <c r="A235" s="117"/>
      <c r="G235" s="84"/>
      <c r="H235" s="101">
        <v>230</v>
      </c>
      <c r="I235" s="102" t="str">
        <f t="shared" si="14"/>
        <v/>
      </c>
      <c r="J235" s="101">
        <f t="shared" si="17"/>
        <v>-4</v>
      </c>
      <c r="K235" s="101">
        <f t="shared" si="15"/>
        <v>-40</v>
      </c>
      <c r="L235" s="101"/>
      <c r="M235" s="103">
        <f t="shared" si="16"/>
        <v>0</v>
      </c>
    </row>
    <row r="236" spans="1:13" x14ac:dyDescent="0.25">
      <c r="A236" s="117"/>
      <c r="G236" s="84"/>
      <c r="H236" s="101">
        <v>231</v>
      </c>
      <c r="I236" s="102" t="str">
        <f t="shared" si="14"/>
        <v/>
      </c>
      <c r="J236" s="101">
        <f t="shared" si="17"/>
        <v>-4</v>
      </c>
      <c r="K236" s="101">
        <f t="shared" si="15"/>
        <v>-40</v>
      </c>
      <c r="L236" s="101"/>
      <c r="M236" s="103">
        <f t="shared" si="16"/>
        <v>0</v>
      </c>
    </row>
    <row r="237" spans="1:13" x14ac:dyDescent="0.25">
      <c r="A237" s="117"/>
      <c r="G237" s="84"/>
      <c r="H237" s="101">
        <v>232</v>
      </c>
      <c r="I237" s="102" t="str">
        <f t="shared" si="14"/>
        <v/>
      </c>
      <c r="J237" s="101">
        <f t="shared" si="17"/>
        <v>-4</v>
      </c>
      <c r="K237" s="101">
        <f t="shared" si="15"/>
        <v>-40</v>
      </c>
      <c r="L237" s="101"/>
      <c r="M237" s="103">
        <f t="shared" si="16"/>
        <v>0</v>
      </c>
    </row>
    <row r="238" spans="1:13" x14ac:dyDescent="0.25">
      <c r="A238" s="117"/>
      <c r="G238" s="84"/>
      <c r="H238" s="101">
        <v>233</v>
      </c>
      <c r="I238" s="102" t="str">
        <f t="shared" si="14"/>
        <v/>
      </c>
      <c r="J238" s="101">
        <f t="shared" si="17"/>
        <v>-4</v>
      </c>
      <c r="K238" s="101">
        <f t="shared" si="15"/>
        <v>-40</v>
      </c>
      <c r="L238" s="101"/>
      <c r="M238" s="103">
        <f t="shared" si="16"/>
        <v>0</v>
      </c>
    </row>
    <row r="239" spans="1:13" x14ac:dyDescent="0.25">
      <c r="A239" s="117"/>
      <c r="G239" s="84"/>
      <c r="H239" s="101">
        <v>234</v>
      </c>
      <c r="I239" s="102" t="str">
        <f t="shared" si="14"/>
        <v/>
      </c>
      <c r="J239" s="101">
        <f t="shared" si="17"/>
        <v>-4</v>
      </c>
      <c r="K239" s="101">
        <f t="shared" si="15"/>
        <v>-40</v>
      </c>
      <c r="L239" s="101"/>
      <c r="M239" s="103">
        <f t="shared" si="16"/>
        <v>0</v>
      </c>
    </row>
    <row r="240" spans="1:13" x14ac:dyDescent="0.25">
      <c r="A240" s="117"/>
      <c r="G240" s="84"/>
      <c r="H240" s="101">
        <v>235</v>
      </c>
      <c r="I240" s="102" t="str">
        <f t="shared" si="14"/>
        <v/>
      </c>
      <c r="J240" s="101">
        <f t="shared" si="17"/>
        <v>-4</v>
      </c>
      <c r="K240" s="101">
        <f t="shared" si="15"/>
        <v>-40</v>
      </c>
      <c r="L240" s="101"/>
      <c r="M240" s="103">
        <f t="shared" si="16"/>
        <v>0</v>
      </c>
    </row>
    <row r="241" spans="1:13" x14ac:dyDescent="0.25">
      <c r="A241" s="117"/>
      <c r="G241" s="84"/>
      <c r="H241" s="101">
        <v>236</v>
      </c>
      <c r="I241" s="102" t="str">
        <f t="shared" si="14"/>
        <v/>
      </c>
      <c r="J241" s="101">
        <f t="shared" si="17"/>
        <v>-4</v>
      </c>
      <c r="K241" s="101">
        <f t="shared" si="15"/>
        <v>-40</v>
      </c>
      <c r="L241" s="101"/>
      <c r="M241" s="103">
        <f t="shared" si="16"/>
        <v>0</v>
      </c>
    </row>
    <row r="242" spans="1:13" x14ac:dyDescent="0.25">
      <c r="A242" s="117"/>
      <c r="G242" s="84"/>
      <c r="H242" s="101">
        <v>237</v>
      </c>
      <c r="I242" s="102" t="str">
        <f t="shared" si="14"/>
        <v/>
      </c>
      <c r="J242" s="101">
        <f t="shared" si="17"/>
        <v>-4</v>
      </c>
      <c r="K242" s="101">
        <f t="shared" si="15"/>
        <v>-40</v>
      </c>
      <c r="L242" s="101"/>
      <c r="M242" s="103">
        <f t="shared" si="16"/>
        <v>0</v>
      </c>
    </row>
    <row r="243" spans="1:13" x14ac:dyDescent="0.25">
      <c r="A243" s="117"/>
      <c r="G243" s="84"/>
      <c r="H243" s="101">
        <v>238</v>
      </c>
      <c r="I243" s="102" t="str">
        <f t="shared" si="14"/>
        <v/>
      </c>
      <c r="J243" s="101">
        <f t="shared" si="17"/>
        <v>-4</v>
      </c>
      <c r="K243" s="101">
        <f t="shared" si="15"/>
        <v>-40</v>
      </c>
      <c r="L243" s="101"/>
      <c r="M243" s="103">
        <f t="shared" si="16"/>
        <v>0</v>
      </c>
    </row>
    <row r="244" spans="1:13" x14ac:dyDescent="0.25">
      <c r="A244" s="117"/>
      <c r="G244" s="84"/>
      <c r="H244" s="101">
        <v>239</v>
      </c>
      <c r="I244" s="102" t="str">
        <f t="shared" si="14"/>
        <v/>
      </c>
      <c r="J244" s="101">
        <f t="shared" si="17"/>
        <v>-4</v>
      </c>
      <c r="K244" s="101">
        <f t="shared" si="15"/>
        <v>-40</v>
      </c>
      <c r="L244" s="101"/>
      <c r="M244" s="103">
        <f t="shared" si="16"/>
        <v>0</v>
      </c>
    </row>
    <row r="245" spans="1:13" x14ac:dyDescent="0.25">
      <c r="A245" s="117"/>
      <c r="G245" s="84"/>
      <c r="H245" s="101">
        <v>240</v>
      </c>
      <c r="I245" s="102" t="str">
        <f t="shared" si="14"/>
        <v/>
      </c>
      <c r="J245" s="101">
        <f t="shared" si="17"/>
        <v>-4</v>
      </c>
      <c r="K245" s="101">
        <f t="shared" si="15"/>
        <v>-40</v>
      </c>
      <c r="L245" s="101"/>
      <c r="M245" s="103">
        <f t="shared" si="16"/>
        <v>0</v>
      </c>
    </row>
    <row r="246" spans="1:13" x14ac:dyDescent="0.25">
      <c r="A246" s="117"/>
      <c r="G246" s="84"/>
      <c r="H246" s="101">
        <v>241</v>
      </c>
      <c r="I246" s="102" t="str">
        <f t="shared" si="14"/>
        <v/>
      </c>
      <c r="J246" s="101">
        <f t="shared" si="17"/>
        <v>-4</v>
      </c>
      <c r="K246" s="101">
        <f t="shared" si="15"/>
        <v>-40</v>
      </c>
      <c r="L246" s="101"/>
      <c r="M246" s="103">
        <f t="shared" si="16"/>
        <v>0</v>
      </c>
    </row>
    <row r="247" spans="1:13" x14ac:dyDescent="0.25">
      <c r="A247" s="117"/>
      <c r="G247" s="84"/>
      <c r="H247" s="101">
        <v>242</v>
      </c>
      <c r="I247" s="102" t="str">
        <f t="shared" si="14"/>
        <v/>
      </c>
      <c r="J247" s="101">
        <f t="shared" si="17"/>
        <v>-4</v>
      </c>
      <c r="K247" s="101">
        <f t="shared" si="15"/>
        <v>-40</v>
      </c>
      <c r="L247" s="101"/>
      <c r="M247" s="103">
        <f t="shared" si="16"/>
        <v>0</v>
      </c>
    </row>
    <row r="248" spans="1:13" x14ac:dyDescent="0.25">
      <c r="A248" s="117"/>
      <c r="G248" s="84"/>
      <c r="H248" s="101">
        <v>243</v>
      </c>
      <c r="I248" s="102" t="str">
        <f t="shared" si="14"/>
        <v/>
      </c>
      <c r="J248" s="101">
        <f t="shared" si="17"/>
        <v>-4</v>
      </c>
      <c r="K248" s="101">
        <f t="shared" si="15"/>
        <v>-40</v>
      </c>
      <c r="L248" s="101"/>
      <c r="M248" s="103">
        <f t="shared" si="16"/>
        <v>0</v>
      </c>
    </row>
    <row r="249" spans="1:13" x14ac:dyDescent="0.25">
      <c r="A249" s="117"/>
      <c r="G249" s="84"/>
      <c r="H249" s="101">
        <v>244</v>
      </c>
      <c r="I249" s="102" t="str">
        <f t="shared" si="14"/>
        <v/>
      </c>
      <c r="J249" s="101">
        <f t="shared" si="17"/>
        <v>-4</v>
      </c>
      <c r="K249" s="101">
        <f t="shared" si="15"/>
        <v>-40</v>
      </c>
      <c r="L249" s="101"/>
      <c r="M249" s="103">
        <f t="shared" si="16"/>
        <v>0</v>
      </c>
    </row>
    <row r="250" spans="1:13" x14ac:dyDescent="0.25">
      <c r="A250" s="117"/>
      <c r="G250" s="84"/>
      <c r="H250" s="101">
        <v>245</v>
      </c>
      <c r="I250" s="102" t="str">
        <f t="shared" si="14"/>
        <v/>
      </c>
      <c r="J250" s="101">
        <f t="shared" si="17"/>
        <v>-4</v>
      </c>
      <c r="K250" s="101">
        <f t="shared" si="15"/>
        <v>-40</v>
      </c>
      <c r="L250" s="101"/>
      <c r="M250" s="103">
        <f t="shared" si="16"/>
        <v>0</v>
      </c>
    </row>
    <row r="251" spans="1:13" x14ac:dyDescent="0.25">
      <c r="A251" s="117"/>
      <c r="G251" s="84"/>
      <c r="H251" s="101">
        <v>246</v>
      </c>
      <c r="I251" s="102" t="str">
        <f t="shared" si="14"/>
        <v/>
      </c>
      <c r="J251" s="101">
        <f t="shared" si="17"/>
        <v>-4</v>
      </c>
      <c r="K251" s="101">
        <f t="shared" si="15"/>
        <v>-40</v>
      </c>
      <c r="L251" s="101"/>
      <c r="M251" s="103">
        <f t="shared" si="16"/>
        <v>0</v>
      </c>
    </row>
    <row r="252" spans="1:13" x14ac:dyDescent="0.25">
      <c r="A252" s="117"/>
      <c r="G252" s="84"/>
      <c r="H252" s="101">
        <v>247</v>
      </c>
      <c r="I252" s="102" t="str">
        <f t="shared" si="14"/>
        <v/>
      </c>
      <c r="J252" s="101">
        <f t="shared" si="17"/>
        <v>-4</v>
      </c>
      <c r="K252" s="101">
        <f t="shared" si="15"/>
        <v>-40</v>
      </c>
      <c r="L252" s="101"/>
      <c r="M252" s="103">
        <f t="shared" si="16"/>
        <v>0</v>
      </c>
    </row>
    <row r="253" spans="1:13" x14ac:dyDescent="0.25">
      <c r="A253" s="117"/>
      <c r="G253" s="84"/>
      <c r="H253" s="101">
        <v>248</v>
      </c>
      <c r="I253" s="102" t="str">
        <f t="shared" si="14"/>
        <v/>
      </c>
      <c r="J253" s="101">
        <f t="shared" si="17"/>
        <v>-4</v>
      </c>
      <c r="K253" s="101">
        <f t="shared" si="15"/>
        <v>-40</v>
      </c>
      <c r="L253" s="101"/>
      <c r="M253" s="103">
        <f t="shared" si="16"/>
        <v>0</v>
      </c>
    </row>
    <row r="254" spans="1:13" x14ac:dyDescent="0.25">
      <c r="A254" s="117"/>
      <c r="G254" s="84"/>
      <c r="H254" s="101">
        <v>249</v>
      </c>
      <c r="I254" s="102" t="str">
        <f t="shared" si="14"/>
        <v/>
      </c>
      <c r="J254" s="101">
        <f t="shared" si="17"/>
        <v>-4</v>
      </c>
      <c r="K254" s="101">
        <f t="shared" si="15"/>
        <v>-40</v>
      </c>
      <c r="L254" s="101"/>
      <c r="M254" s="103">
        <f t="shared" si="16"/>
        <v>0</v>
      </c>
    </row>
    <row r="255" spans="1:13" x14ac:dyDescent="0.25">
      <c r="A255" s="117"/>
      <c r="G255" s="84"/>
      <c r="H255" s="101">
        <v>250</v>
      </c>
      <c r="I255" s="102" t="str">
        <f t="shared" si="14"/>
        <v/>
      </c>
      <c r="J255" s="101">
        <f t="shared" si="17"/>
        <v>-4</v>
      </c>
      <c r="K255" s="101">
        <f t="shared" si="15"/>
        <v>-40</v>
      </c>
      <c r="L255" s="101"/>
      <c r="M255" s="103">
        <f t="shared" si="16"/>
        <v>0</v>
      </c>
    </row>
    <row r="256" spans="1:13" x14ac:dyDescent="0.25">
      <c r="A256" s="117"/>
      <c r="G256" s="84"/>
      <c r="H256" s="101">
        <v>251</v>
      </c>
      <c r="I256" s="102" t="str">
        <f t="shared" si="14"/>
        <v/>
      </c>
      <c r="J256" s="101">
        <f t="shared" si="17"/>
        <v>-4</v>
      </c>
      <c r="K256" s="101">
        <f t="shared" si="15"/>
        <v>-40</v>
      </c>
      <c r="L256" s="101"/>
      <c r="M256" s="103">
        <f t="shared" si="16"/>
        <v>0</v>
      </c>
    </row>
    <row r="257" spans="1:13" x14ac:dyDescent="0.25">
      <c r="A257" s="117"/>
      <c r="G257" s="84"/>
      <c r="H257" s="101">
        <v>252</v>
      </c>
      <c r="I257" s="102" t="str">
        <f t="shared" si="14"/>
        <v/>
      </c>
      <c r="J257" s="101">
        <f t="shared" si="17"/>
        <v>-4</v>
      </c>
      <c r="K257" s="101">
        <f t="shared" si="15"/>
        <v>-40</v>
      </c>
      <c r="L257" s="101"/>
      <c r="M257" s="103">
        <f t="shared" si="16"/>
        <v>0</v>
      </c>
    </row>
    <row r="258" spans="1:13" x14ac:dyDescent="0.25">
      <c r="A258" s="117"/>
      <c r="G258" s="84"/>
      <c r="H258" s="101">
        <v>253</v>
      </c>
      <c r="I258" s="102" t="str">
        <f t="shared" si="14"/>
        <v/>
      </c>
      <c r="J258" s="101">
        <f t="shared" si="17"/>
        <v>-4</v>
      </c>
      <c r="K258" s="101">
        <f t="shared" si="15"/>
        <v>-40</v>
      </c>
      <c r="L258" s="101"/>
      <c r="M258" s="103">
        <f t="shared" si="16"/>
        <v>0</v>
      </c>
    </row>
    <row r="259" spans="1:13" x14ac:dyDescent="0.25">
      <c r="A259" s="117"/>
      <c r="G259" s="84"/>
      <c r="H259" s="101">
        <v>254</v>
      </c>
      <c r="I259" s="102" t="str">
        <f t="shared" si="14"/>
        <v/>
      </c>
      <c r="J259" s="101">
        <f t="shared" si="17"/>
        <v>-4</v>
      </c>
      <c r="K259" s="101">
        <f t="shared" si="15"/>
        <v>-40</v>
      </c>
      <c r="L259" s="101"/>
      <c r="M259" s="103">
        <f t="shared" si="16"/>
        <v>0</v>
      </c>
    </row>
    <row r="260" spans="1:13" x14ac:dyDescent="0.25">
      <c r="A260" s="117"/>
      <c r="G260" s="84"/>
      <c r="H260" s="101">
        <v>255</v>
      </c>
      <c r="I260" s="102" t="str">
        <f t="shared" si="14"/>
        <v/>
      </c>
      <c r="J260" s="101">
        <f t="shared" si="17"/>
        <v>-4</v>
      </c>
      <c r="K260" s="101">
        <f t="shared" si="15"/>
        <v>-40</v>
      </c>
      <c r="L260" s="101"/>
      <c r="M260" s="103">
        <f t="shared" si="16"/>
        <v>0</v>
      </c>
    </row>
    <row r="261" spans="1:13" x14ac:dyDescent="0.25">
      <c r="A261" s="117"/>
      <c r="G261" s="84"/>
      <c r="H261" s="101">
        <v>256</v>
      </c>
      <c r="I261" s="102" t="str">
        <f t="shared" si="14"/>
        <v/>
      </c>
      <c r="J261" s="101">
        <f t="shared" si="17"/>
        <v>-4</v>
      </c>
      <c r="K261" s="101">
        <f t="shared" si="15"/>
        <v>-40</v>
      </c>
      <c r="L261" s="101"/>
      <c r="M261" s="103">
        <f t="shared" si="16"/>
        <v>0</v>
      </c>
    </row>
    <row r="262" spans="1:13" x14ac:dyDescent="0.25">
      <c r="A262" s="117"/>
      <c r="G262" s="84"/>
      <c r="H262" s="101">
        <v>257</v>
      </c>
      <c r="I262" s="102" t="str">
        <f t="shared" ref="I262:I305" si="18">IF(H262&lt;$H$2+1,($I$2-($I$2-1)*(LOG(H262)/LOG($H$2))),"")</f>
        <v/>
      </c>
      <c r="J262" s="101">
        <f t="shared" si="17"/>
        <v>-5</v>
      </c>
      <c r="K262" s="101">
        <f t="shared" ref="K262:K305" si="19">J262*$J$2</f>
        <v>-50</v>
      </c>
      <c r="L262" s="101"/>
      <c r="M262" s="103">
        <f t="shared" ref="M262:M305" si="20">IF(I262&lt;&gt;"",K262+I262+L262,0)</f>
        <v>0</v>
      </c>
    </row>
    <row r="263" spans="1:13" x14ac:dyDescent="0.25">
      <c r="A263" s="117"/>
      <c r="G263" s="84"/>
      <c r="H263" s="101">
        <v>258</v>
      </c>
      <c r="I263" s="102" t="str">
        <f t="shared" si="18"/>
        <v/>
      </c>
      <c r="J263" s="101">
        <f t="shared" ref="J263:J305" si="21">INT(LOG($H$2,2))-ROUNDUP(LOG(H263,2),0)+IF(OR($H$2=1,$H$2=2,$H$2=4,$H$2=8,$H$2=16,$H$2=32,$H$2=64,$H$2=128,$H$2=256),0,1)</f>
        <v>-5</v>
      </c>
      <c r="K263" s="101">
        <f t="shared" si="19"/>
        <v>-50</v>
      </c>
      <c r="L263" s="101"/>
      <c r="M263" s="103">
        <f t="shared" si="20"/>
        <v>0</v>
      </c>
    </row>
    <row r="264" spans="1:13" x14ac:dyDescent="0.25">
      <c r="A264" s="117"/>
      <c r="G264" s="84"/>
      <c r="H264" s="101">
        <v>259</v>
      </c>
      <c r="I264" s="102" t="str">
        <f t="shared" si="18"/>
        <v/>
      </c>
      <c r="J264" s="101">
        <f t="shared" si="21"/>
        <v>-5</v>
      </c>
      <c r="K264" s="101">
        <f t="shared" si="19"/>
        <v>-50</v>
      </c>
      <c r="L264" s="101"/>
      <c r="M264" s="103">
        <f t="shared" si="20"/>
        <v>0</v>
      </c>
    </row>
    <row r="265" spans="1:13" x14ac:dyDescent="0.25">
      <c r="A265" s="117"/>
      <c r="G265" s="84"/>
      <c r="H265" s="101">
        <v>260</v>
      </c>
      <c r="I265" s="102" t="str">
        <f t="shared" si="18"/>
        <v/>
      </c>
      <c r="J265" s="101">
        <f t="shared" si="21"/>
        <v>-5</v>
      </c>
      <c r="K265" s="101">
        <f t="shared" si="19"/>
        <v>-50</v>
      </c>
      <c r="L265" s="101"/>
      <c r="M265" s="103">
        <f t="shared" si="20"/>
        <v>0</v>
      </c>
    </row>
    <row r="266" spans="1:13" x14ac:dyDescent="0.25">
      <c r="A266" s="117"/>
      <c r="G266" s="84"/>
      <c r="H266" s="101">
        <v>261</v>
      </c>
      <c r="I266" s="102" t="str">
        <f t="shared" si="18"/>
        <v/>
      </c>
      <c r="J266" s="101">
        <f t="shared" si="21"/>
        <v>-5</v>
      </c>
      <c r="K266" s="101">
        <f t="shared" si="19"/>
        <v>-50</v>
      </c>
      <c r="L266" s="101"/>
      <c r="M266" s="103">
        <f t="shared" si="20"/>
        <v>0</v>
      </c>
    </row>
    <row r="267" spans="1:13" x14ac:dyDescent="0.25">
      <c r="A267" s="117"/>
      <c r="G267" s="84"/>
      <c r="H267" s="101">
        <v>262</v>
      </c>
      <c r="I267" s="102" t="str">
        <f t="shared" si="18"/>
        <v/>
      </c>
      <c r="J267" s="101">
        <f t="shared" si="21"/>
        <v>-5</v>
      </c>
      <c r="K267" s="101">
        <f t="shared" si="19"/>
        <v>-50</v>
      </c>
      <c r="L267" s="101"/>
      <c r="M267" s="103">
        <f t="shared" si="20"/>
        <v>0</v>
      </c>
    </row>
    <row r="268" spans="1:13" x14ac:dyDescent="0.25">
      <c r="A268" s="117"/>
      <c r="G268" s="84"/>
      <c r="H268" s="101">
        <v>263</v>
      </c>
      <c r="I268" s="102" t="str">
        <f t="shared" si="18"/>
        <v/>
      </c>
      <c r="J268" s="101">
        <f t="shared" si="21"/>
        <v>-5</v>
      </c>
      <c r="K268" s="101">
        <f t="shared" si="19"/>
        <v>-50</v>
      </c>
      <c r="L268" s="101"/>
      <c r="M268" s="103">
        <f t="shared" si="20"/>
        <v>0</v>
      </c>
    </row>
    <row r="269" spans="1:13" x14ac:dyDescent="0.25">
      <c r="A269" s="117"/>
      <c r="G269" s="84"/>
      <c r="H269" s="101">
        <v>264</v>
      </c>
      <c r="I269" s="102" t="str">
        <f t="shared" si="18"/>
        <v/>
      </c>
      <c r="J269" s="101">
        <f t="shared" si="21"/>
        <v>-5</v>
      </c>
      <c r="K269" s="101">
        <f t="shared" si="19"/>
        <v>-50</v>
      </c>
      <c r="L269" s="101"/>
      <c r="M269" s="103">
        <f t="shared" si="20"/>
        <v>0</v>
      </c>
    </row>
    <row r="270" spans="1:13" x14ac:dyDescent="0.25">
      <c r="A270" s="117"/>
      <c r="G270" s="84"/>
      <c r="H270" s="101">
        <v>265</v>
      </c>
      <c r="I270" s="102" t="str">
        <f t="shared" si="18"/>
        <v/>
      </c>
      <c r="J270" s="101">
        <f t="shared" si="21"/>
        <v>-5</v>
      </c>
      <c r="K270" s="101">
        <f t="shared" si="19"/>
        <v>-50</v>
      </c>
      <c r="L270" s="101"/>
      <c r="M270" s="103">
        <f t="shared" si="20"/>
        <v>0</v>
      </c>
    </row>
    <row r="271" spans="1:13" x14ac:dyDescent="0.25">
      <c r="A271" s="117"/>
      <c r="G271" s="84"/>
      <c r="H271" s="101">
        <v>266</v>
      </c>
      <c r="I271" s="102" t="str">
        <f t="shared" si="18"/>
        <v/>
      </c>
      <c r="J271" s="101">
        <f t="shared" si="21"/>
        <v>-5</v>
      </c>
      <c r="K271" s="101">
        <f t="shared" si="19"/>
        <v>-50</v>
      </c>
      <c r="L271" s="101"/>
      <c r="M271" s="103">
        <f t="shared" si="20"/>
        <v>0</v>
      </c>
    </row>
    <row r="272" spans="1:13" x14ac:dyDescent="0.25">
      <c r="A272" s="117"/>
      <c r="G272" s="84"/>
      <c r="H272" s="101">
        <v>267</v>
      </c>
      <c r="I272" s="102" t="str">
        <f t="shared" si="18"/>
        <v/>
      </c>
      <c r="J272" s="101">
        <f t="shared" si="21"/>
        <v>-5</v>
      </c>
      <c r="K272" s="101">
        <f t="shared" si="19"/>
        <v>-50</v>
      </c>
      <c r="L272" s="101"/>
      <c r="M272" s="103">
        <f t="shared" si="20"/>
        <v>0</v>
      </c>
    </row>
    <row r="273" spans="1:13" x14ac:dyDescent="0.25">
      <c r="A273" s="117"/>
      <c r="G273" s="84"/>
      <c r="H273" s="101">
        <v>268</v>
      </c>
      <c r="I273" s="102" t="str">
        <f t="shared" si="18"/>
        <v/>
      </c>
      <c r="J273" s="101">
        <f t="shared" si="21"/>
        <v>-5</v>
      </c>
      <c r="K273" s="101">
        <f t="shared" si="19"/>
        <v>-50</v>
      </c>
      <c r="L273" s="101"/>
      <c r="M273" s="103">
        <f t="shared" si="20"/>
        <v>0</v>
      </c>
    </row>
    <row r="274" spans="1:13" x14ac:dyDescent="0.25">
      <c r="A274" s="117"/>
      <c r="G274" s="84"/>
      <c r="H274" s="101">
        <v>269</v>
      </c>
      <c r="I274" s="102" t="str">
        <f t="shared" si="18"/>
        <v/>
      </c>
      <c r="J274" s="101">
        <f t="shared" si="21"/>
        <v>-5</v>
      </c>
      <c r="K274" s="101">
        <f t="shared" si="19"/>
        <v>-50</v>
      </c>
      <c r="L274" s="101"/>
      <c r="M274" s="103">
        <f t="shared" si="20"/>
        <v>0</v>
      </c>
    </row>
    <row r="275" spans="1:13" x14ac:dyDescent="0.25">
      <c r="A275" s="117"/>
      <c r="G275" s="84"/>
      <c r="H275" s="101">
        <v>270</v>
      </c>
      <c r="I275" s="102" t="str">
        <f t="shared" si="18"/>
        <v/>
      </c>
      <c r="J275" s="101">
        <f t="shared" si="21"/>
        <v>-5</v>
      </c>
      <c r="K275" s="101">
        <f t="shared" si="19"/>
        <v>-50</v>
      </c>
      <c r="L275" s="101"/>
      <c r="M275" s="103">
        <f t="shared" si="20"/>
        <v>0</v>
      </c>
    </row>
    <row r="276" spans="1:13" x14ac:dyDescent="0.25">
      <c r="A276" s="117"/>
      <c r="G276" s="84"/>
      <c r="H276" s="101">
        <v>271</v>
      </c>
      <c r="I276" s="102" t="str">
        <f t="shared" si="18"/>
        <v/>
      </c>
      <c r="J276" s="101">
        <f t="shared" si="21"/>
        <v>-5</v>
      </c>
      <c r="K276" s="101">
        <f t="shared" si="19"/>
        <v>-50</v>
      </c>
      <c r="L276" s="101"/>
      <c r="M276" s="103">
        <f t="shared" si="20"/>
        <v>0</v>
      </c>
    </row>
    <row r="277" spans="1:13" x14ac:dyDescent="0.25">
      <c r="A277" s="117"/>
      <c r="G277" s="84"/>
      <c r="H277" s="101">
        <v>272</v>
      </c>
      <c r="I277" s="102" t="str">
        <f t="shared" si="18"/>
        <v/>
      </c>
      <c r="J277" s="101">
        <f t="shared" si="21"/>
        <v>-5</v>
      </c>
      <c r="K277" s="101">
        <f t="shared" si="19"/>
        <v>-50</v>
      </c>
      <c r="L277" s="101"/>
      <c r="M277" s="103">
        <f t="shared" si="20"/>
        <v>0</v>
      </c>
    </row>
    <row r="278" spans="1:13" x14ac:dyDescent="0.25">
      <c r="A278" s="117"/>
      <c r="G278" s="84"/>
      <c r="H278" s="101">
        <v>273</v>
      </c>
      <c r="I278" s="102" t="str">
        <f t="shared" si="18"/>
        <v/>
      </c>
      <c r="J278" s="101">
        <f t="shared" si="21"/>
        <v>-5</v>
      </c>
      <c r="K278" s="101">
        <f t="shared" si="19"/>
        <v>-50</v>
      </c>
      <c r="L278" s="101"/>
      <c r="M278" s="103">
        <f t="shared" si="20"/>
        <v>0</v>
      </c>
    </row>
    <row r="279" spans="1:13" x14ac:dyDescent="0.25">
      <c r="A279" s="117"/>
      <c r="G279" s="84"/>
      <c r="H279" s="101">
        <v>274</v>
      </c>
      <c r="I279" s="102" t="str">
        <f t="shared" si="18"/>
        <v/>
      </c>
      <c r="J279" s="101">
        <f t="shared" si="21"/>
        <v>-5</v>
      </c>
      <c r="K279" s="101">
        <f t="shared" si="19"/>
        <v>-50</v>
      </c>
      <c r="L279" s="101"/>
      <c r="M279" s="103">
        <f t="shared" si="20"/>
        <v>0</v>
      </c>
    </row>
    <row r="280" spans="1:13" x14ac:dyDescent="0.25">
      <c r="A280" s="117"/>
      <c r="G280" s="84"/>
      <c r="H280" s="101">
        <v>275</v>
      </c>
      <c r="I280" s="102" t="str">
        <f t="shared" si="18"/>
        <v/>
      </c>
      <c r="J280" s="101">
        <f t="shared" si="21"/>
        <v>-5</v>
      </c>
      <c r="K280" s="101">
        <f t="shared" si="19"/>
        <v>-50</v>
      </c>
      <c r="L280" s="101"/>
      <c r="M280" s="103">
        <f t="shared" si="20"/>
        <v>0</v>
      </c>
    </row>
    <row r="281" spans="1:13" x14ac:dyDescent="0.25">
      <c r="A281" s="117"/>
      <c r="G281" s="84"/>
      <c r="H281" s="101">
        <v>276</v>
      </c>
      <c r="I281" s="102" t="str">
        <f t="shared" si="18"/>
        <v/>
      </c>
      <c r="J281" s="101">
        <f t="shared" si="21"/>
        <v>-5</v>
      </c>
      <c r="K281" s="101">
        <f t="shared" si="19"/>
        <v>-50</v>
      </c>
      <c r="L281" s="101"/>
      <c r="M281" s="103">
        <f t="shared" si="20"/>
        <v>0</v>
      </c>
    </row>
    <row r="282" spans="1:13" x14ac:dyDescent="0.25">
      <c r="A282" s="117"/>
      <c r="G282" s="84"/>
      <c r="H282" s="101">
        <v>277</v>
      </c>
      <c r="I282" s="102" t="str">
        <f t="shared" si="18"/>
        <v/>
      </c>
      <c r="J282" s="101">
        <f t="shared" si="21"/>
        <v>-5</v>
      </c>
      <c r="K282" s="101">
        <f t="shared" si="19"/>
        <v>-50</v>
      </c>
      <c r="L282" s="101"/>
      <c r="M282" s="103">
        <f t="shared" si="20"/>
        <v>0</v>
      </c>
    </row>
    <row r="283" spans="1:13" x14ac:dyDescent="0.25">
      <c r="A283" s="117"/>
      <c r="G283" s="84"/>
      <c r="H283" s="101">
        <v>278</v>
      </c>
      <c r="I283" s="102" t="str">
        <f t="shared" si="18"/>
        <v/>
      </c>
      <c r="J283" s="101">
        <f t="shared" si="21"/>
        <v>-5</v>
      </c>
      <c r="K283" s="101">
        <f t="shared" si="19"/>
        <v>-50</v>
      </c>
      <c r="L283" s="101"/>
      <c r="M283" s="103">
        <f t="shared" si="20"/>
        <v>0</v>
      </c>
    </row>
    <row r="284" spans="1:13" x14ac:dyDescent="0.25">
      <c r="A284" s="117"/>
      <c r="G284" s="84"/>
      <c r="H284" s="101">
        <v>279</v>
      </c>
      <c r="I284" s="102" t="str">
        <f t="shared" si="18"/>
        <v/>
      </c>
      <c r="J284" s="101">
        <f t="shared" si="21"/>
        <v>-5</v>
      </c>
      <c r="K284" s="101">
        <f t="shared" si="19"/>
        <v>-50</v>
      </c>
      <c r="L284" s="101"/>
      <c r="M284" s="103">
        <f t="shared" si="20"/>
        <v>0</v>
      </c>
    </row>
    <row r="285" spans="1:13" x14ac:dyDescent="0.25">
      <c r="A285" s="117"/>
      <c r="G285" s="84"/>
      <c r="H285" s="101">
        <v>280</v>
      </c>
      <c r="I285" s="102" t="str">
        <f t="shared" si="18"/>
        <v/>
      </c>
      <c r="J285" s="101">
        <f t="shared" si="21"/>
        <v>-5</v>
      </c>
      <c r="K285" s="101">
        <f t="shared" si="19"/>
        <v>-50</v>
      </c>
      <c r="L285" s="101"/>
      <c r="M285" s="103">
        <f t="shared" si="20"/>
        <v>0</v>
      </c>
    </row>
    <row r="286" spans="1:13" x14ac:dyDescent="0.25">
      <c r="A286" s="117"/>
      <c r="G286" s="84"/>
      <c r="H286" s="101">
        <v>281</v>
      </c>
      <c r="I286" s="102" t="str">
        <f t="shared" si="18"/>
        <v/>
      </c>
      <c r="J286" s="101">
        <f t="shared" si="21"/>
        <v>-5</v>
      </c>
      <c r="K286" s="101">
        <f t="shared" si="19"/>
        <v>-50</v>
      </c>
      <c r="L286" s="101"/>
      <c r="M286" s="103">
        <f t="shared" si="20"/>
        <v>0</v>
      </c>
    </row>
    <row r="287" spans="1:13" x14ac:dyDescent="0.25">
      <c r="A287" s="117"/>
      <c r="G287" s="84"/>
      <c r="H287" s="101">
        <v>282</v>
      </c>
      <c r="I287" s="102" t="str">
        <f t="shared" si="18"/>
        <v/>
      </c>
      <c r="J287" s="101">
        <f t="shared" si="21"/>
        <v>-5</v>
      </c>
      <c r="K287" s="101">
        <f t="shared" si="19"/>
        <v>-50</v>
      </c>
      <c r="L287" s="101"/>
      <c r="M287" s="103">
        <f t="shared" si="20"/>
        <v>0</v>
      </c>
    </row>
    <row r="288" spans="1:13" x14ac:dyDescent="0.25">
      <c r="A288" s="117"/>
      <c r="G288" s="84"/>
      <c r="H288" s="101">
        <v>283</v>
      </c>
      <c r="I288" s="102" t="str">
        <f t="shared" si="18"/>
        <v/>
      </c>
      <c r="J288" s="101">
        <f t="shared" si="21"/>
        <v>-5</v>
      </c>
      <c r="K288" s="101">
        <f t="shared" si="19"/>
        <v>-50</v>
      </c>
      <c r="L288" s="101"/>
      <c r="M288" s="103">
        <f t="shared" si="20"/>
        <v>0</v>
      </c>
    </row>
    <row r="289" spans="1:13" x14ac:dyDescent="0.25">
      <c r="A289" s="117"/>
      <c r="G289" s="84"/>
      <c r="H289" s="101">
        <v>284</v>
      </c>
      <c r="I289" s="102" t="str">
        <f t="shared" si="18"/>
        <v/>
      </c>
      <c r="J289" s="101">
        <f t="shared" si="21"/>
        <v>-5</v>
      </c>
      <c r="K289" s="101">
        <f t="shared" si="19"/>
        <v>-50</v>
      </c>
      <c r="L289" s="101"/>
      <c r="M289" s="103">
        <f t="shared" si="20"/>
        <v>0</v>
      </c>
    </row>
    <row r="290" spans="1:13" x14ac:dyDescent="0.25">
      <c r="A290" s="117"/>
      <c r="G290" s="84"/>
      <c r="H290" s="101">
        <v>285</v>
      </c>
      <c r="I290" s="102" t="str">
        <f t="shared" si="18"/>
        <v/>
      </c>
      <c r="J290" s="101">
        <f t="shared" si="21"/>
        <v>-5</v>
      </c>
      <c r="K290" s="101">
        <f t="shared" si="19"/>
        <v>-50</v>
      </c>
      <c r="L290" s="101"/>
      <c r="M290" s="103">
        <f t="shared" si="20"/>
        <v>0</v>
      </c>
    </row>
    <row r="291" spans="1:13" x14ac:dyDescent="0.25">
      <c r="A291" s="117"/>
      <c r="G291" s="84"/>
      <c r="H291" s="101">
        <v>286</v>
      </c>
      <c r="I291" s="102" t="str">
        <f t="shared" si="18"/>
        <v/>
      </c>
      <c r="J291" s="101">
        <f t="shared" si="21"/>
        <v>-5</v>
      </c>
      <c r="K291" s="101">
        <f t="shared" si="19"/>
        <v>-50</v>
      </c>
      <c r="L291" s="101"/>
      <c r="M291" s="103">
        <f t="shared" si="20"/>
        <v>0</v>
      </c>
    </row>
    <row r="292" spans="1:13" x14ac:dyDescent="0.25">
      <c r="A292" s="117"/>
      <c r="G292" s="84"/>
      <c r="H292" s="101">
        <v>287</v>
      </c>
      <c r="I292" s="102" t="str">
        <f t="shared" si="18"/>
        <v/>
      </c>
      <c r="J292" s="101">
        <f t="shared" si="21"/>
        <v>-5</v>
      </c>
      <c r="K292" s="101">
        <f t="shared" si="19"/>
        <v>-50</v>
      </c>
      <c r="L292" s="101"/>
      <c r="M292" s="103">
        <f t="shared" si="20"/>
        <v>0</v>
      </c>
    </row>
    <row r="293" spans="1:13" x14ac:dyDescent="0.25">
      <c r="A293" s="117"/>
      <c r="G293" s="84"/>
      <c r="H293" s="101">
        <v>288</v>
      </c>
      <c r="I293" s="102" t="str">
        <f t="shared" si="18"/>
        <v/>
      </c>
      <c r="J293" s="101">
        <f t="shared" si="21"/>
        <v>-5</v>
      </c>
      <c r="K293" s="101">
        <f t="shared" si="19"/>
        <v>-50</v>
      </c>
      <c r="L293" s="101"/>
      <c r="M293" s="103">
        <f t="shared" si="20"/>
        <v>0</v>
      </c>
    </row>
    <row r="294" spans="1:13" x14ac:dyDescent="0.25">
      <c r="A294" s="117"/>
      <c r="G294" s="84"/>
      <c r="H294" s="101">
        <v>289</v>
      </c>
      <c r="I294" s="102" t="str">
        <f t="shared" si="18"/>
        <v/>
      </c>
      <c r="J294" s="101">
        <f t="shared" si="21"/>
        <v>-5</v>
      </c>
      <c r="K294" s="101">
        <f t="shared" si="19"/>
        <v>-50</v>
      </c>
      <c r="L294" s="101"/>
      <c r="M294" s="103">
        <f t="shared" si="20"/>
        <v>0</v>
      </c>
    </row>
    <row r="295" spans="1:13" x14ac:dyDescent="0.25">
      <c r="A295" s="117"/>
      <c r="G295" s="84"/>
      <c r="H295" s="101">
        <v>290</v>
      </c>
      <c r="I295" s="102" t="str">
        <f t="shared" si="18"/>
        <v/>
      </c>
      <c r="J295" s="101">
        <f t="shared" si="21"/>
        <v>-5</v>
      </c>
      <c r="K295" s="101">
        <f t="shared" si="19"/>
        <v>-50</v>
      </c>
      <c r="L295" s="101"/>
      <c r="M295" s="103">
        <f t="shared" si="20"/>
        <v>0</v>
      </c>
    </row>
    <row r="296" spans="1:13" x14ac:dyDescent="0.25">
      <c r="A296" s="117"/>
      <c r="G296" s="84"/>
      <c r="H296" s="101">
        <v>291</v>
      </c>
      <c r="I296" s="102" t="str">
        <f t="shared" si="18"/>
        <v/>
      </c>
      <c r="J296" s="101">
        <f t="shared" si="21"/>
        <v>-5</v>
      </c>
      <c r="K296" s="101">
        <f t="shared" si="19"/>
        <v>-50</v>
      </c>
      <c r="L296" s="101"/>
      <c r="M296" s="103">
        <f t="shared" si="20"/>
        <v>0</v>
      </c>
    </row>
    <row r="297" spans="1:13" x14ac:dyDescent="0.25">
      <c r="A297" s="117"/>
      <c r="G297" s="84"/>
      <c r="H297" s="101">
        <v>292</v>
      </c>
      <c r="I297" s="102" t="str">
        <f t="shared" si="18"/>
        <v/>
      </c>
      <c r="J297" s="101">
        <f t="shared" si="21"/>
        <v>-5</v>
      </c>
      <c r="K297" s="101">
        <f t="shared" si="19"/>
        <v>-50</v>
      </c>
      <c r="L297" s="101"/>
      <c r="M297" s="103">
        <f t="shared" si="20"/>
        <v>0</v>
      </c>
    </row>
    <row r="298" spans="1:13" x14ac:dyDescent="0.25">
      <c r="A298" s="117"/>
      <c r="G298" s="84"/>
      <c r="H298" s="101">
        <v>293</v>
      </c>
      <c r="I298" s="102" t="str">
        <f t="shared" si="18"/>
        <v/>
      </c>
      <c r="J298" s="101">
        <f t="shared" si="21"/>
        <v>-5</v>
      </c>
      <c r="K298" s="101">
        <f t="shared" si="19"/>
        <v>-50</v>
      </c>
      <c r="L298" s="101"/>
      <c r="M298" s="103">
        <f t="shared" si="20"/>
        <v>0</v>
      </c>
    </row>
    <row r="299" spans="1:13" x14ac:dyDescent="0.25">
      <c r="A299" s="117"/>
      <c r="G299" s="84"/>
      <c r="H299" s="101">
        <v>294</v>
      </c>
      <c r="I299" s="102" t="str">
        <f t="shared" si="18"/>
        <v/>
      </c>
      <c r="J299" s="101">
        <f t="shared" si="21"/>
        <v>-5</v>
      </c>
      <c r="K299" s="101">
        <f t="shared" si="19"/>
        <v>-50</v>
      </c>
      <c r="L299" s="101"/>
      <c r="M299" s="103">
        <f t="shared" si="20"/>
        <v>0</v>
      </c>
    </row>
    <row r="300" spans="1:13" x14ac:dyDescent="0.25">
      <c r="A300" s="117"/>
      <c r="G300" s="84"/>
      <c r="H300" s="101">
        <v>295</v>
      </c>
      <c r="I300" s="102" t="str">
        <f t="shared" si="18"/>
        <v/>
      </c>
      <c r="J300" s="101">
        <f t="shared" si="21"/>
        <v>-5</v>
      </c>
      <c r="K300" s="101">
        <f t="shared" si="19"/>
        <v>-50</v>
      </c>
      <c r="L300" s="101"/>
      <c r="M300" s="103">
        <f t="shared" si="20"/>
        <v>0</v>
      </c>
    </row>
    <row r="301" spans="1:13" x14ac:dyDescent="0.25">
      <c r="A301" s="117"/>
      <c r="G301" s="84"/>
      <c r="H301" s="101">
        <v>296</v>
      </c>
      <c r="I301" s="102" t="str">
        <f t="shared" si="18"/>
        <v/>
      </c>
      <c r="J301" s="101">
        <f t="shared" si="21"/>
        <v>-5</v>
      </c>
      <c r="K301" s="101">
        <f t="shared" si="19"/>
        <v>-50</v>
      </c>
      <c r="L301" s="101"/>
      <c r="M301" s="103">
        <f t="shared" si="20"/>
        <v>0</v>
      </c>
    </row>
    <row r="302" spans="1:13" x14ac:dyDescent="0.25">
      <c r="A302" s="117"/>
      <c r="G302" s="84"/>
      <c r="H302" s="101">
        <v>297</v>
      </c>
      <c r="I302" s="102" t="str">
        <f t="shared" si="18"/>
        <v/>
      </c>
      <c r="J302" s="101">
        <f t="shared" si="21"/>
        <v>-5</v>
      </c>
      <c r="K302" s="101">
        <f t="shared" si="19"/>
        <v>-50</v>
      </c>
      <c r="L302" s="101"/>
      <c r="M302" s="103">
        <f t="shared" si="20"/>
        <v>0</v>
      </c>
    </row>
    <row r="303" spans="1:13" x14ac:dyDescent="0.25">
      <c r="A303" s="117"/>
      <c r="G303" s="84"/>
      <c r="H303" s="101">
        <v>298</v>
      </c>
      <c r="I303" s="102" t="str">
        <f t="shared" si="18"/>
        <v/>
      </c>
      <c r="J303" s="101">
        <f t="shared" si="21"/>
        <v>-5</v>
      </c>
      <c r="K303" s="101">
        <f t="shared" si="19"/>
        <v>-50</v>
      </c>
      <c r="L303" s="101"/>
      <c r="M303" s="103">
        <f t="shared" si="20"/>
        <v>0</v>
      </c>
    </row>
    <row r="304" spans="1:13" x14ac:dyDescent="0.25">
      <c r="A304" s="117"/>
      <c r="G304" s="84"/>
      <c r="H304" s="101">
        <v>299</v>
      </c>
      <c r="I304" s="102" t="str">
        <f t="shared" si="18"/>
        <v/>
      </c>
      <c r="J304" s="101">
        <f t="shared" si="21"/>
        <v>-5</v>
      </c>
      <c r="K304" s="101">
        <f t="shared" si="19"/>
        <v>-50</v>
      </c>
      <c r="L304" s="101"/>
      <c r="M304" s="103">
        <f t="shared" si="20"/>
        <v>0</v>
      </c>
    </row>
    <row r="305" spans="1:16" x14ac:dyDescent="0.25">
      <c r="A305" s="117"/>
      <c r="G305" s="84"/>
      <c r="H305" s="101">
        <v>300</v>
      </c>
      <c r="I305" s="102" t="str">
        <f t="shared" si="18"/>
        <v/>
      </c>
      <c r="J305" s="101">
        <f t="shared" si="21"/>
        <v>-5</v>
      </c>
      <c r="K305" s="101">
        <f t="shared" si="19"/>
        <v>-50</v>
      </c>
      <c r="L305" s="101"/>
      <c r="M305" s="103">
        <f t="shared" si="20"/>
        <v>0</v>
      </c>
    </row>
    <row r="306" spans="1:16" x14ac:dyDescent="0.25">
      <c r="A306" s="119"/>
    </row>
    <row r="314" spans="1:16" x14ac:dyDescent="0.25">
      <c r="L314" s="122"/>
      <c r="P314" s="112"/>
    </row>
    <row r="315" spans="1:16" x14ac:dyDescent="0.25">
      <c r="L315" s="122"/>
      <c r="P315" s="112"/>
    </row>
    <row r="316" spans="1:16" x14ac:dyDescent="0.25">
      <c r="L316" s="122"/>
      <c r="P316" s="112"/>
    </row>
    <row r="317" spans="1:16" x14ac:dyDescent="0.25">
      <c r="L317" s="122"/>
      <c r="P317" s="112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38:C69" xr:uid="{B7BE5666-E8AF-4B6D-841A-3C9806002146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DD935-C975-4525-BAF2-E8F1946BC010}">
  <sheetPr>
    <tabColor theme="7" tint="0.79998168889431442"/>
  </sheetPr>
  <dimension ref="A1:AL317"/>
  <sheetViews>
    <sheetView workbookViewId="0">
      <selection activeCell="B16" sqref="B16"/>
    </sheetView>
  </sheetViews>
  <sheetFormatPr defaultColWidth="8.85546875" defaultRowHeight="15" x14ac:dyDescent="0.25"/>
  <cols>
    <col min="1" max="1" width="8" style="118" customWidth="1"/>
    <col min="2" max="2" width="8.28515625" style="118" customWidth="1"/>
    <col min="3" max="3" width="34.7109375" style="118" customWidth="1"/>
    <col min="4" max="4" width="11.28515625" style="118" customWidth="1"/>
    <col min="5" max="6" width="8.85546875" style="118"/>
    <col min="7" max="7" width="0.85546875" style="118" customWidth="1"/>
    <col min="8" max="8" width="8.85546875" style="120"/>
    <col min="9" max="9" width="11" style="120" customWidth="1"/>
    <col min="10" max="10" width="15" style="120" customWidth="1"/>
    <col min="11" max="11" width="8.7109375" style="120" customWidth="1"/>
    <col min="12" max="12" width="11" style="120" customWidth="1"/>
    <col min="13" max="13" width="11.7109375" style="121" customWidth="1"/>
    <col min="14" max="15" width="13.85546875" style="84" customWidth="1"/>
    <col min="16" max="18" width="8.85546875" style="84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18"/>
  </cols>
  <sheetData>
    <row r="1" spans="1:36" x14ac:dyDescent="0.25">
      <c r="A1" s="84"/>
      <c r="B1" s="84"/>
      <c r="C1" s="84"/>
      <c r="D1" s="84"/>
      <c r="E1" s="84"/>
      <c r="F1" s="84"/>
      <c r="G1" s="84"/>
      <c r="H1" s="85" t="s">
        <v>26</v>
      </c>
      <c r="I1" s="86" t="s">
        <v>27</v>
      </c>
      <c r="J1" s="86" t="s">
        <v>28</v>
      </c>
      <c r="K1" s="87" t="s">
        <v>29</v>
      </c>
      <c r="L1" s="90"/>
      <c r="M1" s="90"/>
    </row>
    <row r="2" spans="1:36" x14ac:dyDescent="0.25">
      <c r="A2" s="84"/>
      <c r="B2" s="24" t="s">
        <v>32</v>
      </c>
      <c r="C2" s="177" t="s">
        <v>101</v>
      </c>
      <c r="D2" s="177"/>
      <c r="E2" s="25"/>
      <c r="F2" s="25"/>
      <c r="G2" s="25"/>
      <c r="H2" s="92">
        <v>7</v>
      </c>
      <c r="I2" s="93">
        <v>50</v>
      </c>
      <c r="J2" s="93">
        <v>10</v>
      </c>
      <c r="K2" s="94">
        <f>3*H2^(1/3)</f>
        <v>5.738793548317167</v>
      </c>
      <c r="L2" s="90"/>
      <c r="M2" s="90"/>
    </row>
    <row r="3" spans="1:36" ht="14.45" customHeight="1" x14ac:dyDescent="0.25">
      <c r="A3" s="84"/>
      <c r="B3" s="96" t="s">
        <v>34</v>
      </c>
      <c r="C3" s="177"/>
      <c r="D3" s="177"/>
      <c r="E3" s="30"/>
      <c r="F3" s="30"/>
      <c r="G3" s="30"/>
      <c r="H3" s="90"/>
      <c r="I3" s="90"/>
      <c r="J3" s="90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0"/>
      <c r="K4" s="90"/>
      <c r="L4" s="90"/>
      <c r="M4" s="90"/>
    </row>
    <row r="5" spans="1:36" ht="36" x14ac:dyDescent="0.25">
      <c r="A5" s="1" t="s">
        <v>36</v>
      </c>
      <c r="B5" s="33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32"/>
      <c r="H5" s="98" t="s">
        <v>42</v>
      </c>
      <c r="I5" s="99" t="s">
        <v>43</v>
      </c>
      <c r="J5" s="99" t="s">
        <v>44</v>
      </c>
      <c r="K5" s="99" t="s">
        <v>45</v>
      </c>
      <c r="L5" s="99" t="s">
        <v>46</v>
      </c>
      <c r="M5" s="98" t="s">
        <v>47</v>
      </c>
    </row>
    <row r="6" spans="1:36" ht="14.45" customHeight="1" x14ac:dyDescent="0.25">
      <c r="A6" s="137">
        <f>M6</f>
        <v>97.216380644951499</v>
      </c>
      <c r="B6" s="38">
        <f t="shared" ref="B6:B65" si="0">IF(H6&gt;$H$2,"",(ROW()-5))</f>
        <v>1</v>
      </c>
      <c r="C6" s="39" t="s">
        <v>54</v>
      </c>
      <c r="D6" s="39"/>
      <c r="E6" s="39"/>
      <c r="F6" s="39"/>
      <c r="G6" s="32"/>
      <c r="H6" s="101">
        <v>1</v>
      </c>
      <c r="I6" s="102">
        <f t="shared" ref="I6:I69" si="1">IF(H6&lt;$H$2+1,($I$2-($I$2-1)*(LOG(H6)/LOG($H$2))),"")</f>
        <v>50</v>
      </c>
      <c r="J6" s="102">
        <f>INT(LOG($H$2,2))-ROUNDUP(LOG(H6,2),0)+IF(OR($H$2=1,$H$2=2,$H$2=4,$H$2=8,$H$2=16,$H$2=32,$H$2=64,$H$2=128,$H$2=256),0,1)</f>
        <v>3</v>
      </c>
      <c r="K6" s="101">
        <f t="shared" ref="K6:K69" si="2">J6*$J$2</f>
        <v>30</v>
      </c>
      <c r="L6" s="103">
        <f>3*K2</f>
        <v>17.216380644951499</v>
      </c>
      <c r="M6" s="103">
        <f t="shared" ref="M6:M69" si="3">IF(I6&lt;&gt;"",K6+I6+L6,0)</f>
        <v>97.216380644951499</v>
      </c>
    </row>
    <row r="7" spans="1:36" ht="14.45" customHeight="1" x14ac:dyDescent="0.25">
      <c r="A7" s="138">
        <f t="shared" ref="A7:A37" si="4">M7</f>
        <v>64.023434928341246</v>
      </c>
      <c r="B7" s="44">
        <f t="shared" si="0"/>
        <v>2</v>
      </c>
      <c r="C7" s="45" t="s">
        <v>54</v>
      </c>
      <c r="D7" s="45"/>
      <c r="E7" s="45"/>
      <c r="F7" s="45"/>
      <c r="G7" s="32"/>
      <c r="H7" s="104">
        <v>2</v>
      </c>
      <c r="I7" s="105">
        <f t="shared" si="1"/>
        <v>32.545847831706908</v>
      </c>
      <c r="J7" s="105">
        <f t="shared" ref="J7:J70" si="5">INT(LOG($H$2,2))-ROUNDUP(LOG(H7,2),0)+IF(OR($H$2=1,$H$2=2,$H$2=4,$H$2=8,$H$2=16,$H$2=32,$H$2=64,$H$2=128,$H$2=256),0,1)</f>
        <v>2</v>
      </c>
      <c r="K7" s="104">
        <f t="shared" si="2"/>
        <v>20</v>
      </c>
      <c r="L7" s="106">
        <f>2*K2</f>
        <v>11.477587096634334</v>
      </c>
      <c r="M7" s="106">
        <f t="shared" si="3"/>
        <v>64.023434928341246</v>
      </c>
    </row>
    <row r="8" spans="1:36" ht="14.45" customHeight="1" x14ac:dyDescent="0.25">
      <c r="A8" s="137">
        <f t="shared" si="4"/>
        <v>38.074616879691767</v>
      </c>
      <c r="B8" s="38">
        <f t="shared" si="0"/>
        <v>3</v>
      </c>
      <c r="C8" s="39" t="s">
        <v>54</v>
      </c>
      <c r="D8" s="39"/>
      <c r="E8" s="39"/>
      <c r="F8" s="39"/>
      <c r="G8" s="32"/>
      <c r="H8" s="101">
        <v>3</v>
      </c>
      <c r="I8" s="102">
        <f t="shared" si="1"/>
        <v>22.335823331374595</v>
      </c>
      <c r="J8" s="102">
        <f t="shared" si="5"/>
        <v>1</v>
      </c>
      <c r="K8" s="101">
        <f t="shared" si="2"/>
        <v>10</v>
      </c>
      <c r="L8" s="103">
        <f>K2</f>
        <v>5.738793548317167</v>
      </c>
      <c r="M8" s="103">
        <f t="shared" si="3"/>
        <v>38.074616879691767</v>
      </c>
    </row>
    <row r="9" spans="1:36" s="91" customFormat="1" ht="14.45" customHeight="1" x14ac:dyDescent="0.25">
      <c r="A9" s="138">
        <f t="shared" si="4"/>
        <v>38.074616879691767</v>
      </c>
      <c r="B9" s="44">
        <f>IF(H9&gt;$H$2,"",3)</f>
        <v>3</v>
      </c>
      <c r="C9" s="45" t="s">
        <v>54</v>
      </c>
      <c r="D9" s="45"/>
      <c r="E9" s="45"/>
      <c r="F9" s="45"/>
      <c r="G9" s="32"/>
      <c r="H9" s="104">
        <v>3</v>
      </c>
      <c r="I9" s="105">
        <f t="shared" si="1"/>
        <v>22.335823331374595</v>
      </c>
      <c r="J9" s="104">
        <f t="shared" si="5"/>
        <v>1</v>
      </c>
      <c r="K9" s="104">
        <f t="shared" si="2"/>
        <v>10</v>
      </c>
      <c r="L9" s="106">
        <f>K2</f>
        <v>5.738793548317167</v>
      </c>
      <c r="M9" s="106">
        <f t="shared" si="3"/>
        <v>38.074616879691767</v>
      </c>
      <c r="N9" s="84"/>
      <c r="O9" s="84"/>
      <c r="P9" s="84"/>
      <c r="Q9" s="84"/>
      <c r="R9" s="84"/>
      <c r="V9" s="107"/>
      <c r="Z9" s="108"/>
      <c r="AA9" s="108"/>
      <c r="AG9" s="109"/>
      <c r="AH9" s="91" t="s">
        <v>54</v>
      </c>
      <c r="AI9" s="91">
        <v>23</v>
      </c>
    </row>
    <row r="10" spans="1:36" ht="14.45" customHeight="1" x14ac:dyDescent="0.25">
      <c r="A10" s="137">
        <f t="shared" si="4"/>
        <v>9.472713708001109</v>
      </c>
      <c r="B10" s="38">
        <f t="shared" si="0"/>
        <v>5</v>
      </c>
      <c r="C10" s="39" t="s">
        <v>54</v>
      </c>
      <c r="D10" s="39"/>
      <c r="E10" s="39"/>
      <c r="F10" s="39"/>
      <c r="G10" s="32"/>
      <c r="H10" s="101">
        <v>5</v>
      </c>
      <c r="I10" s="102">
        <f t="shared" si="1"/>
        <v>9.472713708001109</v>
      </c>
      <c r="J10" s="102">
        <f t="shared" si="5"/>
        <v>0</v>
      </c>
      <c r="K10" s="101">
        <f t="shared" si="2"/>
        <v>0</v>
      </c>
      <c r="L10" s="101"/>
      <c r="M10" s="103">
        <f t="shared" si="3"/>
        <v>9.472713708001109</v>
      </c>
      <c r="V10" s="107"/>
      <c r="Z10" s="108"/>
      <c r="AA10" s="108"/>
      <c r="AG10" s="109"/>
      <c r="AH10" s="91" t="s">
        <v>55</v>
      </c>
      <c r="AI10" s="91">
        <v>45</v>
      </c>
    </row>
    <row r="11" spans="1:36" ht="14.45" customHeight="1" x14ac:dyDescent="0.25">
      <c r="A11" s="138">
        <f t="shared" si="4"/>
        <v>4.8816711630815135</v>
      </c>
      <c r="B11" s="44">
        <f t="shared" si="0"/>
        <v>6</v>
      </c>
      <c r="C11" s="45" t="s">
        <v>54</v>
      </c>
      <c r="D11" s="45"/>
      <c r="E11" s="45"/>
      <c r="F11" s="45"/>
      <c r="G11" s="32"/>
      <c r="H11" s="104">
        <v>6</v>
      </c>
      <c r="I11" s="105">
        <f t="shared" si="1"/>
        <v>4.8816711630815135</v>
      </c>
      <c r="J11" s="105">
        <f t="shared" si="5"/>
        <v>0</v>
      </c>
      <c r="K11" s="104">
        <f t="shared" si="2"/>
        <v>0</v>
      </c>
      <c r="L11" s="104"/>
      <c r="M11" s="106">
        <f t="shared" si="3"/>
        <v>4.8816711630815135</v>
      </c>
      <c r="V11" s="110"/>
      <c r="Z11" s="108"/>
      <c r="AA11" s="108"/>
      <c r="AG11" s="109"/>
      <c r="AH11" s="91" t="s">
        <v>56</v>
      </c>
      <c r="AI11" s="91">
        <v>50</v>
      </c>
    </row>
    <row r="12" spans="1:36" ht="14.45" customHeight="1" x14ac:dyDescent="0.25">
      <c r="A12" s="137">
        <f t="shared" si="4"/>
        <v>1</v>
      </c>
      <c r="B12" s="38">
        <f t="shared" si="0"/>
        <v>7</v>
      </c>
      <c r="C12" s="39" t="s">
        <v>54</v>
      </c>
      <c r="D12" s="39"/>
      <c r="E12" s="39"/>
      <c r="F12" s="39"/>
      <c r="G12" s="32"/>
      <c r="H12" s="101">
        <v>7</v>
      </c>
      <c r="I12" s="102">
        <f t="shared" si="1"/>
        <v>1</v>
      </c>
      <c r="J12" s="102">
        <f t="shared" si="5"/>
        <v>0</v>
      </c>
      <c r="K12" s="101">
        <f t="shared" si="2"/>
        <v>0</v>
      </c>
      <c r="L12" s="101"/>
      <c r="M12" s="103">
        <f t="shared" si="3"/>
        <v>1</v>
      </c>
      <c r="Z12" s="108"/>
      <c r="AA12" s="108"/>
      <c r="AG12" s="109"/>
      <c r="AH12" s="91" t="s">
        <v>57</v>
      </c>
      <c r="AI12" s="91">
        <f>AI11-1</f>
        <v>49</v>
      </c>
    </row>
    <row r="13" spans="1:36" ht="14.45" customHeight="1" x14ac:dyDescent="0.25">
      <c r="A13" s="138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104">
        <v>8</v>
      </c>
      <c r="I13" s="105" t="str">
        <f t="shared" si="1"/>
        <v/>
      </c>
      <c r="J13" s="105">
        <f t="shared" si="5"/>
        <v>0</v>
      </c>
      <c r="K13" s="104">
        <f t="shared" si="2"/>
        <v>0</v>
      </c>
      <c r="L13" s="104"/>
      <c r="M13" s="106">
        <f t="shared" si="3"/>
        <v>0</v>
      </c>
      <c r="X13" s="107"/>
      <c r="AG13" s="109"/>
      <c r="AH13" s="91" t="s">
        <v>58</v>
      </c>
      <c r="AI13" s="91">
        <f>LOG(AI9)</f>
        <v>1.3617278360175928</v>
      </c>
    </row>
    <row r="14" spans="1:36" x14ac:dyDescent="0.25">
      <c r="A14" s="137">
        <f t="shared" si="4"/>
        <v>0</v>
      </c>
      <c r="B14" s="38" t="str">
        <f t="shared" si="0"/>
        <v/>
      </c>
      <c r="C14" s="39"/>
      <c r="D14" s="39"/>
      <c r="E14" s="39"/>
      <c r="F14" s="39"/>
      <c r="G14" s="32"/>
      <c r="H14" s="101">
        <v>9</v>
      </c>
      <c r="I14" s="102" t="str">
        <f t="shared" si="1"/>
        <v/>
      </c>
      <c r="J14" s="102">
        <f t="shared" si="5"/>
        <v>-1</v>
      </c>
      <c r="K14" s="101">
        <f t="shared" si="2"/>
        <v>-10</v>
      </c>
      <c r="L14" s="101"/>
      <c r="M14" s="103">
        <f t="shared" si="3"/>
        <v>0</v>
      </c>
      <c r="X14" s="111"/>
      <c r="Z14" s="108"/>
      <c r="AA14" s="108"/>
      <c r="AG14" s="109"/>
      <c r="AH14" s="91" t="s">
        <v>59</v>
      </c>
      <c r="AI14" s="91">
        <f>LOG(AI10)</f>
        <v>1.6532125137753437</v>
      </c>
    </row>
    <row r="15" spans="1:36" x14ac:dyDescent="0.25">
      <c r="A15" s="138">
        <f t="shared" si="4"/>
        <v>0</v>
      </c>
      <c r="B15" s="44" t="str">
        <f t="shared" si="0"/>
        <v/>
      </c>
      <c r="C15" s="45"/>
      <c r="D15" s="45"/>
      <c r="E15" s="45"/>
      <c r="F15" s="45"/>
      <c r="G15" s="32"/>
      <c r="H15" s="104">
        <v>10</v>
      </c>
      <c r="I15" s="105" t="str">
        <f t="shared" si="1"/>
        <v/>
      </c>
      <c r="J15" s="105">
        <f t="shared" si="5"/>
        <v>-1</v>
      </c>
      <c r="K15" s="104">
        <f t="shared" si="2"/>
        <v>-10</v>
      </c>
      <c r="L15" s="104"/>
      <c r="M15" s="106">
        <f t="shared" si="3"/>
        <v>0</v>
      </c>
      <c r="X15" s="107"/>
      <c r="Z15" s="108"/>
      <c r="AA15" s="108"/>
    </row>
    <row r="16" spans="1:36" x14ac:dyDescent="0.25">
      <c r="A16" s="137">
        <f t="shared" si="4"/>
        <v>0</v>
      </c>
      <c r="B16" s="38" t="str">
        <f t="shared" si="0"/>
        <v/>
      </c>
      <c r="C16" s="39"/>
      <c r="D16" s="39"/>
      <c r="E16" s="39"/>
      <c r="F16" s="39"/>
      <c r="G16" s="32"/>
      <c r="H16" s="101">
        <v>11</v>
      </c>
      <c r="I16" s="102" t="str">
        <f t="shared" si="1"/>
        <v/>
      </c>
      <c r="J16" s="102">
        <f t="shared" si="5"/>
        <v>-1</v>
      </c>
      <c r="K16" s="101">
        <f t="shared" si="2"/>
        <v>-10</v>
      </c>
      <c r="L16" s="101"/>
      <c r="M16" s="103">
        <f t="shared" si="3"/>
        <v>0</v>
      </c>
      <c r="R16" s="112"/>
      <c r="Z16" s="108"/>
      <c r="AA16" s="108"/>
      <c r="AH16" s="113" t="s">
        <v>60</v>
      </c>
      <c r="AI16" s="91">
        <f>AI11-AI12*AI13/AI14</f>
        <v>9.6393909380186855</v>
      </c>
      <c r="AJ16" s="91" t="s">
        <v>61</v>
      </c>
    </row>
    <row r="17" spans="1:19" x14ac:dyDescent="0.25">
      <c r="A17" s="138">
        <f t="shared" si="4"/>
        <v>0</v>
      </c>
      <c r="B17" s="44" t="str">
        <f t="shared" si="0"/>
        <v/>
      </c>
      <c r="C17" s="45"/>
      <c r="D17" s="45"/>
      <c r="E17" s="45"/>
      <c r="F17" s="45"/>
      <c r="G17" s="32"/>
      <c r="H17" s="104">
        <v>12</v>
      </c>
      <c r="I17" s="105" t="str">
        <f t="shared" si="1"/>
        <v/>
      </c>
      <c r="J17" s="105">
        <f t="shared" si="5"/>
        <v>-1</v>
      </c>
      <c r="K17" s="104">
        <f t="shared" si="2"/>
        <v>-10</v>
      </c>
      <c r="L17" s="104"/>
      <c r="M17" s="106">
        <f t="shared" si="3"/>
        <v>0</v>
      </c>
    </row>
    <row r="18" spans="1:19" x14ac:dyDescent="0.25">
      <c r="A18" s="137">
        <f t="shared" si="4"/>
        <v>0</v>
      </c>
      <c r="B18" s="38" t="str">
        <f t="shared" si="0"/>
        <v/>
      </c>
      <c r="C18" s="39"/>
      <c r="D18" s="39"/>
      <c r="E18" s="39"/>
      <c r="F18" s="39"/>
      <c r="G18" s="32"/>
      <c r="H18" s="101">
        <v>13</v>
      </c>
      <c r="I18" s="102" t="str">
        <f t="shared" si="1"/>
        <v/>
      </c>
      <c r="J18" s="102">
        <f t="shared" si="5"/>
        <v>-1</v>
      </c>
      <c r="K18" s="101">
        <f t="shared" si="2"/>
        <v>-10</v>
      </c>
      <c r="L18" s="101"/>
      <c r="M18" s="103">
        <f t="shared" si="3"/>
        <v>0</v>
      </c>
    </row>
    <row r="19" spans="1:19" x14ac:dyDescent="0.25">
      <c r="A19" s="138">
        <f t="shared" si="4"/>
        <v>0</v>
      </c>
      <c r="B19" s="44" t="str">
        <f t="shared" si="0"/>
        <v/>
      </c>
      <c r="C19" s="45"/>
      <c r="D19" s="45"/>
      <c r="E19" s="45"/>
      <c r="F19" s="45"/>
      <c r="G19" s="32"/>
      <c r="H19" s="104">
        <v>14</v>
      </c>
      <c r="I19" s="105" t="str">
        <f t="shared" si="1"/>
        <v/>
      </c>
      <c r="J19" s="105">
        <f t="shared" si="5"/>
        <v>-1</v>
      </c>
      <c r="K19" s="104">
        <f t="shared" si="2"/>
        <v>-10</v>
      </c>
      <c r="L19" s="104"/>
      <c r="M19" s="106">
        <f t="shared" si="3"/>
        <v>0</v>
      </c>
    </row>
    <row r="20" spans="1:19" x14ac:dyDescent="0.25">
      <c r="A20" s="137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1">
        <v>15</v>
      </c>
      <c r="I20" s="102" t="str">
        <f t="shared" si="1"/>
        <v/>
      </c>
      <c r="J20" s="102">
        <f t="shared" si="5"/>
        <v>-1</v>
      </c>
      <c r="K20" s="101">
        <f t="shared" si="2"/>
        <v>-10</v>
      </c>
      <c r="L20" s="101"/>
      <c r="M20" s="103">
        <f t="shared" si="3"/>
        <v>0</v>
      </c>
      <c r="R20" s="114"/>
      <c r="S20" s="115"/>
    </row>
    <row r="21" spans="1:19" x14ac:dyDescent="0.25">
      <c r="A21" s="138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4">
        <v>16</v>
      </c>
      <c r="I21" s="105" t="str">
        <f t="shared" si="1"/>
        <v/>
      </c>
      <c r="J21" s="105">
        <f t="shared" si="5"/>
        <v>-1</v>
      </c>
      <c r="K21" s="104">
        <f t="shared" si="2"/>
        <v>-10</v>
      </c>
      <c r="L21" s="104"/>
      <c r="M21" s="106">
        <f t="shared" si="3"/>
        <v>0</v>
      </c>
    </row>
    <row r="22" spans="1:19" x14ac:dyDescent="0.25">
      <c r="A22" s="137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1">
        <v>17</v>
      </c>
      <c r="I22" s="102" t="str">
        <f t="shared" si="1"/>
        <v/>
      </c>
      <c r="J22" s="102">
        <f t="shared" si="5"/>
        <v>-2</v>
      </c>
      <c r="K22" s="101">
        <f t="shared" si="2"/>
        <v>-20</v>
      </c>
      <c r="L22" s="101"/>
      <c r="M22" s="103">
        <f t="shared" si="3"/>
        <v>0</v>
      </c>
    </row>
    <row r="23" spans="1:19" x14ac:dyDescent="0.25">
      <c r="A23" s="138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4">
        <v>18</v>
      </c>
      <c r="I23" s="105" t="str">
        <f t="shared" si="1"/>
        <v/>
      </c>
      <c r="J23" s="105">
        <f t="shared" si="5"/>
        <v>-2</v>
      </c>
      <c r="K23" s="104">
        <f t="shared" si="2"/>
        <v>-20</v>
      </c>
      <c r="L23" s="104"/>
      <c r="M23" s="106">
        <f t="shared" si="3"/>
        <v>0</v>
      </c>
    </row>
    <row r="24" spans="1:19" x14ac:dyDescent="0.25">
      <c r="A24" s="137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2">
        <f t="shared" si="5"/>
        <v>-2</v>
      </c>
      <c r="K24" s="101">
        <f t="shared" si="2"/>
        <v>-20</v>
      </c>
      <c r="L24" s="101"/>
      <c r="M24" s="103">
        <f t="shared" si="3"/>
        <v>0</v>
      </c>
      <c r="R24" s="114"/>
      <c r="S24" s="115"/>
    </row>
    <row r="25" spans="1:19" x14ac:dyDescent="0.25">
      <c r="A25" s="138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4">
        <v>20</v>
      </c>
      <c r="I25" s="105" t="str">
        <f t="shared" si="1"/>
        <v/>
      </c>
      <c r="J25" s="105">
        <f t="shared" si="5"/>
        <v>-2</v>
      </c>
      <c r="K25" s="104">
        <f t="shared" si="2"/>
        <v>-20</v>
      </c>
      <c r="L25" s="104"/>
      <c r="M25" s="106">
        <f t="shared" si="3"/>
        <v>0</v>
      </c>
    </row>
    <row r="26" spans="1:19" x14ac:dyDescent="0.25">
      <c r="A26" s="137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2">
        <f t="shared" si="5"/>
        <v>-2</v>
      </c>
      <c r="K26" s="101">
        <f t="shared" si="2"/>
        <v>-20</v>
      </c>
      <c r="L26" s="101"/>
      <c r="M26" s="103">
        <f t="shared" si="3"/>
        <v>0</v>
      </c>
    </row>
    <row r="27" spans="1:19" x14ac:dyDescent="0.25">
      <c r="A27" s="138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4">
        <v>22</v>
      </c>
      <c r="I27" s="105" t="str">
        <f t="shared" si="1"/>
        <v/>
      </c>
      <c r="J27" s="105">
        <f t="shared" si="5"/>
        <v>-2</v>
      </c>
      <c r="K27" s="104">
        <f t="shared" si="2"/>
        <v>-20</v>
      </c>
      <c r="L27" s="104"/>
      <c r="M27" s="106">
        <f t="shared" si="3"/>
        <v>0</v>
      </c>
    </row>
    <row r="28" spans="1:19" x14ac:dyDescent="0.25">
      <c r="A28" s="137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2">
        <f t="shared" si="5"/>
        <v>-2</v>
      </c>
      <c r="K28" s="101">
        <f t="shared" si="2"/>
        <v>-20</v>
      </c>
      <c r="L28" s="101"/>
      <c r="M28" s="103">
        <f t="shared" si="3"/>
        <v>0</v>
      </c>
      <c r="R28" s="114"/>
      <c r="S28" s="115"/>
    </row>
    <row r="29" spans="1:19" x14ac:dyDescent="0.25">
      <c r="A29" s="138">
        <f t="shared" si="4"/>
        <v>0</v>
      </c>
      <c r="B29" s="44" t="str">
        <f t="shared" si="0"/>
        <v/>
      </c>
      <c r="C29" s="45"/>
      <c r="D29" s="45"/>
      <c r="E29" s="45"/>
      <c r="F29" s="45"/>
      <c r="G29" s="84"/>
      <c r="H29" s="104">
        <v>24</v>
      </c>
      <c r="I29" s="105" t="str">
        <f t="shared" si="1"/>
        <v/>
      </c>
      <c r="J29" s="105">
        <f t="shared" si="5"/>
        <v>-2</v>
      </c>
      <c r="K29" s="104">
        <f t="shared" si="2"/>
        <v>-20</v>
      </c>
      <c r="L29" s="104"/>
      <c r="M29" s="106">
        <f t="shared" si="3"/>
        <v>0</v>
      </c>
    </row>
    <row r="30" spans="1:19" x14ac:dyDescent="0.25">
      <c r="A30" s="137">
        <f t="shared" si="4"/>
        <v>0</v>
      </c>
      <c r="B30" s="38" t="str">
        <f t="shared" si="0"/>
        <v/>
      </c>
      <c r="C30" s="39"/>
      <c r="D30" s="39"/>
      <c r="E30" s="39"/>
      <c r="F30" s="39"/>
      <c r="G30" s="84"/>
      <c r="H30" s="101">
        <v>25</v>
      </c>
      <c r="I30" s="102" t="str">
        <f t="shared" si="1"/>
        <v/>
      </c>
      <c r="J30" s="102">
        <f t="shared" si="5"/>
        <v>-2</v>
      </c>
      <c r="K30" s="101">
        <f t="shared" si="2"/>
        <v>-20</v>
      </c>
      <c r="L30" s="101"/>
      <c r="M30" s="103">
        <f t="shared" si="3"/>
        <v>0</v>
      </c>
    </row>
    <row r="31" spans="1:19" x14ac:dyDescent="0.25">
      <c r="A31" s="138">
        <f t="shared" si="4"/>
        <v>0</v>
      </c>
      <c r="B31" s="44" t="str">
        <f t="shared" si="0"/>
        <v/>
      </c>
      <c r="C31" s="45"/>
      <c r="D31" s="45"/>
      <c r="E31" s="45"/>
      <c r="F31" s="45"/>
      <c r="G31" s="84"/>
      <c r="H31" s="104">
        <v>26</v>
      </c>
      <c r="I31" s="105" t="str">
        <f t="shared" si="1"/>
        <v/>
      </c>
      <c r="J31" s="105">
        <f t="shared" si="5"/>
        <v>-2</v>
      </c>
      <c r="K31" s="104">
        <f t="shared" si="2"/>
        <v>-20</v>
      </c>
      <c r="L31" s="104"/>
      <c r="M31" s="106">
        <f t="shared" si="3"/>
        <v>0</v>
      </c>
    </row>
    <row r="32" spans="1:19" x14ac:dyDescent="0.25">
      <c r="A32" s="137">
        <f t="shared" si="4"/>
        <v>0</v>
      </c>
      <c r="B32" s="38" t="str">
        <f t="shared" si="0"/>
        <v/>
      </c>
      <c r="C32" s="39"/>
      <c r="D32" s="39"/>
      <c r="E32" s="39"/>
      <c r="F32" s="39"/>
      <c r="G32" s="84"/>
      <c r="H32" s="101">
        <v>27</v>
      </c>
      <c r="I32" s="102" t="str">
        <f t="shared" si="1"/>
        <v/>
      </c>
      <c r="J32" s="102">
        <f t="shared" si="5"/>
        <v>-2</v>
      </c>
      <c r="K32" s="101">
        <f t="shared" si="2"/>
        <v>-20</v>
      </c>
      <c r="L32" s="101"/>
      <c r="M32" s="103">
        <f t="shared" si="3"/>
        <v>0</v>
      </c>
      <c r="R32" s="114"/>
      <c r="S32" s="115"/>
    </row>
    <row r="33" spans="1:21" x14ac:dyDescent="0.25">
      <c r="A33" s="138">
        <f t="shared" si="4"/>
        <v>0</v>
      </c>
      <c r="B33" s="44" t="str">
        <f t="shared" si="0"/>
        <v/>
      </c>
      <c r="C33" s="45"/>
      <c r="D33" s="45"/>
      <c r="E33" s="45"/>
      <c r="F33" s="45"/>
      <c r="G33" s="84"/>
      <c r="H33" s="104">
        <v>28</v>
      </c>
      <c r="I33" s="105" t="str">
        <f t="shared" si="1"/>
        <v/>
      </c>
      <c r="J33" s="105">
        <f t="shared" si="5"/>
        <v>-2</v>
      </c>
      <c r="K33" s="104">
        <f t="shared" si="2"/>
        <v>-20</v>
      </c>
      <c r="L33" s="104"/>
      <c r="M33" s="106">
        <f t="shared" si="3"/>
        <v>0</v>
      </c>
    </row>
    <row r="34" spans="1:21" x14ac:dyDescent="0.25">
      <c r="A34" s="137">
        <f t="shared" si="4"/>
        <v>0</v>
      </c>
      <c r="B34" s="38" t="str">
        <f t="shared" si="0"/>
        <v/>
      </c>
      <c r="C34" s="39"/>
      <c r="D34" s="39"/>
      <c r="E34" s="39"/>
      <c r="F34" s="39"/>
      <c r="G34" s="84"/>
      <c r="H34" s="101">
        <v>29</v>
      </c>
      <c r="I34" s="102" t="str">
        <f t="shared" si="1"/>
        <v/>
      </c>
      <c r="J34" s="102">
        <f t="shared" si="5"/>
        <v>-2</v>
      </c>
      <c r="K34" s="101">
        <f t="shared" si="2"/>
        <v>-20</v>
      </c>
      <c r="L34" s="101"/>
      <c r="M34" s="103">
        <f t="shared" si="3"/>
        <v>0</v>
      </c>
    </row>
    <row r="35" spans="1:21" x14ac:dyDescent="0.25">
      <c r="A35" s="138">
        <f t="shared" si="4"/>
        <v>0</v>
      </c>
      <c r="B35" s="44" t="str">
        <f t="shared" si="0"/>
        <v/>
      </c>
      <c r="C35" s="45"/>
      <c r="D35" s="45"/>
      <c r="E35" s="45"/>
      <c r="F35" s="45"/>
      <c r="G35" s="84"/>
      <c r="H35" s="104">
        <v>30</v>
      </c>
      <c r="I35" s="105" t="str">
        <f t="shared" si="1"/>
        <v/>
      </c>
      <c r="J35" s="105">
        <f t="shared" si="5"/>
        <v>-2</v>
      </c>
      <c r="K35" s="104">
        <f t="shared" si="2"/>
        <v>-20</v>
      </c>
      <c r="L35" s="104"/>
      <c r="M35" s="106">
        <f t="shared" si="3"/>
        <v>0</v>
      </c>
    </row>
    <row r="36" spans="1:21" x14ac:dyDescent="0.25">
      <c r="A36" s="137">
        <f t="shared" si="4"/>
        <v>0</v>
      </c>
      <c r="B36" s="38" t="str">
        <f t="shared" si="0"/>
        <v/>
      </c>
      <c r="C36" s="39"/>
      <c r="D36" s="39"/>
      <c r="E36" s="39"/>
      <c r="F36" s="39"/>
      <c r="G36" s="84"/>
      <c r="H36" s="101">
        <v>31</v>
      </c>
      <c r="I36" s="102" t="str">
        <f t="shared" si="1"/>
        <v/>
      </c>
      <c r="J36" s="102">
        <f t="shared" si="5"/>
        <v>-2</v>
      </c>
      <c r="K36" s="101">
        <f t="shared" si="2"/>
        <v>-20</v>
      </c>
      <c r="L36" s="101"/>
      <c r="M36" s="103">
        <f t="shared" si="3"/>
        <v>0</v>
      </c>
      <c r="R36" s="114"/>
      <c r="S36" s="115"/>
    </row>
    <row r="37" spans="1:21" x14ac:dyDescent="0.25">
      <c r="A37" s="138">
        <f t="shared" si="4"/>
        <v>0</v>
      </c>
      <c r="B37" s="44" t="str">
        <f t="shared" si="0"/>
        <v/>
      </c>
      <c r="C37" s="45"/>
      <c r="D37" s="45"/>
      <c r="E37" s="45"/>
      <c r="F37" s="45"/>
      <c r="G37" s="84"/>
      <c r="H37" s="104">
        <v>32</v>
      </c>
      <c r="I37" s="105" t="str">
        <f t="shared" si="1"/>
        <v/>
      </c>
      <c r="J37" s="105">
        <f t="shared" si="5"/>
        <v>-2</v>
      </c>
      <c r="K37" s="104">
        <f t="shared" si="2"/>
        <v>-20</v>
      </c>
      <c r="L37" s="104"/>
      <c r="M37" s="106">
        <f t="shared" si="3"/>
        <v>0</v>
      </c>
    </row>
    <row r="38" spans="1:21" x14ac:dyDescent="0.25">
      <c r="A38" s="137"/>
      <c r="B38" s="38" t="str">
        <f t="shared" si="0"/>
        <v/>
      </c>
      <c r="C38" s="39"/>
      <c r="D38" s="39"/>
      <c r="E38" s="39"/>
      <c r="F38" s="39"/>
      <c r="G38" s="84"/>
      <c r="H38" s="101">
        <v>33</v>
      </c>
      <c r="I38" s="102" t="str">
        <f t="shared" si="1"/>
        <v/>
      </c>
      <c r="J38" s="102">
        <f t="shared" si="5"/>
        <v>-3</v>
      </c>
      <c r="K38" s="101">
        <f t="shared" si="2"/>
        <v>-30</v>
      </c>
      <c r="L38" s="101"/>
      <c r="M38" s="103">
        <f t="shared" si="3"/>
        <v>0</v>
      </c>
    </row>
    <row r="39" spans="1:21" x14ac:dyDescent="0.25">
      <c r="A39" s="138"/>
      <c r="B39" s="44" t="str">
        <f t="shared" si="0"/>
        <v/>
      </c>
      <c r="C39" s="45"/>
      <c r="D39" s="45"/>
      <c r="E39" s="45"/>
      <c r="F39" s="45"/>
      <c r="G39" s="84"/>
      <c r="H39" s="104">
        <v>34</v>
      </c>
      <c r="I39" s="105" t="str">
        <f t="shared" si="1"/>
        <v/>
      </c>
      <c r="J39" s="105">
        <f t="shared" si="5"/>
        <v>-3</v>
      </c>
      <c r="K39" s="104">
        <f t="shared" si="2"/>
        <v>-30</v>
      </c>
      <c r="L39" s="104"/>
      <c r="M39" s="106">
        <f t="shared" si="3"/>
        <v>0</v>
      </c>
    </row>
    <row r="40" spans="1:21" x14ac:dyDescent="0.25">
      <c r="A40" s="137"/>
      <c r="B40" s="38" t="str">
        <f t="shared" si="0"/>
        <v/>
      </c>
      <c r="C40" s="39"/>
      <c r="D40" s="39"/>
      <c r="E40" s="39"/>
      <c r="F40" s="39"/>
      <c r="G40" s="84"/>
      <c r="H40" s="101">
        <v>35</v>
      </c>
      <c r="I40" s="102" t="str">
        <f t="shared" si="1"/>
        <v/>
      </c>
      <c r="J40" s="102">
        <f t="shared" si="5"/>
        <v>-3</v>
      </c>
      <c r="K40" s="101">
        <f t="shared" si="2"/>
        <v>-30</v>
      </c>
      <c r="L40" s="101"/>
      <c r="M40" s="103">
        <f t="shared" si="3"/>
        <v>0</v>
      </c>
    </row>
    <row r="41" spans="1:21" x14ac:dyDescent="0.25">
      <c r="A41" s="138"/>
      <c r="B41" s="44" t="str">
        <f t="shared" si="0"/>
        <v/>
      </c>
      <c r="C41" s="45"/>
      <c r="D41" s="45"/>
      <c r="E41" s="45"/>
      <c r="F41" s="45"/>
      <c r="G41" s="84"/>
      <c r="H41" s="104">
        <v>36</v>
      </c>
      <c r="I41" s="105" t="str">
        <f t="shared" si="1"/>
        <v/>
      </c>
      <c r="J41" s="105">
        <f t="shared" si="5"/>
        <v>-3</v>
      </c>
      <c r="K41" s="104">
        <f t="shared" si="2"/>
        <v>-30</v>
      </c>
      <c r="L41" s="104"/>
      <c r="M41" s="106">
        <f t="shared" si="3"/>
        <v>0</v>
      </c>
      <c r="S41" s="116"/>
    </row>
    <row r="42" spans="1:21" x14ac:dyDescent="0.25">
      <c r="A42" s="137"/>
      <c r="B42" s="38" t="str">
        <f t="shared" si="0"/>
        <v/>
      </c>
      <c r="C42" s="39"/>
      <c r="D42" s="39"/>
      <c r="E42" s="39"/>
      <c r="F42" s="39"/>
      <c r="G42" s="84"/>
      <c r="H42" s="101">
        <v>37</v>
      </c>
      <c r="I42" s="102" t="str">
        <f t="shared" si="1"/>
        <v/>
      </c>
      <c r="J42" s="102">
        <f t="shared" si="5"/>
        <v>-3</v>
      </c>
      <c r="K42" s="101">
        <f t="shared" si="2"/>
        <v>-30</v>
      </c>
      <c r="L42" s="101"/>
      <c r="M42" s="103">
        <f t="shared" si="3"/>
        <v>0</v>
      </c>
    </row>
    <row r="43" spans="1:21" x14ac:dyDescent="0.25">
      <c r="A43" s="138"/>
      <c r="B43" s="44" t="str">
        <f t="shared" si="0"/>
        <v/>
      </c>
      <c r="C43" s="45"/>
      <c r="D43" s="45"/>
      <c r="E43" s="45"/>
      <c r="F43" s="45"/>
      <c r="G43" s="84"/>
      <c r="H43" s="104">
        <v>38</v>
      </c>
      <c r="I43" s="105" t="str">
        <f t="shared" si="1"/>
        <v/>
      </c>
      <c r="J43" s="105">
        <f t="shared" si="5"/>
        <v>-3</v>
      </c>
      <c r="K43" s="104">
        <f t="shared" si="2"/>
        <v>-30</v>
      </c>
      <c r="L43" s="104"/>
      <c r="M43" s="106">
        <f t="shared" si="3"/>
        <v>0</v>
      </c>
    </row>
    <row r="44" spans="1:21" x14ac:dyDescent="0.25">
      <c r="A44" s="137"/>
      <c r="B44" s="38" t="str">
        <f t="shared" si="0"/>
        <v/>
      </c>
      <c r="C44" s="39"/>
      <c r="D44" s="39"/>
      <c r="E44" s="39"/>
      <c r="F44" s="39"/>
      <c r="G44" s="84"/>
      <c r="H44" s="101">
        <v>39</v>
      </c>
      <c r="I44" s="102" t="str">
        <f t="shared" si="1"/>
        <v/>
      </c>
      <c r="J44" s="102">
        <f t="shared" si="5"/>
        <v>-3</v>
      </c>
      <c r="K44" s="101">
        <f t="shared" si="2"/>
        <v>-30</v>
      </c>
      <c r="L44" s="101"/>
      <c r="M44" s="103">
        <f t="shared" si="3"/>
        <v>0</v>
      </c>
    </row>
    <row r="45" spans="1:21" x14ac:dyDescent="0.25">
      <c r="A45" s="138"/>
      <c r="B45" s="44" t="str">
        <f t="shared" si="0"/>
        <v/>
      </c>
      <c r="C45" s="45"/>
      <c r="D45" s="45"/>
      <c r="E45" s="45"/>
      <c r="F45" s="45"/>
      <c r="G45" s="84"/>
      <c r="H45" s="104">
        <v>40</v>
      </c>
      <c r="I45" s="105" t="str">
        <f t="shared" si="1"/>
        <v/>
      </c>
      <c r="J45" s="105">
        <f t="shared" si="5"/>
        <v>-3</v>
      </c>
      <c r="K45" s="104">
        <f t="shared" si="2"/>
        <v>-30</v>
      </c>
      <c r="L45" s="104"/>
      <c r="M45" s="106">
        <f t="shared" si="3"/>
        <v>0</v>
      </c>
    </row>
    <row r="46" spans="1:21" x14ac:dyDescent="0.25">
      <c r="A46" s="137"/>
      <c r="B46" s="38" t="str">
        <f t="shared" si="0"/>
        <v/>
      </c>
      <c r="C46" s="39"/>
      <c r="D46" s="39"/>
      <c r="E46" s="39"/>
      <c r="F46" s="39"/>
      <c r="G46" s="84"/>
      <c r="H46" s="101">
        <v>41</v>
      </c>
      <c r="I46" s="102" t="str">
        <f t="shared" si="1"/>
        <v/>
      </c>
      <c r="J46" s="102">
        <f t="shared" si="5"/>
        <v>-3</v>
      </c>
      <c r="K46" s="101">
        <f t="shared" si="2"/>
        <v>-30</v>
      </c>
      <c r="L46" s="101"/>
      <c r="M46" s="103">
        <f t="shared" si="3"/>
        <v>0</v>
      </c>
      <c r="R46" s="84">
        <f>LOG($H$2,2)</f>
        <v>2.8073549220576042</v>
      </c>
      <c r="T46" s="91">
        <f>LOG(H38,2)</f>
        <v>5.0443941193584534</v>
      </c>
      <c r="U46" s="91">
        <f>R46-T46</f>
        <v>-2.2370391973008492</v>
      </c>
    </row>
    <row r="47" spans="1:21" x14ac:dyDescent="0.25">
      <c r="A47" s="138"/>
      <c r="B47" s="44" t="str">
        <f t="shared" si="0"/>
        <v/>
      </c>
      <c r="C47" s="45"/>
      <c r="D47" s="45"/>
      <c r="E47" s="45"/>
      <c r="F47" s="45"/>
      <c r="G47" s="84"/>
      <c r="H47" s="104">
        <v>42</v>
      </c>
      <c r="I47" s="105" t="str">
        <f t="shared" si="1"/>
        <v/>
      </c>
      <c r="J47" s="105">
        <f t="shared" si="5"/>
        <v>-3</v>
      </c>
      <c r="K47" s="104">
        <f t="shared" si="2"/>
        <v>-30</v>
      </c>
      <c r="L47" s="104"/>
      <c r="M47" s="106">
        <f t="shared" si="3"/>
        <v>0</v>
      </c>
    </row>
    <row r="48" spans="1:21" x14ac:dyDescent="0.25">
      <c r="A48" s="137"/>
      <c r="B48" s="38" t="str">
        <f t="shared" si="0"/>
        <v/>
      </c>
      <c r="C48" s="39"/>
      <c r="D48" s="39"/>
      <c r="E48" s="39"/>
      <c r="F48" s="39"/>
      <c r="G48" s="84"/>
      <c r="H48" s="101">
        <v>43</v>
      </c>
      <c r="I48" s="102" t="str">
        <f t="shared" si="1"/>
        <v/>
      </c>
      <c r="J48" s="102">
        <f t="shared" si="5"/>
        <v>-3</v>
      </c>
      <c r="K48" s="101">
        <f t="shared" si="2"/>
        <v>-30</v>
      </c>
      <c r="L48" s="101"/>
      <c r="M48" s="103">
        <f t="shared" si="3"/>
        <v>0</v>
      </c>
    </row>
    <row r="49" spans="1:13" x14ac:dyDescent="0.25">
      <c r="A49" s="138"/>
      <c r="B49" s="44" t="str">
        <f t="shared" si="0"/>
        <v/>
      </c>
      <c r="C49" s="45"/>
      <c r="D49" s="45"/>
      <c r="E49" s="45"/>
      <c r="F49" s="45"/>
      <c r="G49" s="84"/>
      <c r="H49" s="104">
        <v>44</v>
      </c>
      <c r="I49" s="105" t="str">
        <f t="shared" si="1"/>
        <v/>
      </c>
      <c r="J49" s="105">
        <f t="shared" si="5"/>
        <v>-3</v>
      </c>
      <c r="K49" s="104">
        <f t="shared" si="2"/>
        <v>-30</v>
      </c>
      <c r="L49" s="104"/>
      <c r="M49" s="106">
        <f t="shared" si="3"/>
        <v>0</v>
      </c>
    </row>
    <row r="50" spans="1:13" x14ac:dyDescent="0.25">
      <c r="A50" s="137"/>
      <c r="B50" s="38" t="str">
        <f t="shared" si="0"/>
        <v/>
      </c>
      <c r="C50" s="39"/>
      <c r="D50" s="39"/>
      <c r="E50" s="39"/>
      <c r="F50" s="39"/>
      <c r="G50" s="84"/>
      <c r="H50" s="101">
        <v>45</v>
      </c>
      <c r="I50" s="102" t="str">
        <f t="shared" si="1"/>
        <v/>
      </c>
      <c r="J50" s="102">
        <f t="shared" si="5"/>
        <v>-3</v>
      </c>
      <c r="K50" s="101">
        <f t="shared" si="2"/>
        <v>-30</v>
      </c>
      <c r="L50" s="101"/>
      <c r="M50" s="103">
        <f t="shared" si="3"/>
        <v>0</v>
      </c>
    </row>
    <row r="51" spans="1:13" x14ac:dyDescent="0.25">
      <c r="A51" s="138"/>
      <c r="B51" s="44" t="str">
        <f t="shared" si="0"/>
        <v/>
      </c>
      <c r="C51" s="45"/>
      <c r="D51" s="45"/>
      <c r="E51" s="45"/>
      <c r="F51" s="45"/>
      <c r="G51" s="84"/>
      <c r="H51" s="104">
        <v>46</v>
      </c>
      <c r="I51" s="105" t="str">
        <f t="shared" si="1"/>
        <v/>
      </c>
      <c r="J51" s="105">
        <f t="shared" si="5"/>
        <v>-3</v>
      </c>
      <c r="K51" s="104">
        <f t="shared" si="2"/>
        <v>-30</v>
      </c>
      <c r="L51" s="104"/>
      <c r="M51" s="106">
        <f t="shared" si="3"/>
        <v>0</v>
      </c>
    </row>
    <row r="52" spans="1:13" x14ac:dyDescent="0.25">
      <c r="A52" s="137"/>
      <c r="B52" s="38" t="str">
        <f t="shared" si="0"/>
        <v/>
      </c>
      <c r="C52" s="39"/>
      <c r="D52" s="39"/>
      <c r="E52" s="39"/>
      <c r="F52" s="39"/>
      <c r="G52" s="84"/>
      <c r="H52" s="101">
        <v>47</v>
      </c>
      <c r="I52" s="102" t="str">
        <f t="shared" si="1"/>
        <v/>
      </c>
      <c r="J52" s="102">
        <f t="shared" si="5"/>
        <v>-3</v>
      </c>
      <c r="K52" s="101">
        <f t="shared" si="2"/>
        <v>-30</v>
      </c>
      <c r="L52" s="101"/>
      <c r="M52" s="103">
        <f t="shared" si="3"/>
        <v>0</v>
      </c>
    </row>
    <row r="53" spans="1:13" x14ac:dyDescent="0.25">
      <c r="A53" s="138"/>
      <c r="B53" s="44" t="str">
        <f t="shared" si="0"/>
        <v/>
      </c>
      <c r="C53" s="45"/>
      <c r="D53" s="45"/>
      <c r="E53" s="45"/>
      <c r="F53" s="45"/>
      <c r="G53" s="84"/>
      <c r="H53" s="104">
        <v>48</v>
      </c>
      <c r="I53" s="105" t="str">
        <f t="shared" si="1"/>
        <v/>
      </c>
      <c r="J53" s="105">
        <f t="shared" si="5"/>
        <v>-3</v>
      </c>
      <c r="K53" s="104">
        <f t="shared" si="2"/>
        <v>-30</v>
      </c>
      <c r="L53" s="104"/>
      <c r="M53" s="106">
        <f t="shared" si="3"/>
        <v>0</v>
      </c>
    </row>
    <row r="54" spans="1:13" x14ac:dyDescent="0.25">
      <c r="A54" s="137"/>
      <c r="B54" s="38" t="str">
        <f t="shared" si="0"/>
        <v/>
      </c>
      <c r="C54" s="39"/>
      <c r="D54" s="39"/>
      <c r="E54" s="39"/>
      <c r="F54" s="39"/>
      <c r="G54" s="84"/>
      <c r="H54" s="101">
        <v>49</v>
      </c>
      <c r="I54" s="102" t="str">
        <f t="shared" si="1"/>
        <v/>
      </c>
      <c r="J54" s="102">
        <f t="shared" si="5"/>
        <v>-3</v>
      </c>
      <c r="K54" s="101">
        <f t="shared" si="2"/>
        <v>-30</v>
      </c>
      <c r="L54" s="101"/>
      <c r="M54" s="103">
        <f t="shared" si="3"/>
        <v>0</v>
      </c>
    </row>
    <row r="55" spans="1:13" x14ac:dyDescent="0.25">
      <c r="A55" s="138"/>
      <c r="B55" s="44" t="str">
        <f t="shared" si="0"/>
        <v/>
      </c>
      <c r="C55" s="45"/>
      <c r="D55" s="45"/>
      <c r="E55" s="45"/>
      <c r="F55" s="45"/>
      <c r="G55" s="84"/>
      <c r="H55" s="104">
        <v>50</v>
      </c>
      <c r="I55" s="105" t="str">
        <f t="shared" si="1"/>
        <v/>
      </c>
      <c r="J55" s="105">
        <f t="shared" si="5"/>
        <v>-3</v>
      </c>
      <c r="K55" s="104">
        <f t="shared" si="2"/>
        <v>-30</v>
      </c>
      <c r="L55" s="104"/>
      <c r="M55" s="106">
        <f t="shared" si="3"/>
        <v>0</v>
      </c>
    </row>
    <row r="56" spans="1:13" x14ac:dyDescent="0.25">
      <c r="A56" s="137"/>
      <c r="B56" s="38" t="str">
        <f t="shared" si="0"/>
        <v/>
      </c>
      <c r="C56" s="39"/>
      <c r="D56" s="39"/>
      <c r="E56" s="39"/>
      <c r="F56" s="39"/>
      <c r="G56" s="84"/>
      <c r="H56" s="101">
        <v>51</v>
      </c>
      <c r="I56" s="102" t="str">
        <f t="shared" si="1"/>
        <v/>
      </c>
      <c r="J56" s="102">
        <f t="shared" si="5"/>
        <v>-3</v>
      </c>
      <c r="K56" s="101">
        <f t="shared" si="2"/>
        <v>-30</v>
      </c>
      <c r="L56" s="101"/>
      <c r="M56" s="103">
        <f t="shared" si="3"/>
        <v>0</v>
      </c>
    </row>
    <row r="57" spans="1:13" x14ac:dyDescent="0.25">
      <c r="A57" s="138"/>
      <c r="B57" s="44" t="str">
        <f t="shared" si="0"/>
        <v/>
      </c>
      <c r="C57" s="45"/>
      <c r="D57" s="45"/>
      <c r="E57" s="45"/>
      <c r="F57" s="45"/>
      <c r="G57" s="84"/>
      <c r="H57" s="104">
        <v>52</v>
      </c>
      <c r="I57" s="105" t="str">
        <f t="shared" si="1"/>
        <v/>
      </c>
      <c r="J57" s="105">
        <f t="shared" si="5"/>
        <v>-3</v>
      </c>
      <c r="K57" s="104">
        <f t="shared" si="2"/>
        <v>-30</v>
      </c>
      <c r="L57" s="104"/>
      <c r="M57" s="106">
        <f t="shared" si="3"/>
        <v>0</v>
      </c>
    </row>
    <row r="58" spans="1:13" x14ac:dyDescent="0.25">
      <c r="A58" s="137"/>
      <c r="B58" s="38" t="str">
        <f t="shared" si="0"/>
        <v/>
      </c>
      <c r="C58" s="39"/>
      <c r="D58" s="39"/>
      <c r="E58" s="39"/>
      <c r="F58" s="39"/>
      <c r="G58" s="84"/>
      <c r="H58" s="101">
        <v>53</v>
      </c>
      <c r="I58" s="102" t="str">
        <f t="shared" si="1"/>
        <v/>
      </c>
      <c r="J58" s="102">
        <f t="shared" si="5"/>
        <v>-3</v>
      </c>
      <c r="K58" s="101">
        <f t="shared" si="2"/>
        <v>-30</v>
      </c>
      <c r="L58" s="101"/>
      <c r="M58" s="103">
        <f t="shared" si="3"/>
        <v>0</v>
      </c>
    </row>
    <row r="59" spans="1:13" x14ac:dyDescent="0.25">
      <c r="A59" s="138"/>
      <c r="B59" s="44" t="str">
        <f t="shared" si="0"/>
        <v/>
      </c>
      <c r="C59" s="45"/>
      <c r="D59" s="45"/>
      <c r="E59" s="45"/>
      <c r="F59" s="45"/>
      <c r="G59" s="84"/>
      <c r="H59" s="104">
        <v>54</v>
      </c>
      <c r="I59" s="105" t="str">
        <f t="shared" si="1"/>
        <v/>
      </c>
      <c r="J59" s="105">
        <f t="shared" si="5"/>
        <v>-3</v>
      </c>
      <c r="K59" s="104">
        <f t="shared" si="2"/>
        <v>-30</v>
      </c>
      <c r="L59" s="104"/>
      <c r="M59" s="106">
        <f t="shared" si="3"/>
        <v>0</v>
      </c>
    </row>
    <row r="60" spans="1:13" x14ac:dyDescent="0.25">
      <c r="A60" s="137"/>
      <c r="B60" s="38" t="str">
        <f t="shared" si="0"/>
        <v/>
      </c>
      <c r="C60" s="39"/>
      <c r="D60" s="39"/>
      <c r="E60" s="39"/>
      <c r="F60" s="39"/>
      <c r="G60" s="84"/>
      <c r="H60" s="101">
        <v>55</v>
      </c>
      <c r="I60" s="102" t="str">
        <f t="shared" si="1"/>
        <v/>
      </c>
      <c r="J60" s="102">
        <f t="shared" si="5"/>
        <v>-3</v>
      </c>
      <c r="K60" s="101">
        <f t="shared" si="2"/>
        <v>-30</v>
      </c>
      <c r="L60" s="101"/>
      <c r="M60" s="103">
        <f t="shared" si="3"/>
        <v>0</v>
      </c>
    </row>
    <row r="61" spans="1:13" x14ac:dyDescent="0.25">
      <c r="A61" s="138"/>
      <c r="B61" s="44" t="str">
        <f t="shared" si="0"/>
        <v/>
      </c>
      <c r="C61" s="45"/>
      <c r="D61" s="45"/>
      <c r="E61" s="45"/>
      <c r="F61" s="45"/>
      <c r="G61" s="84"/>
      <c r="H61" s="104">
        <v>56</v>
      </c>
      <c r="I61" s="105" t="str">
        <f t="shared" si="1"/>
        <v/>
      </c>
      <c r="J61" s="105">
        <f t="shared" si="5"/>
        <v>-3</v>
      </c>
      <c r="K61" s="104">
        <f t="shared" si="2"/>
        <v>-30</v>
      </c>
      <c r="L61" s="104"/>
      <c r="M61" s="106">
        <f t="shared" si="3"/>
        <v>0</v>
      </c>
    </row>
    <row r="62" spans="1:13" x14ac:dyDescent="0.25">
      <c r="A62" s="137"/>
      <c r="B62" s="38" t="str">
        <f t="shared" si="0"/>
        <v/>
      </c>
      <c r="C62" s="39"/>
      <c r="D62" s="39"/>
      <c r="E62" s="39"/>
      <c r="F62" s="39"/>
      <c r="G62" s="84"/>
      <c r="H62" s="101">
        <v>57</v>
      </c>
      <c r="I62" s="102" t="str">
        <f t="shared" si="1"/>
        <v/>
      </c>
      <c r="J62" s="102">
        <f t="shared" si="5"/>
        <v>-3</v>
      </c>
      <c r="K62" s="101">
        <f t="shared" si="2"/>
        <v>-30</v>
      </c>
      <c r="L62" s="101"/>
      <c r="M62" s="103">
        <f t="shared" si="3"/>
        <v>0</v>
      </c>
    </row>
    <row r="63" spans="1:13" x14ac:dyDescent="0.25">
      <c r="A63" s="138"/>
      <c r="B63" s="44" t="str">
        <f t="shared" si="0"/>
        <v/>
      </c>
      <c r="C63" s="45"/>
      <c r="D63" s="45"/>
      <c r="E63" s="45"/>
      <c r="F63" s="45"/>
      <c r="G63" s="84"/>
      <c r="H63" s="104">
        <v>58</v>
      </c>
      <c r="I63" s="105" t="str">
        <f t="shared" si="1"/>
        <v/>
      </c>
      <c r="J63" s="105">
        <f t="shared" si="5"/>
        <v>-3</v>
      </c>
      <c r="K63" s="104">
        <f t="shared" si="2"/>
        <v>-30</v>
      </c>
      <c r="L63" s="104"/>
      <c r="M63" s="106">
        <f t="shared" si="3"/>
        <v>0</v>
      </c>
    </row>
    <row r="64" spans="1:13" x14ac:dyDescent="0.25">
      <c r="A64" s="137"/>
      <c r="B64" s="38" t="str">
        <f t="shared" si="0"/>
        <v/>
      </c>
      <c r="C64" s="39"/>
      <c r="D64" s="39"/>
      <c r="E64" s="39"/>
      <c r="F64" s="39"/>
      <c r="G64" s="84"/>
      <c r="H64" s="101">
        <v>59</v>
      </c>
      <c r="I64" s="102" t="str">
        <f t="shared" si="1"/>
        <v/>
      </c>
      <c r="J64" s="102">
        <f t="shared" si="5"/>
        <v>-3</v>
      </c>
      <c r="K64" s="101">
        <f t="shared" si="2"/>
        <v>-30</v>
      </c>
      <c r="L64" s="101"/>
      <c r="M64" s="103">
        <f t="shared" si="3"/>
        <v>0</v>
      </c>
    </row>
    <row r="65" spans="1:13" x14ac:dyDescent="0.25">
      <c r="A65" s="138"/>
      <c r="B65" s="44" t="str">
        <f t="shared" si="0"/>
        <v/>
      </c>
      <c r="C65" s="45"/>
      <c r="D65" s="45"/>
      <c r="E65" s="45"/>
      <c r="F65" s="45"/>
      <c r="G65" s="84"/>
      <c r="H65" s="104">
        <v>60</v>
      </c>
      <c r="I65" s="105" t="str">
        <f t="shared" si="1"/>
        <v/>
      </c>
      <c r="J65" s="105">
        <f t="shared" si="5"/>
        <v>-3</v>
      </c>
      <c r="K65" s="104">
        <f t="shared" si="2"/>
        <v>-30</v>
      </c>
      <c r="L65" s="104"/>
      <c r="M65" s="106">
        <f t="shared" si="3"/>
        <v>0</v>
      </c>
    </row>
    <row r="66" spans="1:13" x14ac:dyDescent="0.25">
      <c r="A66" s="117"/>
      <c r="B66" s="38"/>
      <c r="G66" s="84"/>
      <c r="H66" s="101">
        <v>61</v>
      </c>
      <c r="I66" s="102" t="str">
        <f t="shared" si="1"/>
        <v/>
      </c>
      <c r="J66" s="102">
        <f t="shared" si="5"/>
        <v>-3</v>
      </c>
      <c r="K66" s="101">
        <f t="shared" si="2"/>
        <v>-30</v>
      </c>
      <c r="L66" s="101"/>
      <c r="M66" s="103">
        <f t="shared" si="3"/>
        <v>0</v>
      </c>
    </row>
    <row r="67" spans="1:13" x14ac:dyDescent="0.25">
      <c r="A67" s="117"/>
      <c r="B67" s="44"/>
      <c r="G67" s="84"/>
      <c r="H67" s="101">
        <v>62</v>
      </c>
      <c r="I67" s="102" t="str">
        <f t="shared" si="1"/>
        <v/>
      </c>
      <c r="J67" s="102">
        <f t="shared" si="5"/>
        <v>-3</v>
      </c>
      <c r="K67" s="101">
        <f t="shared" si="2"/>
        <v>-30</v>
      </c>
      <c r="L67" s="101"/>
      <c r="M67" s="103">
        <f t="shared" si="3"/>
        <v>0</v>
      </c>
    </row>
    <row r="68" spans="1:13" x14ac:dyDescent="0.25">
      <c r="A68" s="117"/>
      <c r="B68" s="38"/>
      <c r="G68" s="84"/>
      <c r="H68" s="101">
        <v>63</v>
      </c>
      <c r="I68" s="102" t="str">
        <f t="shared" si="1"/>
        <v/>
      </c>
      <c r="J68" s="102">
        <f t="shared" si="5"/>
        <v>-3</v>
      </c>
      <c r="K68" s="101">
        <f t="shared" si="2"/>
        <v>-30</v>
      </c>
      <c r="L68" s="101"/>
      <c r="M68" s="103">
        <f t="shared" si="3"/>
        <v>0</v>
      </c>
    </row>
    <row r="69" spans="1:13" x14ac:dyDescent="0.25">
      <c r="A69" s="117"/>
      <c r="B69" s="44"/>
      <c r="G69" s="84"/>
      <c r="H69" s="101">
        <v>64</v>
      </c>
      <c r="I69" s="102" t="str">
        <f t="shared" si="1"/>
        <v/>
      </c>
      <c r="J69" s="102">
        <f t="shared" si="5"/>
        <v>-3</v>
      </c>
      <c r="K69" s="101">
        <f t="shared" si="2"/>
        <v>-30</v>
      </c>
      <c r="L69" s="101"/>
      <c r="M69" s="103">
        <f t="shared" si="3"/>
        <v>0</v>
      </c>
    </row>
    <row r="70" spans="1:13" x14ac:dyDescent="0.25">
      <c r="A70" s="117"/>
      <c r="G70" s="84"/>
      <c r="H70" s="101">
        <v>65</v>
      </c>
      <c r="I70" s="102" t="str">
        <f t="shared" ref="I70:I133" si="6">IF(H70&lt;$H$2+1,($I$2-($I$2-1)*(LOG(H70)/LOG($H$2))),"")</f>
        <v/>
      </c>
      <c r="J70" s="102">
        <f t="shared" si="5"/>
        <v>-4</v>
      </c>
      <c r="K70" s="101">
        <f t="shared" ref="K70:K133" si="7">J70*$J$2</f>
        <v>-40</v>
      </c>
      <c r="L70" s="101"/>
      <c r="M70" s="103">
        <f t="shared" ref="M70:M133" si="8">IF(I70&lt;&gt;"",K70+I70+L70,0)</f>
        <v>0</v>
      </c>
    </row>
    <row r="71" spans="1:13" x14ac:dyDescent="0.25">
      <c r="A71" s="117"/>
      <c r="G71" s="84"/>
      <c r="H71" s="101">
        <v>66</v>
      </c>
      <c r="I71" s="102" t="str">
        <f t="shared" si="6"/>
        <v/>
      </c>
      <c r="J71" s="102">
        <f t="shared" ref="J71:J134" si="9">INT(LOG($H$2,2))-ROUNDUP(LOG(H71,2),0)+IF(OR($H$2=1,$H$2=2,$H$2=4,$H$2=8,$H$2=16,$H$2=32,$H$2=64,$H$2=128,$H$2=256),0,1)</f>
        <v>-4</v>
      </c>
      <c r="K71" s="101">
        <f t="shared" si="7"/>
        <v>-40</v>
      </c>
      <c r="L71" s="101"/>
      <c r="M71" s="103">
        <f t="shared" si="8"/>
        <v>0</v>
      </c>
    </row>
    <row r="72" spans="1:13" x14ac:dyDescent="0.25">
      <c r="A72" s="117"/>
      <c r="G72" s="84"/>
      <c r="H72" s="101">
        <v>67</v>
      </c>
      <c r="I72" s="102" t="str">
        <f t="shared" si="6"/>
        <v/>
      </c>
      <c r="J72" s="102">
        <f t="shared" si="9"/>
        <v>-4</v>
      </c>
      <c r="K72" s="101">
        <f t="shared" si="7"/>
        <v>-40</v>
      </c>
      <c r="L72" s="101"/>
      <c r="M72" s="103">
        <f t="shared" si="8"/>
        <v>0</v>
      </c>
    </row>
    <row r="73" spans="1:13" x14ac:dyDescent="0.25">
      <c r="A73" s="117"/>
      <c r="G73" s="84"/>
      <c r="H73" s="101">
        <v>68</v>
      </c>
      <c r="I73" s="102" t="str">
        <f t="shared" si="6"/>
        <v/>
      </c>
      <c r="J73" s="102">
        <f t="shared" si="9"/>
        <v>-4</v>
      </c>
      <c r="K73" s="101">
        <f t="shared" si="7"/>
        <v>-40</v>
      </c>
      <c r="L73" s="101"/>
      <c r="M73" s="103">
        <f t="shared" si="8"/>
        <v>0</v>
      </c>
    </row>
    <row r="74" spans="1:13" x14ac:dyDescent="0.25">
      <c r="A74" s="117"/>
      <c r="G74" s="84"/>
      <c r="H74" s="101">
        <v>69</v>
      </c>
      <c r="I74" s="102" t="str">
        <f t="shared" si="6"/>
        <v/>
      </c>
      <c r="J74" s="102">
        <f t="shared" si="9"/>
        <v>-4</v>
      </c>
      <c r="K74" s="101">
        <f t="shared" si="7"/>
        <v>-40</v>
      </c>
      <c r="L74" s="101"/>
      <c r="M74" s="103">
        <f t="shared" si="8"/>
        <v>0</v>
      </c>
    </row>
    <row r="75" spans="1:13" x14ac:dyDescent="0.25">
      <c r="A75" s="117"/>
      <c r="G75" s="84"/>
      <c r="H75" s="101">
        <v>70</v>
      </c>
      <c r="I75" s="102" t="str">
        <f t="shared" si="6"/>
        <v/>
      </c>
      <c r="J75" s="102">
        <f t="shared" si="9"/>
        <v>-4</v>
      </c>
      <c r="K75" s="101">
        <f t="shared" si="7"/>
        <v>-40</v>
      </c>
      <c r="L75" s="101"/>
      <c r="M75" s="103">
        <f t="shared" si="8"/>
        <v>0</v>
      </c>
    </row>
    <row r="76" spans="1:13" x14ac:dyDescent="0.25">
      <c r="A76" s="117"/>
      <c r="G76" s="84"/>
      <c r="H76" s="101">
        <v>71</v>
      </c>
      <c r="I76" s="102" t="str">
        <f t="shared" si="6"/>
        <v/>
      </c>
      <c r="J76" s="102">
        <f t="shared" si="9"/>
        <v>-4</v>
      </c>
      <c r="K76" s="101">
        <f t="shared" si="7"/>
        <v>-40</v>
      </c>
      <c r="L76" s="101"/>
      <c r="M76" s="103">
        <f t="shared" si="8"/>
        <v>0</v>
      </c>
    </row>
    <row r="77" spans="1:13" x14ac:dyDescent="0.25">
      <c r="A77" s="117"/>
      <c r="G77" s="84"/>
      <c r="H77" s="101">
        <v>72</v>
      </c>
      <c r="I77" s="102" t="str">
        <f t="shared" si="6"/>
        <v/>
      </c>
      <c r="J77" s="102">
        <f t="shared" si="9"/>
        <v>-4</v>
      </c>
      <c r="K77" s="101">
        <f t="shared" si="7"/>
        <v>-40</v>
      </c>
      <c r="L77" s="101"/>
      <c r="M77" s="103">
        <f t="shared" si="8"/>
        <v>0</v>
      </c>
    </row>
    <row r="78" spans="1:13" x14ac:dyDescent="0.25">
      <c r="A78" s="117"/>
      <c r="G78" s="84"/>
      <c r="H78" s="101">
        <v>73</v>
      </c>
      <c r="I78" s="102" t="str">
        <f t="shared" si="6"/>
        <v/>
      </c>
      <c r="J78" s="102">
        <f t="shared" si="9"/>
        <v>-4</v>
      </c>
      <c r="K78" s="101">
        <f t="shared" si="7"/>
        <v>-40</v>
      </c>
      <c r="L78" s="101"/>
      <c r="M78" s="103">
        <f t="shared" si="8"/>
        <v>0</v>
      </c>
    </row>
    <row r="79" spans="1:13" x14ac:dyDescent="0.25">
      <c r="A79" s="117"/>
      <c r="G79" s="84"/>
      <c r="H79" s="101">
        <v>74</v>
      </c>
      <c r="I79" s="102" t="str">
        <f t="shared" si="6"/>
        <v/>
      </c>
      <c r="J79" s="102">
        <f t="shared" si="9"/>
        <v>-4</v>
      </c>
      <c r="K79" s="101">
        <f t="shared" si="7"/>
        <v>-40</v>
      </c>
      <c r="L79" s="101"/>
      <c r="M79" s="103">
        <f t="shared" si="8"/>
        <v>0</v>
      </c>
    </row>
    <row r="80" spans="1:13" x14ac:dyDescent="0.25">
      <c r="A80" s="117"/>
      <c r="G80" s="84"/>
      <c r="H80" s="101">
        <v>75</v>
      </c>
      <c r="I80" s="102" t="str">
        <f t="shared" si="6"/>
        <v/>
      </c>
      <c r="J80" s="102">
        <f t="shared" si="9"/>
        <v>-4</v>
      </c>
      <c r="K80" s="101">
        <f t="shared" si="7"/>
        <v>-40</v>
      </c>
      <c r="L80" s="101"/>
      <c r="M80" s="103">
        <f t="shared" si="8"/>
        <v>0</v>
      </c>
    </row>
    <row r="81" spans="1:13" x14ac:dyDescent="0.25">
      <c r="A81" s="117"/>
      <c r="G81" s="84"/>
      <c r="H81" s="101">
        <v>76</v>
      </c>
      <c r="I81" s="102" t="str">
        <f t="shared" si="6"/>
        <v/>
      </c>
      <c r="J81" s="102">
        <f t="shared" si="9"/>
        <v>-4</v>
      </c>
      <c r="K81" s="101">
        <f t="shared" si="7"/>
        <v>-40</v>
      </c>
      <c r="L81" s="101"/>
      <c r="M81" s="103">
        <f t="shared" si="8"/>
        <v>0</v>
      </c>
    </row>
    <row r="82" spans="1:13" x14ac:dyDescent="0.25">
      <c r="A82" s="117"/>
      <c r="G82" s="84"/>
      <c r="H82" s="101">
        <v>77</v>
      </c>
      <c r="I82" s="102" t="str">
        <f t="shared" si="6"/>
        <v/>
      </c>
      <c r="J82" s="102">
        <f t="shared" si="9"/>
        <v>-4</v>
      </c>
      <c r="K82" s="101">
        <f t="shared" si="7"/>
        <v>-40</v>
      </c>
      <c r="L82" s="101"/>
      <c r="M82" s="103">
        <f t="shared" si="8"/>
        <v>0</v>
      </c>
    </row>
    <row r="83" spans="1:13" x14ac:dyDescent="0.25">
      <c r="A83" s="117"/>
      <c r="G83" s="84"/>
      <c r="H83" s="101">
        <v>78</v>
      </c>
      <c r="I83" s="102" t="str">
        <f t="shared" si="6"/>
        <v/>
      </c>
      <c r="J83" s="102">
        <f t="shared" si="9"/>
        <v>-4</v>
      </c>
      <c r="K83" s="101">
        <f t="shared" si="7"/>
        <v>-40</v>
      </c>
      <c r="L83" s="101"/>
      <c r="M83" s="103">
        <f t="shared" si="8"/>
        <v>0</v>
      </c>
    </row>
    <row r="84" spans="1:13" x14ac:dyDescent="0.25">
      <c r="A84" s="117"/>
      <c r="G84" s="84"/>
      <c r="H84" s="101">
        <v>79</v>
      </c>
      <c r="I84" s="102" t="str">
        <f t="shared" si="6"/>
        <v/>
      </c>
      <c r="J84" s="102">
        <f t="shared" si="9"/>
        <v>-4</v>
      </c>
      <c r="K84" s="101">
        <f t="shared" si="7"/>
        <v>-40</v>
      </c>
      <c r="L84" s="101"/>
      <c r="M84" s="103">
        <f t="shared" si="8"/>
        <v>0</v>
      </c>
    </row>
    <row r="85" spans="1:13" x14ac:dyDescent="0.25">
      <c r="A85" s="117"/>
      <c r="G85" s="84"/>
      <c r="H85" s="101">
        <v>80</v>
      </c>
      <c r="I85" s="102" t="str">
        <f t="shared" si="6"/>
        <v/>
      </c>
      <c r="J85" s="102">
        <f t="shared" si="9"/>
        <v>-4</v>
      </c>
      <c r="K85" s="101">
        <f t="shared" si="7"/>
        <v>-40</v>
      </c>
      <c r="L85" s="101"/>
      <c r="M85" s="103">
        <f t="shared" si="8"/>
        <v>0</v>
      </c>
    </row>
    <row r="86" spans="1:13" x14ac:dyDescent="0.25">
      <c r="A86" s="117"/>
      <c r="G86" s="84"/>
      <c r="H86" s="101">
        <v>81</v>
      </c>
      <c r="I86" s="102" t="str">
        <f t="shared" si="6"/>
        <v/>
      </c>
      <c r="J86" s="102">
        <f t="shared" si="9"/>
        <v>-4</v>
      </c>
      <c r="K86" s="101">
        <f t="shared" si="7"/>
        <v>-40</v>
      </c>
      <c r="L86" s="101"/>
      <c r="M86" s="103">
        <f t="shared" si="8"/>
        <v>0</v>
      </c>
    </row>
    <row r="87" spans="1:13" x14ac:dyDescent="0.25">
      <c r="A87" s="117"/>
      <c r="G87" s="84"/>
      <c r="H87" s="101">
        <v>82</v>
      </c>
      <c r="I87" s="102" t="str">
        <f t="shared" si="6"/>
        <v/>
      </c>
      <c r="J87" s="102">
        <f t="shared" si="9"/>
        <v>-4</v>
      </c>
      <c r="K87" s="101">
        <f t="shared" si="7"/>
        <v>-40</v>
      </c>
      <c r="L87" s="101"/>
      <c r="M87" s="103">
        <f t="shared" si="8"/>
        <v>0</v>
      </c>
    </row>
    <row r="88" spans="1:13" x14ac:dyDescent="0.25">
      <c r="A88" s="117"/>
      <c r="G88" s="84"/>
      <c r="H88" s="101">
        <v>83</v>
      </c>
      <c r="I88" s="102" t="str">
        <f t="shared" si="6"/>
        <v/>
      </c>
      <c r="J88" s="102">
        <f t="shared" si="9"/>
        <v>-4</v>
      </c>
      <c r="K88" s="101">
        <f t="shared" si="7"/>
        <v>-40</v>
      </c>
      <c r="L88" s="101"/>
      <c r="M88" s="103">
        <f t="shared" si="8"/>
        <v>0</v>
      </c>
    </row>
    <row r="89" spans="1:13" x14ac:dyDescent="0.25">
      <c r="A89" s="117"/>
      <c r="G89" s="84"/>
      <c r="H89" s="101">
        <v>84</v>
      </c>
      <c r="I89" s="102" t="str">
        <f t="shared" si="6"/>
        <v/>
      </c>
      <c r="J89" s="102">
        <f t="shared" si="9"/>
        <v>-4</v>
      </c>
      <c r="K89" s="101">
        <f t="shared" si="7"/>
        <v>-40</v>
      </c>
      <c r="L89" s="101"/>
      <c r="M89" s="103">
        <f t="shared" si="8"/>
        <v>0</v>
      </c>
    </row>
    <row r="90" spans="1:13" x14ac:dyDescent="0.25">
      <c r="A90" s="117"/>
      <c r="G90" s="84"/>
      <c r="H90" s="101">
        <v>85</v>
      </c>
      <c r="I90" s="102" t="str">
        <f t="shared" si="6"/>
        <v/>
      </c>
      <c r="J90" s="102">
        <f t="shared" si="9"/>
        <v>-4</v>
      </c>
      <c r="K90" s="101">
        <f t="shared" si="7"/>
        <v>-40</v>
      </c>
      <c r="L90" s="101"/>
      <c r="M90" s="103">
        <f t="shared" si="8"/>
        <v>0</v>
      </c>
    </row>
    <row r="91" spans="1:13" x14ac:dyDescent="0.25">
      <c r="A91" s="117"/>
      <c r="G91" s="84"/>
      <c r="H91" s="101">
        <v>86</v>
      </c>
      <c r="I91" s="102" t="str">
        <f t="shared" si="6"/>
        <v/>
      </c>
      <c r="J91" s="102">
        <f t="shared" si="9"/>
        <v>-4</v>
      </c>
      <c r="K91" s="101">
        <f t="shared" si="7"/>
        <v>-40</v>
      </c>
      <c r="L91" s="101"/>
      <c r="M91" s="103">
        <f t="shared" si="8"/>
        <v>0</v>
      </c>
    </row>
    <row r="92" spans="1:13" x14ac:dyDescent="0.25">
      <c r="A92" s="117"/>
      <c r="G92" s="84"/>
      <c r="H92" s="101">
        <v>87</v>
      </c>
      <c r="I92" s="102" t="str">
        <f t="shared" si="6"/>
        <v/>
      </c>
      <c r="J92" s="102">
        <f t="shared" si="9"/>
        <v>-4</v>
      </c>
      <c r="K92" s="101">
        <f t="shared" si="7"/>
        <v>-40</v>
      </c>
      <c r="L92" s="101"/>
      <c r="M92" s="103">
        <f t="shared" si="8"/>
        <v>0</v>
      </c>
    </row>
    <row r="93" spans="1:13" x14ac:dyDescent="0.25">
      <c r="A93" s="117"/>
      <c r="G93" s="84"/>
      <c r="H93" s="101">
        <v>88</v>
      </c>
      <c r="I93" s="102" t="str">
        <f t="shared" si="6"/>
        <v/>
      </c>
      <c r="J93" s="102">
        <f t="shared" si="9"/>
        <v>-4</v>
      </c>
      <c r="K93" s="101">
        <f t="shared" si="7"/>
        <v>-40</v>
      </c>
      <c r="L93" s="101"/>
      <c r="M93" s="103">
        <f t="shared" si="8"/>
        <v>0</v>
      </c>
    </row>
    <row r="94" spans="1:13" x14ac:dyDescent="0.25">
      <c r="A94" s="117"/>
      <c r="G94" s="84"/>
      <c r="H94" s="101">
        <v>89</v>
      </c>
      <c r="I94" s="102" t="str">
        <f t="shared" si="6"/>
        <v/>
      </c>
      <c r="J94" s="102">
        <f t="shared" si="9"/>
        <v>-4</v>
      </c>
      <c r="K94" s="101">
        <f t="shared" si="7"/>
        <v>-40</v>
      </c>
      <c r="L94" s="101"/>
      <c r="M94" s="103">
        <f t="shared" si="8"/>
        <v>0</v>
      </c>
    </row>
    <row r="95" spans="1:13" x14ac:dyDescent="0.25">
      <c r="A95" s="117"/>
      <c r="G95" s="84"/>
      <c r="H95" s="101">
        <v>90</v>
      </c>
      <c r="I95" s="102" t="str">
        <f t="shared" si="6"/>
        <v/>
      </c>
      <c r="J95" s="102">
        <f t="shared" si="9"/>
        <v>-4</v>
      </c>
      <c r="K95" s="101">
        <f t="shared" si="7"/>
        <v>-40</v>
      </c>
      <c r="L95" s="101"/>
      <c r="M95" s="103">
        <f t="shared" si="8"/>
        <v>0</v>
      </c>
    </row>
    <row r="96" spans="1:13" x14ac:dyDescent="0.25">
      <c r="A96" s="117"/>
      <c r="G96" s="84"/>
      <c r="H96" s="101">
        <v>91</v>
      </c>
      <c r="I96" s="102" t="str">
        <f t="shared" si="6"/>
        <v/>
      </c>
      <c r="J96" s="102">
        <f t="shared" si="9"/>
        <v>-4</v>
      </c>
      <c r="K96" s="101">
        <f t="shared" si="7"/>
        <v>-40</v>
      </c>
      <c r="L96" s="101"/>
      <c r="M96" s="103">
        <f t="shared" si="8"/>
        <v>0</v>
      </c>
    </row>
    <row r="97" spans="1:13" x14ac:dyDescent="0.25">
      <c r="A97" s="117"/>
      <c r="G97" s="84"/>
      <c r="H97" s="101">
        <v>92</v>
      </c>
      <c r="I97" s="102" t="str">
        <f t="shared" si="6"/>
        <v/>
      </c>
      <c r="J97" s="102">
        <f t="shared" si="9"/>
        <v>-4</v>
      </c>
      <c r="K97" s="101">
        <f t="shared" si="7"/>
        <v>-40</v>
      </c>
      <c r="L97" s="101"/>
      <c r="M97" s="103">
        <f t="shared" si="8"/>
        <v>0</v>
      </c>
    </row>
    <row r="98" spans="1:13" x14ac:dyDescent="0.25">
      <c r="A98" s="117"/>
      <c r="G98" s="84"/>
      <c r="H98" s="101">
        <v>93</v>
      </c>
      <c r="I98" s="102" t="str">
        <f t="shared" si="6"/>
        <v/>
      </c>
      <c r="J98" s="102">
        <f t="shared" si="9"/>
        <v>-4</v>
      </c>
      <c r="K98" s="101">
        <f t="shared" si="7"/>
        <v>-40</v>
      </c>
      <c r="L98" s="101"/>
      <c r="M98" s="103">
        <f t="shared" si="8"/>
        <v>0</v>
      </c>
    </row>
    <row r="99" spans="1:13" x14ac:dyDescent="0.25">
      <c r="A99" s="117"/>
      <c r="G99" s="84"/>
      <c r="H99" s="101">
        <v>94</v>
      </c>
      <c r="I99" s="102" t="str">
        <f t="shared" si="6"/>
        <v/>
      </c>
      <c r="J99" s="102">
        <f t="shared" si="9"/>
        <v>-4</v>
      </c>
      <c r="K99" s="101">
        <f t="shared" si="7"/>
        <v>-40</v>
      </c>
      <c r="L99" s="101"/>
      <c r="M99" s="103">
        <f t="shared" si="8"/>
        <v>0</v>
      </c>
    </row>
    <row r="100" spans="1:13" x14ac:dyDescent="0.25">
      <c r="A100" s="117"/>
      <c r="G100" s="84"/>
      <c r="H100" s="101">
        <v>95</v>
      </c>
      <c r="I100" s="102" t="str">
        <f t="shared" si="6"/>
        <v/>
      </c>
      <c r="J100" s="102">
        <f t="shared" si="9"/>
        <v>-4</v>
      </c>
      <c r="K100" s="101">
        <f t="shared" si="7"/>
        <v>-40</v>
      </c>
      <c r="L100" s="101"/>
      <c r="M100" s="103">
        <f t="shared" si="8"/>
        <v>0</v>
      </c>
    </row>
    <row r="101" spans="1:13" x14ac:dyDescent="0.25">
      <c r="A101" s="117"/>
      <c r="G101" s="84"/>
      <c r="H101" s="101">
        <v>96</v>
      </c>
      <c r="I101" s="102" t="str">
        <f t="shared" si="6"/>
        <v/>
      </c>
      <c r="J101" s="102">
        <f t="shared" si="9"/>
        <v>-4</v>
      </c>
      <c r="K101" s="101">
        <f t="shared" si="7"/>
        <v>-40</v>
      </c>
      <c r="L101" s="101"/>
      <c r="M101" s="103">
        <f t="shared" si="8"/>
        <v>0</v>
      </c>
    </row>
    <row r="102" spans="1:13" x14ac:dyDescent="0.25">
      <c r="A102" s="117"/>
      <c r="G102" s="84"/>
      <c r="H102" s="101">
        <v>97</v>
      </c>
      <c r="I102" s="102" t="str">
        <f t="shared" si="6"/>
        <v/>
      </c>
      <c r="J102" s="102">
        <f t="shared" si="9"/>
        <v>-4</v>
      </c>
      <c r="K102" s="101">
        <f t="shared" si="7"/>
        <v>-40</v>
      </c>
      <c r="L102" s="101"/>
      <c r="M102" s="103">
        <f t="shared" si="8"/>
        <v>0</v>
      </c>
    </row>
    <row r="103" spans="1:13" x14ac:dyDescent="0.25">
      <c r="A103" s="117"/>
      <c r="G103" s="84"/>
      <c r="H103" s="101">
        <v>98</v>
      </c>
      <c r="I103" s="102" t="str">
        <f t="shared" si="6"/>
        <v/>
      </c>
      <c r="J103" s="102">
        <f t="shared" si="9"/>
        <v>-4</v>
      </c>
      <c r="K103" s="101">
        <f t="shared" si="7"/>
        <v>-40</v>
      </c>
      <c r="L103" s="101"/>
      <c r="M103" s="103">
        <f t="shared" si="8"/>
        <v>0</v>
      </c>
    </row>
    <row r="104" spans="1:13" x14ac:dyDescent="0.25">
      <c r="A104" s="117"/>
      <c r="G104" s="84"/>
      <c r="H104" s="101">
        <v>99</v>
      </c>
      <c r="I104" s="102" t="str">
        <f t="shared" si="6"/>
        <v/>
      </c>
      <c r="J104" s="102">
        <f t="shared" si="9"/>
        <v>-4</v>
      </c>
      <c r="K104" s="101">
        <f t="shared" si="7"/>
        <v>-40</v>
      </c>
      <c r="L104" s="101"/>
      <c r="M104" s="103">
        <f t="shared" si="8"/>
        <v>0</v>
      </c>
    </row>
    <row r="105" spans="1:13" x14ac:dyDescent="0.25">
      <c r="A105" s="117"/>
      <c r="G105" s="84"/>
      <c r="H105" s="101">
        <v>100</v>
      </c>
      <c r="I105" s="102" t="str">
        <f t="shared" si="6"/>
        <v/>
      </c>
      <c r="J105" s="102">
        <f t="shared" si="9"/>
        <v>-4</v>
      </c>
      <c r="K105" s="101">
        <f t="shared" si="7"/>
        <v>-40</v>
      </c>
      <c r="L105" s="101"/>
      <c r="M105" s="103">
        <f t="shared" si="8"/>
        <v>0</v>
      </c>
    </row>
    <row r="106" spans="1:13" x14ac:dyDescent="0.25">
      <c r="A106" s="117"/>
      <c r="G106" s="84"/>
      <c r="H106" s="101">
        <v>101</v>
      </c>
      <c r="I106" s="102" t="str">
        <f t="shared" si="6"/>
        <v/>
      </c>
      <c r="J106" s="102">
        <f t="shared" si="9"/>
        <v>-4</v>
      </c>
      <c r="K106" s="101">
        <f t="shared" si="7"/>
        <v>-40</v>
      </c>
      <c r="L106" s="101"/>
      <c r="M106" s="103">
        <f t="shared" si="8"/>
        <v>0</v>
      </c>
    </row>
    <row r="107" spans="1:13" x14ac:dyDescent="0.25">
      <c r="A107" s="117"/>
      <c r="G107" s="84"/>
      <c r="H107" s="101">
        <v>102</v>
      </c>
      <c r="I107" s="102" t="str">
        <f t="shared" si="6"/>
        <v/>
      </c>
      <c r="J107" s="102">
        <f t="shared" si="9"/>
        <v>-4</v>
      </c>
      <c r="K107" s="101">
        <f t="shared" si="7"/>
        <v>-40</v>
      </c>
      <c r="L107" s="101"/>
      <c r="M107" s="103">
        <f t="shared" si="8"/>
        <v>0</v>
      </c>
    </row>
    <row r="108" spans="1:13" x14ac:dyDescent="0.25">
      <c r="A108" s="117"/>
      <c r="G108" s="84"/>
      <c r="H108" s="101">
        <v>103</v>
      </c>
      <c r="I108" s="102" t="str">
        <f t="shared" si="6"/>
        <v/>
      </c>
      <c r="J108" s="102">
        <f t="shared" si="9"/>
        <v>-4</v>
      </c>
      <c r="K108" s="101">
        <f t="shared" si="7"/>
        <v>-40</v>
      </c>
      <c r="L108" s="101"/>
      <c r="M108" s="103">
        <f t="shared" si="8"/>
        <v>0</v>
      </c>
    </row>
    <row r="109" spans="1:13" x14ac:dyDescent="0.25">
      <c r="A109" s="117"/>
      <c r="G109" s="84"/>
      <c r="H109" s="101">
        <v>104</v>
      </c>
      <c r="I109" s="102" t="str">
        <f t="shared" si="6"/>
        <v/>
      </c>
      <c r="J109" s="102">
        <f t="shared" si="9"/>
        <v>-4</v>
      </c>
      <c r="K109" s="101">
        <f t="shared" si="7"/>
        <v>-40</v>
      </c>
      <c r="L109" s="101"/>
      <c r="M109" s="103">
        <f t="shared" si="8"/>
        <v>0</v>
      </c>
    </row>
    <row r="110" spans="1:13" x14ac:dyDescent="0.25">
      <c r="A110" s="117"/>
      <c r="G110" s="84"/>
      <c r="H110" s="101">
        <v>105</v>
      </c>
      <c r="I110" s="102" t="str">
        <f t="shared" si="6"/>
        <v/>
      </c>
      <c r="J110" s="102">
        <f t="shared" si="9"/>
        <v>-4</v>
      </c>
      <c r="K110" s="101">
        <f t="shared" si="7"/>
        <v>-40</v>
      </c>
      <c r="L110" s="101"/>
      <c r="M110" s="103">
        <f t="shared" si="8"/>
        <v>0</v>
      </c>
    </row>
    <row r="111" spans="1:13" x14ac:dyDescent="0.25">
      <c r="A111" s="117"/>
      <c r="G111" s="84"/>
      <c r="H111" s="101">
        <v>106</v>
      </c>
      <c r="I111" s="102" t="str">
        <f t="shared" si="6"/>
        <v/>
      </c>
      <c r="J111" s="102">
        <f t="shared" si="9"/>
        <v>-4</v>
      </c>
      <c r="K111" s="101">
        <f t="shared" si="7"/>
        <v>-40</v>
      </c>
      <c r="L111" s="101"/>
      <c r="M111" s="103">
        <f t="shared" si="8"/>
        <v>0</v>
      </c>
    </row>
    <row r="112" spans="1:13" x14ac:dyDescent="0.25">
      <c r="A112" s="117"/>
      <c r="G112" s="84"/>
      <c r="H112" s="101">
        <v>107</v>
      </c>
      <c r="I112" s="102" t="str">
        <f t="shared" si="6"/>
        <v/>
      </c>
      <c r="J112" s="102">
        <f t="shared" si="9"/>
        <v>-4</v>
      </c>
      <c r="K112" s="101">
        <f t="shared" si="7"/>
        <v>-40</v>
      </c>
      <c r="L112" s="101"/>
      <c r="M112" s="103">
        <f t="shared" si="8"/>
        <v>0</v>
      </c>
    </row>
    <row r="113" spans="1:13" x14ac:dyDescent="0.25">
      <c r="A113" s="117"/>
      <c r="G113" s="84"/>
      <c r="H113" s="101">
        <v>108</v>
      </c>
      <c r="I113" s="102" t="str">
        <f t="shared" si="6"/>
        <v/>
      </c>
      <c r="J113" s="102">
        <f t="shared" si="9"/>
        <v>-4</v>
      </c>
      <c r="K113" s="101">
        <f t="shared" si="7"/>
        <v>-40</v>
      </c>
      <c r="L113" s="101"/>
      <c r="M113" s="103">
        <f t="shared" si="8"/>
        <v>0</v>
      </c>
    </row>
    <row r="114" spans="1:13" x14ac:dyDescent="0.25">
      <c r="A114" s="117"/>
      <c r="G114" s="84"/>
      <c r="H114" s="101">
        <v>109</v>
      </c>
      <c r="I114" s="102" t="str">
        <f t="shared" si="6"/>
        <v/>
      </c>
      <c r="J114" s="102">
        <f t="shared" si="9"/>
        <v>-4</v>
      </c>
      <c r="K114" s="101">
        <f t="shared" si="7"/>
        <v>-40</v>
      </c>
      <c r="L114" s="101"/>
      <c r="M114" s="103">
        <f t="shared" si="8"/>
        <v>0</v>
      </c>
    </row>
    <row r="115" spans="1:13" x14ac:dyDescent="0.25">
      <c r="A115" s="117"/>
      <c r="G115" s="84"/>
      <c r="H115" s="101">
        <v>110</v>
      </c>
      <c r="I115" s="102" t="str">
        <f t="shared" si="6"/>
        <v/>
      </c>
      <c r="J115" s="102">
        <f t="shared" si="9"/>
        <v>-4</v>
      </c>
      <c r="K115" s="101">
        <f t="shared" si="7"/>
        <v>-40</v>
      </c>
      <c r="L115" s="101"/>
      <c r="M115" s="103">
        <f t="shared" si="8"/>
        <v>0</v>
      </c>
    </row>
    <row r="116" spans="1:13" x14ac:dyDescent="0.25">
      <c r="A116" s="117"/>
      <c r="G116" s="84"/>
      <c r="H116" s="101">
        <v>111</v>
      </c>
      <c r="I116" s="102" t="str">
        <f t="shared" si="6"/>
        <v/>
      </c>
      <c r="J116" s="102">
        <f t="shared" si="9"/>
        <v>-4</v>
      </c>
      <c r="K116" s="101">
        <f t="shared" si="7"/>
        <v>-40</v>
      </c>
      <c r="L116" s="101"/>
      <c r="M116" s="103">
        <f t="shared" si="8"/>
        <v>0</v>
      </c>
    </row>
    <row r="117" spans="1:13" x14ac:dyDescent="0.25">
      <c r="A117" s="117"/>
      <c r="G117" s="84"/>
      <c r="H117" s="101">
        <v>112</v>
      </c>
      <c r="I117" s="102" t="str">
        <f t="shared" si="6"/>
        <v/>
      </c>
      <c r="J117" s="102">
        <f t="shared" si="9"/>
        <v>-4</v>
      </c>
      <c r="K117" s="101">
        <f t="shared" si="7"/>
        <v>-40</v>
      </c>
      <c r="L117" s="101"/>
      <c r="M117" s="103">
        <f t="shared" si="8"/>
        <v>0</v>
      </c>
    </row>
    <row r="118" spans="1:13" x14ac:dyDescent="0.25">
      <c r="A118" s="117"/>
      <c r="G118" s="84"/>
      <c r="H118" s="101">
        <v>113</v>
      </c>
      <c r="I118" s="102" t="str">
        <f t="shared" si="6"/>
        <v/>
      </c>
      <c r="J118" s="102">
        <f t="shared" si="9"/>
        <v>-4</v>
      </c>
      <c r="K118" s="101">
        <f t="shared" si="7"/>
        <v>-40</v>
      </c>
      <c r="L118" s="101"/>
      <c r="M118" s="103">
        <f t="shared" si="8"/>
        <v>0</v>
      </c>
    </row>
    <row r="119" spans="1:13" x14ac:dyDescent="0.25">
      <c r="A119" s="117"/>
      <c r="G119" s="84"/>
      <c r="H119" s="101">
        <v>114</v>
      </c>
      <c r="I119" s="102" t="str">
        <f t="shared" si="6"/>
        <v/>
      </c>
      <c r="J119" s="102">
        <f t="shared" si="9"/>
        <v>-4</v>
      </c>
      <c r="K119" s="101">
        <f t="shared" si="7"/>
        <v>-40</v>
      </c>
      <c r="L119" s="101"/>
      <c r="M119" s="103">
        <f t="shared" si="8"/>
        <v>0</v>
      </c>
    </row>
    <row r="120" spans="1:13" x14ac:dyDescent="0.25">
      <c r="A120" s="117"/>
      <c r="G120" s="84"/>
      <c r="H120" s="101">
        <v>115</v>
      </c>
      <c r="I120" s="102" t="str">
        <f t="shared" si="6"/>
        <v/>
      </c>
      <c r="J120" s="102">
        <f t="shared" si="9"/>
        <v>-4</v>
      </c>
      <c r="K120" s="101">
        <f t="shared" si="7"/>
        <v>-40</v>
      </c>
      <c r="L120" s="101"/>
      <c r="M120" s="103">
        <f t="shared" si="8"/>
        <v>0</v>
      </c>
    </row>
    <row r="121" spans="1:13" x14ac:dyDescent="0.25">
      <c r="A121" s="117"/>
      <c r="G121" s="84"/>
      <c r="H121" s="101">
        <v>116</v>
      </c>
      <c r="I121" s="102" t="str">
        <f t="shared" si="6"/>
        <v/>
      </c>
      <c r="J121" s="102">
        <f t="shared" si="9"/>
        <v>-4</v>
      </c>
      <c r="K121" s="101">
        <f t="shared" si="7"/>
        <v>-40</v>
      </c>
      <c r="L121" s="101"/>
      <c r="M121" s="103">
        <f t="shared" si="8"/>
        <v>0</v>
      </c>
    </row>
    <row r="122" spans="1:13" x14ac:dyDescent="0.25">
      <c r="A122" s="117"/>
      <c r="G122" s="84"/>
      <c r="H122" s="101">
        <v>117</v>
      </c>
      <c r="I122" s="102" t="str">
        <f t="shared" si="6"/>
        <v/>
      </c>
      <c r="J122" s="102">
        <f t="shared" si="9"/>
        <v>-4</v>
      </c>
      <c r="K122" s="101">
        <f t="shared" si="7"/>
        <v>-40</v>
      </c>
      <c r="L122" s="101"/>
      <c r="M122" s="103">
        <f t="shared" si="8"/>
        <v>0</v>
      </c>
    </row>
    <row r="123" spans="1:13" x14ac:dyDescent="0.25">
      <c r="A123" s="117"/>
      <c r="G123" s="84"/>
      <c r="H123" s="101">
        <v>118</v>
      </c>
      <c r="I123" s="102" t="str">
        <f t="shared" si="6"/>
        <v/>
      </c>
      <c r="J123" s="102">
        <f t="shared" si="9"/>
        <v>-4</v>
      </c>
      <c r="K123" s="101">
        <f t="shared" si="7"/>
        <v>-40</v>
      </c>
      <c r="L123" s="101"/>
      <c r="M123" s="103">
        <f t="shared" si="8"/>
        <v>0</v>
      </c>
    </row>
    <row r="124" spans="1:13" x14ac:dyDescent="0.25">
      <c r="A124" s="117"/>
      <c r="G124" s="84"/>
      <c r="H124" s="101">
        <v>119</v>
      </c>
      <c r="I124" s="102" t="str">
        <f t="shared" si="6"/>
        <v/>
      </c>
      <c r="J124" s="102">
        <f t="shared" si="9"/>
        <v>-4</v>
      </c>
      <c r="K124" s="101">
        <f t="shared" si="7"/>
        <v>-40</v>
      </c>
      <c r="L124" s="101"/>
      <c r="M124" s="103">
        <f t="shared" si="8"/>
        <v>0</v>
      </c>
    </row>
    <row r="125" spans="1:13" x14ac:dyDescent="0.25">
      <c r="A125" s="117"/>
      <c r="G125" s="84"/>
      <c r="H125" s="101">
        <v>120</v>
      </c>
      <c r="I125" s="102" t="str">
        <f t="shared" si="6"/>
        <v/>
      </c>
      <c r="J125" s="102">
        <f t="shared" si="9"/>
        <v>-4</v>
      </c>
      <c r="K125" s="101">
        <f t="shared" si="7"/>
        <v>-40</v>
      </c>
      <c r="L125" s="101"/>
      <c r="M125" s="103">
        <f t="shared" si="8"/>
        <v>0</v>
      </c>
    </row>
    <row r="126" spans="1:13" x14ac:dyDescent="0.25">
      <c r="A126" s="117"/>
      <c r="G126" s="84"/>
      <c r="H126" s="101">
        <v>121</v>
      </c>
      <c r="I126" s="102" t="str">
        <f t="shared" si="6"/>
        <v/>
      </c>
      <c r="J126" s="102">
        <f t="shared" si="9"/>
        <v>-4</v>
      </c>
      <c r="K126" s="101">
        <f t="shared" si="7"/>
        <v>-40</v>
      </c>
      <c r="L126" s="101"/>
      <c r="M126" s="103">
        <f t="shared" si="8"/>
        <v>0</v>
      </c>
    </row>
    <row r="127" spans="1:13" x14ac:dyDescent="0.25">
      <c r="A127" s="117"/>
      <c r="G127" s="84"/>
      <c r="H127" s="101">
        <v>122</v>
      </c>
      <c r="I127" s="102" t="str">
        <f t="shared" si="6"/>
        <v/>
      </c>
      <c r="J127" s="102">
        <f t="shared" si="9"/>
        <v>-4</v>
      </c>
      <c r="K127" s="101">
        <f t="shared" si="7"/>
        <v>-40</v>
      </c>
      <c r="L127" s="101"/>
      <c r="M127" s="103">
        <f t="shared" si="8"/>
        <v>0</v>
      </c>
    </row>
    <row r="128" spans="1:13" x14ac:dyDescent="0.25">
      <c r="A128" s="117"/>
      <c r="G128" s="84"/>
      <c r="H128" s="101">
        <v>123</v>
      </c>
      <c r="I128" s="102" t="str">
        <f t="shared" si="6"/>
        <v/>
      </c>
      <c r="J128" s="102">
        <f t="shared" si="9"/>
        <v>-4</v>
      </c>
      <c r="K128" s="101">
        <f t="shared" si="7"/>
        <v>-40</v>
      </c>
      <c r="L128" s="101"/>
      <c r="M128" s="103">
        <f t="shared" si="8"/>
        <v>0</v>
      </c>
    </row>
    <row r="129" spans="1:13" x14ac:dyDescent="0.25">
      <c r="A129" s="117"/>
      <c r="G129" s="84"/>
      <c r="H129" s="101">
        <v>124</v>
      </c>
      <c r="I129" s="102" t="str">
        <f t="shared" si="6"/>
        <v/>
      </c>
      <c r="J129" s="102">
        <f t="shared" si="9"/>
        <v>-4</v>
      </c>
      <c r="K129" s="101">
        <f t="shared" si="7"/>
        <v>-40</v>
      </c>
      <c r="L129" s="101"/>
      <c r="M129" s="103">
        <f t="shared" si="8"/>
        <v>0</v>
      </c>
    </row>
    <row r="130" spans="1:13" x14ac:dyDescent="0.25">
      <c r="A130" s="117"/>
      <c r="G130" s="84"/>
      <c r="H130" s="101">
        <v>125</v>
      </c>
      <c r="I130" s="102" t="str">
        <f t="shared" si="6"/>
        <v/>
      </c>
      <c r="J130" s="102">
        <f t="shared" si="9"/>
        <v>-4</v>
      </c>
      <c r="K130" s="101">
        <f t="shared" si="7"/>
        <v>-40</v>
      </c>
      <c r="L130" s="101"/>
      <c r="M130" s="103">
        <f t="shared" si="8"/>
        <v>0</v>
      </c>
    </row>
    <row r="131" spans="1:13" x14ac:dyDescent="0.25">
      <c r="A131" s="117"/>
      <c r="G131" s="84"/>
      <c r="H131" s="101">
        <v>126</v>
      </c>
      <c r="I131" s="102" t="str">
        <f t="shared" si="6"/>
        <v/>
      </c>
      <c r="J131" s="102">
        <f t="shared" si="9"/>
        <v>-4</v>
      </c>
      <c r="K131" s="101">
        <f t="shared" si="7"/>
        <v>-40</v>
      </c>
      <c r="L131" s="101"/>
      <c r="M131" s="103">
        <f t="shared" si="8"/>
        <v>0</v>
      </c>
    </row>
    <row r="132" spans="1:13" x14ac:dyDescent="0.25">
      <c r="A132" s="117"/>
      <c r="G132" s="84"/>
      <c r="H132" s="101">
        <v>127</v>
      </c>
      <c r="I132" s="102" t="str">
        <f t="shared" si="6"/>
        <v/>
      </c>
      <c r="J132" s="102">
        <f t="shared" si="9"/>
        <v>-4</v>
      </c>
      <c r="K132" s="101">
        <f t="shared" si="7"/>
        <v>-40</v>
      </c>
      <c r="L132" s="101"/>
      <c r="M132" s="103">
        <f t="shared" si="8"/>
        <v>0</v>
      </c>
    </row>
    <row r="133" spans="1:13" x14ac:dyDescent="0.25">
      <c r="A133" s="117"/>
      <c r="G133" s="84"/>
      <c r="H133" s="101">
        <v>128</v>
      </c>
      <c r="I133" s="102" t="str">
        <f t="shared" si="6"/>
        <v/>
      </c>
      <c r="J133" s="102">
        <f t="shared" si="9"/>
        <v>-4</v>
      </c>
      <c r="K133" s="101">
        <f t="shared" si="7"/>
        <v>-40</v>
      </c>
      <c r="L133" s="101"/>
      <c r="M133" s="103">
        <f t="shared" si="8"/>
        <v>0</v>
      </c>
    </row>
    <row r="134" spans="1:13" x14ac:dyDescent="0.25">
      <c r="A134" s="117"/>
      <c r="G134" s="84"/>
      <c r="H134" s="101">
        <v>129</v>
      </c>
      <c r="I134" s="102" t="str">
        <f t="shared" ref="I134:I197" si="10">IF(H134&lt;$H$2+1,($I$2-($I$2-1)*(LOG(H134)/LOG($H$2))),"")</f>
        <v/>
      </c>
      <c r="J134" s="102">
        <f t="shared" si="9"/>
        <v>-5</v>
      </c>
      <c r="K134" s="101">
        <f t="shared" ref="K134:K197" si="11">J134*$J$2</f>
        <v>-50</v>
      </c>
      <c r="L134" s="101"/>
      <c r="M134" s="103">
        <f t="shared" ref="M134:M197" si="12">IF(I134&lt;&gt;"",K134+I134+L134,0)</f>
        <v>0</v>
      </c>
    </row>
    <row r="135" spans="1:13" x14ac:dyDescent="0.25">
      <c r="A135" s="117"/>
      <c r="G135" s="84"/>
      <c r="H135" s="101">
        <v>130</v>
      </c>
      <c r="I135" s="102" t="str">
        <f t="shared" si="10"/>
        <v/>
      </c>
      <c r="J135" s="102">
        <f t="shared" ref="J135:J198" si="13">INT(LOG($H$2,2))-ROUNDUP(LOG(H135,2),0)+IF(OR($H$2=1,$H$2=2,$H$2=4,$H$2=8,$H$2=16,$H$2=32,$H$2=64,$H$2=128,$H$2=256),0,1)</f>
        <v>-5</v>
      </c>
      <c r="K135" s="101">
        <f t="shared" si="11"/>
        <v>-50</v>
      </c>
      <c r="L135" s="101"/>
      <c r="M135" s="103">
        <f t="shared" si="12"/>
        <v>0</v>
      </c>
    </row>
    <row r="136" spans="1:13" x14ac:dyDescent="0.25">
      <c r="A136" s="117"/>
      <c r="G136" s="84"/>
      <c r="H136" s="101">
        <v>131</v>
      </c>
      <c r="I136" s="102" t="str">
        <f t="shared" si="10"/>
        <v/>
      </c>
      <c r="J136" s="102">
        <f t="shared" si="13"/>
        <v>-5</v>
      </c>
      <c r="K136" s="101">
        <f t="shared" si="11"/>
        <v>-50</v>
      </c>
      <c r="L136" s="101"/>
      <c r="M136" s="103">
        <f t="shared" si="12"/>
        <v>0</v>
      </c>
    </row>
    <row r="137" spans="1:13" x14ac:dyDescent="0.25">
      <c r="A137" s="117"/>
      <c r="G137" s="84"/>
      <c r="H137" s="101">
        <v>132</v>
      </c>
      <c r="I137" s="102" t="str">
        <f t="shared" si="10"/>
        <v/>
      </c>
      <c r="J137" s="102">
        <f t="shared" si="13"/>
        <v>-5</v>
      </c>
      <c r="K137" s="101">
        <f t="shared" si="11"/>
        <v>-50</v>
      </c>
      <c r="L137" s="101"/>
      <c r="M137" s="103">
        <f t="shared" si="12"/>
        <v>0</v>
      </c>
    </row>
    <row r="138" spans="1:13" x14ac:dyDescent="0.25">
      <c r="A138" s="117"/>
      <c r="G138" s="84"/>
      <c r="H138" s="101">
        <v>133</v>
      </c>
      <c r="I138" s="102" t="str">
        <f t="shared" si="10"/>
        <v/>
      </c>
      <c r="J138" s="102">
        <f t="shared" si="13"/>
        <v>-5</v>
      </c>
      <c r="K138" s="101">
        <f t="shared" si="11"/>
        <v>-50</v>
      </c>
      <c r="L138" s="101"/>
      <c r="M138" s="103">
        <f t="shared" si="12"/>
        <v>0</v>
      </c>
    </row>
    <row r="139" spans="1:13" x14ac:dyDescent="0.25">
      <c r="A139" s="117"/>
      <c r="G139" s="84"/>
      <c r="H139" s="101">
        <v>134</v>
      </c>
      <c r="I139" s="102" t="str">
        <f t="shared" si="10"/>
        <v/>
      </c>
      <c r="J139" s="102">
        <f t="shared" si="13"/>
        <v>-5</v>
      </c>
      <c r="K139" s="101">
        <f t="shared" si="11"/>
        <v>-50</v>
      </c>
      <c r="L139" s="101"/>
      <c r="M139" s="103">
        <f t="shared" si="12"/>
        <v>0</v>
      </c>
    </row>
    <row r="140" spans="1:13" x14ac:dyDescent="0.25">
      <c r="A140" s="117"/>
      <c r="G140" s="84"/>
      <c r="H140" s="101">
        <v>135</v>
      </c>
      <c r="I140" s="102" t="str">
        <f t="shared" si="10"/>
        <v/>
      </c>
      <c r="J140" s="102">
        <f t="shared" si="13"/>
        <v>-5</v>
      </c>
      <c r="K140" s="101">
        <f t="shared" si="11"/>
        <v>-50</v>
      </c>
      <c r="L140" s="101"/>
      <c r="M140" s="103">
        <f t="shared" si="12"/>
        <v>0</v>
      </c>
    </row>
    <row r="141" spans="1:13" x14ac:dyDescent="0.25">
      <c r="A141" s="117"/>
      <c r="G141" s="84"/>
      <c r="H141" s="101">
        <v>136</v>
      </c>
      <c r="I141" s="102" t="str">
        <f t="shared" si="10"/>
        <v/>
      </c>
      <c r="J141" s="102">
        <f t="shared" si="13"/>
        <v>-5</v>
      </c>
      <c r="K141" s="101">
        <f t="shared" si="11"/>
        <v>-50</v>
      </c>
      <c r="L141" s="101"/>
      <c r="M141" s="103">
        <f t="shared" si="12"/>
        <v>0</v>
      </c>
    </row>
    <row r="142" spans="1:13" x14ac:dyDescent="0.25">
      <c r="A142" s="117"/>
      <c r="G142" s="84"/>
      <c r="H142" s="101">
        <v>137</v>
      </c>
      <c r="I142" s="102" t="str">
        <f t="shared" si="10"/>
        <v/>
      </c>
      <c r="J142" s="102">
        <f t="shared" si="13"/>
        <v>-5</v>
      </c>
      <c r="K142" s="101">
        <f t="shared" si="11"/>
        <v>-50</v>
      </c>
      <c r="L142" s="101"/>
      <c r="M142" s="103">
        <f t="shared" si="12"/>
        <v>0</v>
      </c>
    </row>
    <row r="143" spans="1:13" x14ac:dyDescent="0.25">
      <c r="A143" s="117"/>
      <c r="G143" s="84"/>
      <c r="H143" s="101">
        <v>138</v>
      </c>
      <c r="I143" s="102" t="str">
        <f t="shared" si="10"/>
        <v/>
      </c>
      <c r="J143" s="102">
        <f t="shared" si="13"/>
        <v>-5</v>
      </c>
      <c r="K143" s="101">
        <f t="shared" si="11"/>
        <v>-50</v>
      </c>
      <c r="L143" s="101"/>
      <c r="M143" s="103">
        <f t="shared" si="12"/>
        <v>0</v>
      </c>
    </row>
    <row r="144" spans="1:13" x14ac:dyDescent="0.25">
      <c r="A144" s="117"/>
      <c r="G144" s="84"/>
      <c r="H144" s="101">
        <v>139</v>
      </c>
      <c r="I144" s="102" t="str">
        <f t="shared" si="10"/>
        <v/>
      </c>
      <c r="J144" s="102">
        <f t="shared" si="13"/>
        <v>-5</v>
      </c>
      <c r="K144" s="101">
        <f t="shared" si="11"/>
        <v>-50</v>
      </c>
      <c r="L144" s="101"/>
      <c r="M144" s="103">
        <f t="shared" si="12"/>
        <v>0</v>
      </c>
    </row>
    <row r="145" spans="1:13" x14ac:dyDescent="0.25">
      <c r="A145" s="117"/>
      <c r="G145" s="84"/>
      <c r="H145" s="101">
        <v>140</v>
      </c>
      <c r="I145" s="102" t="str">
        <f t="shared" si="10"/>
        <v/>
      </c>
      <c r="J145" s="102">
        <f t="shared" si="13"/>
        <v>-5</v>
      </c>
      <c r="K145" s="101">
        <f t="shared" si="11"/>
        <v>-50</v>
      </c>
      <c r="L145" s="101"/>
      <c r="M145" s="103">
        <f t="shared" si="12"/>
        <v>0</v>
      </c>
    </row>
    <row r="146" spans="1:13" x14ac:dyDescent="0.25">
      <c r="A146" s="117"/>
      <c r="G146" s="84"/>
      <c r="H146" s="101">
        <v>141</v>
      </c>
      <c r="I146" s="102" t="str">
        <f t="shared" si="10"/>
        <v/>
      </c>
      <c r="J146" s="102">
        <f t="shared" si="13"/>
        <v>-5</v>
      </c>
      <c r="K146" s="101">
        <f t="shared" si="11"/>
        <v>-50</v>
      </c>
      <c r="L146" s="101"/>
      <c r="M146" s="103">
        <f t="shared" si="12"/>
        <v>0</v>
      </c>
    </row>
    <row r="147" spans="1:13" x14ac:dyDescent="0.25">
      <c r="A147" s="117"/>
      <c r="G147" s="84"/>
      <c r="H147" s="101">
        <v>142</v>
      </c>
      <c r="I147" s="102" t="str">
        <f t="shared" si="10"/>
        <v/>
      </c>
      <c r="J147" s="102">
        <f t="shared" si="13"/>
        <v>-5</v>
      </c>
      <c r="K147" s="101">
        <f t="shared" si="11"/>
        <v>-50</v>
      </c>
      <c r="L147" s="101"/>
      <c r="M147" s="103">
        <f t="shared" si="12"/>
        <v>0</v>
      </c>
    </row>
    <row r="148" spans="1:13" x14ac:dyDescent="0.25">
      <c r="A148" s="117"/>
      <c r="G148" s="84"/>
      <c r="H148" s="101">
        <v>143</v>
      </c>
      <c r="I148" s="102" t="str">
        <f t="shared" si="10"/>
        <v/>
      </c>
      <c r="J148" s="102">
        <f t="shared" si="13"/>
        <v>-5</v>
      </c>
      <c r="K148" s="101">
        <f t="shared" si="11"/>
        <v>-50</v>
      </c>
      <c r="L148" s="101"/>
      <c r="M148" s="103">
        <f t="shared" si="12"/>
        <v>0</v>
      </c>
    </row>
    <row r="149" spans="1:13" x14ac:dyDescent="0.25">
      <c r="A149" s="117"/>
      <c r="G149" s="84"/>
      <c r="H149" s="101">
        <v>144</v>
      </c>
      <c r="I149" s="102" t="str">
        <f t="shared" si="10"/>
        <v/>
      </c>
      <c r="J149" s="102">
        <f t="shared" si="13"/>
        <v>-5</v>
      </c>
      <c r="K149" s="101">
        <f t="shared" si="11"/>
        <v>-50</v>
      </c>
      <c r="L149" s="101"/>
      <c r="M149" s="103">
        <f t="shared" si="12"/>
        <v>0</v>
      </c>
    </row>
    <row r="150" spans="1:13" x14ac:dyDescent="0.25">
      <c r="A150" s="117"/>
      <c r="G150" s="84"/>
      <c r="H150" s="101">
        <v>145</v>
      </c>
      <c r="I150" s="102" t="str">
        <f t="shared" si="10"/>
        <v/>
      </c>
      <c r="J150" s="102">
        <f t="shared" si="13"/>
        <v>-5</v>
      </c>
      <c r="K150" s="101">
        <f t="shared" si="11"/>
        <v>-50</v>
      </c>
      <c r="L150" s="101"/>
      <c r="M150" s="103">
        <f t="shared" si="12"/>
        <v>0</v>
      </c>
    </row>
    <row r="151" spans="1:13" x14ac:dyDescent="0.25">
      <c r="A151" s="117"/>
      <c r="G151" s="84"/>
      <c r="H151" s="101">
        <v>146</v>
      </c>
      <c r="I151" s="102" t="str">
        <f t="shared" si="10"/>
        <v/>
      </c>
      <c r="J151" s="102">
        <f t="shared" si="13"/>
        <v>-5</v>
      </c>
      <c r="K151" s="101">
        <f t="shared" si="11"/>
        <v>-50</v>
      </c>
      <c r="L151" s="101"/>
      <c r="M151" s="103">
        <f t="shared" si="12"/>
        <v>0</v>
      </c>
    </row>
    <row r="152" spans="1:13" x14ac:dyDescent="0.25">
      <c r="A152" s="117"/>
      <c r="G152" s="84"/>
      <c r="H152" s="101">
        <v>147</v>
      </c>
      <c r="I152" s="102" t="str">
        <f t="shared" si="10"/>
        <v/>
      </c>
      <c r="J152" s="102">
        <f t="shared" si="13"/>
        <v>-5</v>
      </c>
      <c r="K152" s="101">
        <f t="shared" si="11"/>
        <v>-50</v>
      </c>
      <c r="L152" s="101"/>
      <c r="M152" s="103">
        <f t="shared" si="12"/>
        <v>0</v>
      </c>
    </row>
    <row r="153" spans="1:13" x14ac:dyDescent="0.25">
      <c r="A153" s="117"/>
      <c r="G153" s="84"/>
      <c r="H153" s="101">
        <v>148</v>
      </c>
      <c r="I153" s="102" t="str">
        <f t="shared" si="10"/>
        <v/>
      </c>
      <c r="J153" s="102">
        <f t="shared" si="13"/>
        <v>-5</v>
      </c>
      <c r="K153" s="101">
        <f t="shared" si="11"/>
        <v>-50</v>
      </c>
      <c r="L153" s="101"/>
      <c r="M153" s="103">
        <f t="shared" si="12"/>
        <v>0</v>
      </c>
    </row>
    <row r="154" spans="1:13" x14ac:dyDescent="0.25">
      <c r="A154" s="117"/>
      <c r="G154" s="84"/>
      <c r="H154" s="101">
        <v>149</v>
      </c>
      <c r="I154" s="102" t="str">
        <f t="shared" si="10"/>
        <v/>
      </c>
      <c r="J154" s="102">
        <f t="shared" si="13"/>
        <v>-5</v>
      </c>
      <c r="K154" s="101">
        <f t="shared" si="11"/>
        <v>-50</v>
      </c>
      <c r="L154" s="101"/>
      <c r="M154" s="103">
        <f t="shared" si="12"/>
        <v>0</v>
      </c>
    </row>
    <row r="155" spans="1:13" x14ac:dyDescent="0.25">
      <c r="A155" s="117"/>
      <c r="G155" s="84"/>
      <c r="H155" s="101">
        <v>150</v>
      </c>
      <c r="I155" s="102" t="str">
        <f t="shared" si="10"/>
        <v/>
      </c>
      <c r="J155" s="102">
        <f t="shared" si="13"/>
        <v>-5</v>
      </c>
      <c r="K155" s="101">
        <f t="shared" si="11"/>
        <v>-50</v>
      </c>
      <c r="L155" s="101"/>
      <c r="M155" s="103">
        <f t="shared" si="12"/>
        <v>0</v>
      </c>
    </row>
    <row r="156" spans="1:13" x14ac:dyDescent="0.25">
      <c r="A156" s="117"/>
      <c r="G156" s="84"/>
      <c r="H156" s="101">
        <v>151</v>
      </c>
      <c r="I156" s="102" t="str">
        <f t="shared" si="10"/>
        <v/>
      </c>
      <c r="J156" s="102">
        <f t="shared" si="13"/>
        <v>-5</v>
      </c>
      <c r="K156" s="101">
        <f t="shared" si="11"/>
        <v>-50</v>
      </c>
      <c r="L156" s="101"/>
      <c r="M156" s="103">
        <f t="shared" si="12"/>
        <v>0</v>
      </c>
    </row>
    <row r="157" spans="1:13" x14ac:dyDescent="0.25">
      <c r="A157" s="117"/>
      <c r="G157" s="84"/>
      <c r="H157" s="101">
        <v>152</v>
      </c>
      <c r="I157" s="102" t="str">
        <f t="shared" si="10"/>
        <v/>
      </c>
      <c r="J157" s="102">
        <f t="shared" si="13"/>
        <v>-5</v>
      </c>
      <c r="K157" s="101">
        <f t="shared" si="11"/>
        <v>-50</v>
      </c>
      <c r="L157" s="101"/>
      <c r="M157" s="103">
        <f t="shared" si="12"/>
        <v>0</v>
      </c>
    </row>
    <row r="158" spans="1:13" x14ac:dyDescent="0.25">
      <c r="A158" s="117"/>
      <c r="G158" s="84"/>
      <c r="H158" s="101">
        <v>153</v>
      </c>
      <c r="I158" s="102" t="str">
        <f t="shared" si="10"/>
        <v/>
      </c>
      <c r="J158" s="102">
        <f t="shared" si="13"/>
        <v>-5</v>
      </c>
      <c r="K158" s="101">
        <f t="shared" si="11"/>
        <v>-50</v>
      </c>
      <c r="L158" s="101"/>
      <c r="M158" s="103">
        <f t="shared" si="12"/>
        <v>0</v>
      </c>
    </row>
    <row r="159" spans="1:13" x14ac:dyDescent="0.25">
      <c r="A159" s="117"/>
      <c r="G159" s="84"/>
      <c r="H159" s="101">
        <v>154</v>
      </c>
      <c r="I159" s="102" t="str">
        <f t="shared" si="10"/>
        <v/>
      </c>
      <c r="J159" s="102">
        <f t="shared" si="13"/>
        <v>-5</v>
      </c>
      <c r="K159" s="101">
        <f t="shared" si="11"/>
        <v>-50</v>
      </c>
      <c r="L159" s="101"/>
      <c r="M159" s="103">
        <f t="shared" si="12"/>
        <v>0</v>
      </c>
    </row>
    <row r="160" spans="1:13" x14ac:dyDescent="0.25">
      <c r="A160" s="117"/>
      <c r="G160" s="84"/>
      <c r="H160" s="101">
        <v>155</v>
      </c>
      <c r="I160" s="102" t="str">
        <f t="shared" si="10"/>
        <v/>
      </c>
      <c r="J160" s="102">
        <f t="shared" si="13"/>
        <v>-5</v>
      </c>
      <c r="K160" s="101">
        <f t="shared" si="11"/>
        <v>-50</v>
      </c>
      <c r="L160" s="101"/>
      <c r="M160" s="103">
        <f t="shared" si="12"/>
        <v>0</v>
      </c>
    </row>
    <row r="161" spans="1:13" x14ac:dyDescent="0.25">
      <c r="A161" s="117"/>
      <c r="G161" s="84"/>
      <c r="H161" s="101">
        <v>156</v>
      </c>
      <c r="I161" s="102" t="str">
        <f t="shared" si="10"/>
        <v/>
      </c>
      <c r="J161" s="102">
        <f t="shared" si="13"/>
        <v>-5</v>
      </c>
      <c r="K161" s="101">
        <f t="shared" si="11"/>
        <v>-50</v>
      </c>
      <c r="L161" s="101"/>
      <c r="M161" s="103">
        <f t="shared" si="12"/>
        <v>0</v>
      </c>
    </row>
    <row r="162" spans="1:13" x14ac:dyDescent="0.25">
      <c r="A162" s="117"/>
      <c r="G162" s="84"/>
      <c r="H162" s="101">
        <v>157</v>
      </c>
      <c r="I162" s="102" t="str">
        <f t="shared" si="10"/>
        <v/>
      </c>
      <c r="J162" s="102">
        <f t="shared" si="13"/>
        <v>-5</v>
      </c>
      <c r="K162" s="101">
        <f t="shared" si="11"/>
        <v>-50</v>
      </c>
      <c r="L162" s="101"/>
      <c r="M162" s="103">
        <f t="shared" si="12"/>
        <v>0</v>
      </c>
    </row>
    <row r="163" spans="1:13" x14ac:dyDescent="0.25">
      <c r="A163" s="117"/>
      <c r="G163" s="84"/>
      <c r="H163" s="101">
        <v>158</v>
      </c>
      <c r="I163" s="102" t="str">
        <f t="shared" si="10"/>
        <v/>
      </c>
      <c r="J163" s="102">
        <f t="shared" si="13"/>
        <v>-5</v>
      </c>
      <c r="K163" s="101">
        <f t="shared" si="11"/>
        <v>-50</v>
      </c>
      <c r="L163" s="101"/>
      <c r="M163" s="103">
        <f t="shared" si="12"/>
        <v>0</v>
      </c>
    </row>
    <row r="164" spans="1:13" x14ac:dyDescent="0.25">
      <c r="A164" s="117"/>
      <c r="G164" s="84"/>
      <c r="H164" s="101">
        <v>159</v>
      </c>
      <c r="I164" s="102" t="str">
        <f t="shared" si="10"/>
        <v/>
      </c>
      <c r="J164" s="102">
        <f t="shared" si="13"/>
        <v>-5</v>
      </c>
      <c r="K164" s="101">
        <f t="shared" si="11"/>
        <v>-50</v>
      </c>
      <c r="L164" s="101"/>
      <c r="M164" s="103">
        <f t="shared" si="12"/>
        <v>0</v>
      </c>
    </row>
    <row r="165" spans="1:13" x14ac:dyDescent="0.25">
      <c r="A165" s="117"/>
      <c r="G165" s="84"/>
      <c r="H165" s="101">
        <v>160</v>
      </c>
      <c r="I165" s="102" t="str">
        <f t="shared" si="10"/>
        <v/>
      </c>
      <c r="J165" s="102">
        <f t="shared" si="13"/>
        <v>-5</v>
      </c>
      <c r="K165" s="101">
        <f t="shared" si="11"/>
        <v>-50</v>
      </c>
      <c r="L165" s="101"/>
      <c r="M165" s="103">
        <f t="shared" si="12"/>
        <v>0</v>
      </c>
    </row>
    <row r="166" spans="1:13" x14ac:dyDescent="0.25">
      <c r="A166" s="117"/>
      <c r="G166" s="84"/>
      <c r="H166" s="101">
        <v>161</v>
      </c>
      <c r="I166" s="102" t="str">
        <f t="shared" si="10"/>
        <v/>
      </c>
      <c r="J166" s="102">
        <f t="shared" si="13"/>
        <v>-5</v>
      </c>
      <c r="K166" s="101">
        <f t="shared" si="11"/>
        <v>-50</v>
      </c>
      <c r="L166" s="101"/>
      <c r="M166" s="103">
        <f t="shared" si="12"/>
        <v>0</v>
      </c>
    </row>
    <row r="167" spans="1:13" x14ac:dyDescent="0.25">
      <c r="A167" s="117"/>
      <c r="G167" s="84"/>
      <c r="H167" s="101">
        <v>162</v>
      </c>
      <c r="I167" s="102" t="str">
        <f t="shared" si="10"/>
        <v/>
      </c>
      <c r="J167" s="102">
        <f t="shared" si="13"/>
        <v>-5</v>
      </c>
      <c r="K167" s="101">
        <f t="shared" si="11"/>
        <v>-50</v>
      </c>
      <c r="L167" s="101"/>
      <c r="M167" s="103">
        <f t="shared" si="12"/>
        <v>0</v>
      </c>
    </row>
    <row r="168" spans="1:13" x14ac:dyDescent="0.25">
      <c r="A168" s="117"/>
      <c r="G168" s="84"/>
      <c r="H168" s="101">
        <v>163</v>
      </c>
      <c r="I168" s="102" t="str">
        <f t="shared" si="10"/>
        <v/>
      </c>
      <c r="J168" s="102">
        <f t="shared" si="13"/>
        <v>-5</v>
      </c>
      <c r="K168" s="101">
        <f t="shared" si="11"/>
        <v>-50</v>
      </c>
      <c r="L168" s="101"/>
      <c r="M168" s="103">
        <f t="shared" si="12"/>
        <v>0</v>
      </c>
    </row>
    <row r="169" spans="1:13" x14ac:dyDescent="0.25">
      <c r="A169" s="117"/>
      <c r="G169" s="84"/>
      <c r="H169" s="101">
        <v>164</v>
      </c>
      <c r="I169" s="102" t="str">
        <f t="shared" si="10"/>
        <v/>
      </c>
      <c r="J169" s="102">
        <f t="shared" si="13"/>
        <v>-5</v>
      </c>
      <c r="K169" s="101">
        <f t="shared" si="11"/>
        <v>-50</v>
      </c>
      <c r="L169" s="101"/>
      <c r="M169" s="103">
        <f t="shared" si="12"/>
        <v>0</v>
      </c>
    </row>
    <row r="170" spans="1:13" x14ac:dyDescent="0.25">
      <c r="A170" s="117"/>
      <c r="G170" s="84"/>
      <c r="H170" s="101">
        <v>165</v>
      </c>
      <c r="I170" s="102" t="str">
        <f t="shared" si="10"/>
        <v/>
      </c>
      <c r="J170" s="102">
        <f t="shared" si="13"/>
        <v>-5</v>
      </c>
      <c r="K170" s="101">
        <f t="shared" si="11"/>
        <v>-50</v>
      </c>
      <c r="L170" s="101"/>
      <c r="M170" s="103">
        <f t="shared" si="12"/>
        <v>0</v>
      </c>
    </row>
    <row r="171" spans="1:13" x14ac:dyDescent="0.25">
      <c r="A171" s="117"/>
      <c r="G171" s="84"/>
      <c r="H171" s="101">
        <v>166</v>
      </c>
      <c r="I171" s="102" t="str">
        <f t="shared" si="10"/>
        <v/>
      </c>
      <c r="J171" s="102">
        <f t="shared" si="13"/>
        <v>-5</v>
      </c>
      <c r="K171" s="101">
        <f t="shared" si="11"/>
        <v>-50</v>
      </c>
      <c r="L171" s="101"/>
      <c r="M171" s="103">
        <f t="shared" si="12"/>
        <v>0</v>
      </c>
    </row>
    <row r="172" spans="1:13" x14ac:dyDescent="0.25">
      <c r="A172" s="117"/>
      <c r="G172" s="84"/>
      <c r="H172" s="101">
        <v>167</v>
      </c>
      <c r="I172" s="102" t="str">
        <f t="shared" si="10"/>
        <v/>
      </c>
      <c r="J172" s="102">
        <f t="shared" si="13"/>
        <v>-5</v>
      </c>
      <c r="K172" s="101">
        <f t="shared" si="11"/>
        <v>-50</v>
      </c>
      <c r="L172" s="101"/>
      <c r="M172" s="103">
        <f t="shared" si="12"/>
        <v>0</v>
      </c>
    </row>
    <row r="173" spans="1:13" x14ac:dyDescent="0.25">
      <c r="A173" s="117"/>
      <c r="G173" s="84"/>
      <c r="H173" s="101">
        <v>168</v>
      </c>
      <c r="I173" s="102" t="str">
        <f t="shared" si="10"/>
        <v/>
      </c>
      <c r="J173" s="102">
        <f t="shared" si="13"/>
        <v>-5</v>
      </c>
      <c r="K173" s="101">
        <f t="shared" si="11"/>
        <v>-50</v>
      </c>
      <c r="L173" s="101"/>
      <c r="M173" s="103">
        <f t="shared" si="12"/>
        <v>0</v>
      </c>
    </row>
    <row r="174" spans="1:13" x14ac:dyDescent="0.25">
      <c r="A174" s="117"/>
      <c r="G174" s="84"/>
      <c r="H174" s="101">
        <v>169</v>
      </c>
      <c r="I174" s="102" t="str">
        <f t="shared" si="10"/>
        <v/>
      </c>
      <c r="J174" s="102">
        <f t="shared" si="13"/>
        <v>-5</v>
      </c>
      <c r="K174" s="101">
        <f t="shared" si="11"/>
        <v>-50</v>
      </c>
      <c r="L174" s="101"/>
      <c r="M174" s="103">
        <f t="shared" si="12"/>
        <v>0</v>
      </c>
    </row>
    <row r="175" spans="1:13" x14ac:dyDescent="0.25">
      <c r="A175" s="117"/>
      <c r="G175" s="84"/>
      <c r="H175" s="101">
        <v>170</v>
      </c>
      <c r="I175" s="102" t="str">
        <f t="shared" si="10"/>
        <v/>
      </c>
      <c r="J175" s="102">
        <f t="shared" si="13"/>
        <v>-5</v>
      </c>
      <c r="K175" s="101">
        <f t="shared" si="11"/>
        <v>-50</v>
      </c>
      <c r="L175" s="101"/>
      <c r="M175" s="103">
        <f t="shared" si="12"/>
        <v>0</v>
      </c>
    </row>
    <row r="176" spans="1:13" x14ac:dyDescent="0.25">
      <c r="A176" s="117"/>
      <c r="G176" s="84"/>
      <c r="H176" s="101">
        <v>171</v>
      </c>
      <c r="I176" s="102" t="str">
        <f t="shared" si="10"/>
        <v/>
      </c>
      <c r="J176" s="102">
        <f t="shared" si="13"/>
        <v>-5</v>
      </c>
      <c r="K176" s="101">
        <f t="shared" si="11"/>
        <v>-50</v>
      </c>
      <c r="L176" s="101"/>
      <c r="M176" s="103">
        <f t="shared" si="12"/>
        <v>0</v>
      </c>
    </row>
    <row r="177" spans="1:13" x14ac:dyDescent="0.25">
      <c r="A177" s="117"/>
      <c r="G177" s="84"/>
      <c r="H177" s="101">
        <v>172</v>
      </c>
      <c r="I177" s="102" t="str">
        <f t="shared" si="10"/>
        <v/>
      </c>
      <c r="J177" s="102">
        <f t="shared" si="13"/>
        <v>-5</v>
      </c>
      <c r="K177" s="101">
        <f t="shared" si="11"/>
        <v>-50</v>
      </c>
      <c r="L177" s="101"/>
      <c r="M177" s="103">
        <f t="shared" si="12"/>
        <v>0</v>
      </c>
    </row>
    <row r="178" spans="1:13" x14ac:dyDescent="0.25">
      <c r="A178" s="117"/>
      <c r="G178" s="84"/>
      <c r="H178" s="101">
        <v>173</v>
      </c>
      <c r="I178" s="102" t="str">
        <f t="shared" si="10"/>
        <v/>
      </c>
      <c r="J178" s="102">
        <f t="shared" si="13"/>
        <v>-5</v>
      </c>
      <c r="K178" s="101">
        <f t="shared" si="11"/>
        <v>-50</v>
      </c>
      <c r="L178" s="101"/>
      <c r="M178" s="103">
        <f t="shared" si="12"/>
        <v>0</v>
      </c>
    </row>
    <row r="179" spans="1:13" x14ac:dyDescent="0.25">
      <c r="A179" s="117"/>
      <c r="G179" s="84"/>
      <c r="H179" s="101">
        <v>174</v>
      </c>
      <c r="I179" s="102" t="str">
        <f t="shared" si="10"/>
        <v/>
      </c>
      <c r="J179" s="102">
        <f t="shared" si="13"/>
        <v>-5</v>
      </c>
      <c r="K179" s="101">
        <f t="shared" si="11"/>
        <v>-50</v>
      </c>
      <c r="L179" s="101"/>
      <c r="M179" s="103">
        <f t="shared" si="12"/>
        <v>0</v>
      </c>
    </row>
    <row r="180" spans="1:13" x14ac:dyDescent="0.25">
      <c r="A180" s="117"/>
      <c r="G180" s="84"/>
      <c r="H180" s="101">
        <v>175</v>
      </c>
      <c r="I180" s="102" t="str">
        <f t="shared" si="10"/>
        <v/>
      </c>
      <c r="J180" s="102">
        <f t="shared" si="13"/>
        <v>-5</v>
      </c>
      <c r="K180" s="101">
        <f t="shared" si="11"/>
        <v>-50</v>
      </c>
      <c r="L180" s="101"/>
      <c r="M180" s="103">
        <f t="shared" si="12"/>
        <v>0</v>
      </c>
    </row>
    <row r="181" spans="1:13" x14ac:dyDescent="0.25">
      <c r="A181" s="117"/>
      <c r="G181" s="84"/>
      <c r="H181" s="101">
        <v>176</v>
      </c>
      <c r="I181" s="102" t="str">
        <f t="shared" si="10"/>
        <v/>
      </c>
      <c r="J181" s="102">
        <f t="shared" si="13"/>
        <v>-5</v>
      </c>
      <c r="K181" s="101">
        <f t="shared" si="11"/>
        <v>-50</v>
      </c>
      <c r="L181" s="101"/>
      <c r="M181" s="103">
        <f t="shared" si="12"/>
        <v>0</v>
      </c>
    </row>
    <row r="182" spans="1:13" x14ac:dyDescent="0.25">
      <c r="A182" s="117"/>
      <c r="G182" s="84"/>
      <c r="H182" s="101">
        <v>177</v>
      </c>
      <c r="I182" s="102" t="str">
        <f t="shared" si="10"/>
        <v/>
      </c>
      <c r="J182" s="102">
        <f t="shared" si="13"/>
        <v>-5</v>
      </c>
      <c r="K182" s="101">
        <f t="shared" si="11"/>
        <v>-50</v>
      </c>
      <c r="L182" s="101"/>
      <c r="M182" s="103">
        <f t="shared" si="12"/>
        <v>0</v>
      </c>
    </row>
    <row r="183" spans="1:13" x14ac:dyDescent="0.25">
      <c r="A183" s="117"/>
      <c r="G183" s="84"/>
      <c r="H183" s="101">
        <v>178</v>
      </c>
      <c r="I183" s="102" t="str">
        <f t="shared" si="10"/>
        <v/>
      </c>
      <c r="J183" s="102">
        <f t="shared" si="13"/>
        <v>-5</v>
      </c>
      <c r="K183" s="101">
        <f t="shared" si="11"/>
        <v>-50</v>
      </c>
      <c r="L183" s="101"/>
      <c r="M183" s="103">
        <f t="shared" si="12"/>
        <v>0</v>
      </c>
    </row>
    <row r="184" spans="1:13" x14ac:dyDescent="0.25">
      <c r="A184" s="117"/>
      <c r="G184" s="84"/>
      <c r="H184" s="101">
        <v>179</v>
      </c>
      <c r="I184" s="102" t="str">
        <f t="shared" si="10"/>
        <v/>
      </c>
      <c r="J184" s="102">
        <f t="shared" si="13"/>
        <v>-5</v>
      </c>
      <c r="K184" s="101">
        <f t="shared" si="11"/>
        <v>-50</v>
      </c>
      <c r="L184" s="101"/>
      <c r="M184" s="103">
        <f t="shared" si="12"/>
        <v>0</v>
      </c>
    </row>
    <row r="185" spans="1:13" x14ac:dyDescent="0.25">
      <c r="A185" s="117"/>
      <c r="G185" s="84"/>
      <c r="H185" s="101">
        <v>180</v>
      </c>
      <c r="I185" s="102" t="str">
        <f t="shared" si="10"/>
        <v/>
      </c>
      <c r="J185" s="102">
        <f t="shared" si="13"/>
        <v>-5</v>
      </c>
      <c r="K185" s="101">
        <f t="shared" si="11"/>
        <v>-50</v>
      </c>
      <c r="L185" s="101"/>
      <c r="M185" s="103">
        <f t="shared" si="12"/>
        <v>0</v>
      </c>
    </row>
    <row r="186" spans="1:13" x14ac:dyDescent="0.25">
      <c r="A186" s="117"/>
      <c r="G186" s="84"/>
      <c r="H186" s="101">
        <v>181</v>
      </c>
      <c r="I186" s="102" t="str">
        <f t="shared" si="10"/>
        <v/>
      </c>
      <c r="J186" s="102">
        <f t="shared" si="13"/>
        <v>-5</v>
      </c>
      <c r="K186" s="101">
        <f t="shared" si="11"/>
        <v>-50</v>
      </c>
      <c r="L186" s="101"/>
      <c r="M186" s="103">
        <f t="shared" si="12"/>
        <v>0</v>
      </c>
    </row>
    <row r="187" spans="1:13" x14ac:dyDescent="0.25">
      <c r="A187" s="117"/>
      <c r="G187" s="84"/>
      <c r="H187" s="101">
        <v>182</v>
      </c>
      <c r="I187" s="102" t="str">
        <f t="shared" si="10"/>
        <v/>
      </c>
      <c r="J187" s="102">
        <f t="shared" si="13"/>
        <v>-5</v>
      </c>
      <c r="K187" s="101">
        <f t="shared" si="11"/>
        <v>-50</v>
      </c>
      <c r="L187" s="101"/>
      <c r="M187" s="103">
        <f t="shared" si="12"/>
        <v>0</v>
      </c>
    </row>
    <row r="188" spans="1:13" x14ac:dyDescent="0.25">
      <c r="A188" s="117"/>
      <c r="G188" s="84"/>
      <c r="H188" s="101">
        <v>183</v>
      </c>
      <c r="I188" s="102" t="str">
        <f t="shared" si="10"/>
        <v/>
      </c>
      <c r="J188" s="102">
        <f t="shared" si="13"/>
        <v>-5</v>
      </c>
      <c r="K188" s="101">
        <f t="shared" si="11"/>
        <v>-50</v>
      </c>
      <c r="L188" s="101"/>
      <c r="M188" s="103">
        <f t="shared" si="12"/>
        <v>0</v>
      </c>
    </row>
    <row r="189" spans="1:13" x14ac:dyDescent="0.25">
      <c r="A189" s="117"/>
      <c r="G189" s="84"/>
      <c r="H189" s="101">
        <v>184</v>
      </c>
      <c r="I189" s="102" t="str">
        <f t="shared" si="10"/>
        <v/>
      </c>
      <c r="J189" s="102">
        <f t="shared" si="13"/>
        <v>-5</v>
      </c>
      <c r="K189" s="101">
        <f t="shared" si="11"/>
        <v>-50</v>
      </c>
      <c r="L189" s="101"/>
      <c r="M189" s="103">
        <f t="shared" si="12"/>
        <v>0</v>
      </c>
    </row>
    <row r="190" spans="1:13" x14ac:dyDescent="0.25">
      <c r="A190" s="117"/>
      <c r="G190" s="84"/>
      <c r="H190" s="101">
        <v>185</v>
      </c>
      <c r="I190" s="102" t="str">
        <f t="shared" si="10"/>
        <v/>
      </c>
      <c r="J190" s="102">
        <f t="shared" si="13"/>
        <v>-5</v>
      </c>
      <c r="K190" s="101">
        <f t="shared" si="11"/>
        <v>-50</v>
      </c>
      <c r="L190" s="101"/>
      <c r="M190" s="103">
        <f t="shared" si="12"/>
        <v>0</v>
      </c>
    </row>
    <row r="191" spans="1:13" x14ac:dyDescent="0.25">
      <c r="A191" s="117"/>
      <c r="G191" s="84"/>
      <c r="H191" s="101">
        <v>186</v>
      </c>
      <c r="I191" s="102" t="str">
        <f t="shared" si="10"/>
        <v/>
      </c>
      <c r="J191" s="102">
        <f t="shared" si="13"/>
        <v>-5</v>
      </c>
      <c r="K191" s="101">
        <f t="shared" si="11"/>
        <v>-50</v>
      </c>
      <c r="L191" s="101"/>
      <c r="M191" s="103">
        <f t="shared" si="12"/>
        <v>0</v>
      </c>
    </row>
    <row r="192" spans="1:13" x14ac:dyDescent="0.25">
      <c r="A192" s="117"/>
      <c r="G192" s="84"/>
      <c r="H192" s="101">
        <v>187</v>
      </c>
      <c r="I192" s="102" t="str">
        <f t="shared" si="10"/>
        <v/>
      </c>
      <c r="J192" s="102">
        <f t="shared" si="13"/>
        <v>-5</v>
      </c>
      <c r="K192" s="101">
        <f t="shared" si="11"/>
        <v>-50</v>
      </c>
      <c r="L192" s="101"/>
      <c r="M192" s="103">
        <f t="shared" si="12"/>
        <v>0</v>
      </c>
    </row>
    <row r="193" spans="1:13" x14ac:dyDescent="0.25">
      <c r="A193" s="117"/>
      <c r="G193" s="84"/>
      <c r="H193" s="101">
        <v>188</v>
      </c>
      <c r="I193" s="102" t="str">
        <f t="shared" si="10"/>
        <v/>
      </c>
      <c r="J193" s="102">
        <f t="shared" si="13"/>
        <v>-5</v>
      </c>
      <c r="K193" s="101">
        <f t="shared" si="11"/>
        <v>-50</v>
      </c>
      <c r="L193" s="101"/>
      <c r="M193" s="103">
        <f t="shared" si="12"/>
        <v>0</v>
      </c>
    </row>
    <row r="194" spans="1:13" x14ac:dyDescent="0.25">
      <c r="A194" s="117"/>
      <c r="G194" s="84"/>
      <c r="H194" s="101">
        <v>189</v>
      </c>
      <c r="I194" s="102" t="str">
        <f t="shared" si="10"/>
        <v/>
      </c>
      <c r="J194" s="102">
        <f t="shared" si="13"/>
        <v>-5</v>
      </c>
      <c r="K194" s="101">
        <f t="shared" si="11"/>
        <v>-50</v>
      </c>
      <c r="L194" s="101"/>
      <c r="M194" s="103">
        <f t="shared" si="12"/>
        <v>0</v>
      </c>
    </row>
    <row r="195" spans="1:13" x14ac:dyDescent="0.25">
      <c r="A195" s="117"/>
      <c r="G195" s="84"/>
      <c r="H195" s="101">
        <v>190</v>
      </c>
      <c r="I195" s="102" t="str">
        <f t="shared" si="10"/>
        <v/>
      </c>
      <c r="J195" s="102">
        <f t="shared" si="13"/>
        <v>-5</v>
      </c>
      <c r="K195" s="101">
        <f t="shared" si="11"/>
        <v>-50</v>
      </c>
      <c r="L195" s="101"/>
      <c r="M195" s="103">
        <f t="shared" si="12"/>
        <v>0</v>
      </c>
    </row>
    <row r="196" spans="1:13" x14ac:dyDescent="0.25">
      <c r="A196" s="117"/>
      <c r="G196" s="84"/>
      <c r="H196" s="101">
        <v>191</v>
      </c>
      <c r="I196" s="102" t="str">
        <f t="shared" si="10"/>
        <v/>
      </c>
      <c r="J196" s="102">
        <f t="shared" si="13"/>
        <v>-5</v>
      </c>
      <c r="K196" s="101">
        <f t="shared" si="11"/>
        <v>-50</v>
      </c>
      <c r="L196" s="101"/>
      <c r="M196" s="103">
        <f t="shared" si="12"/>
        <v>0</v>
      </c>
    </row>
    <row r="197" spans="1:13" x14ac:dyDescent="0.25">
      <c r="A197" s="117"/>
      <c r="G197" s="84"/>
      <c r="H197" s="101">
        <v>192</v>
      </c>
      <c r="I197" s="102" t="str">
        <f t="shared" si="10"/>
        <v/>
      </c>
      <c r="J197" s="102">
        <f t="shared" si="13"/>
        <v>-5</v>
      </c>
      <c r="K197" s="101">
        <f t="shared" si="11"/>
        <v>-50</v>
      </c>
      <c r="L197" s="101"/>
      <c r="M197" s="103">
        <f t="shared" si="12"/>
        <v>0</v>
      </c>
    </row>
    <row r="198" spans="1:13" x14ac:dyDescent="0.25">
      <c r="A198" s="117"/>
      <c r="G198" s="84"/>
      <c r="H198" s="101">
        <v>193</v>
      </c>
      <c r="I198" s="102" t="str">
        <f t="shared" ref="I198:I261" si="14">IF(H198&lt;$H$2+1,($I$2-($I$2-1)*(LOG(H198)/LOG($H$2))),"")</f>
        <v/>
      </c>
      <c r="J198" s="102">
        <f t="shared" si="13"/>
        <v>-5</v>
      </c>
      <c r="K198" s="101">
        <f t="shared" ref="K198:K261" si="15">J198*$J$2</f>
        <v>-50</v>
      </c>
      <c r="L198" s="101"/>
      <c r="M198" s="103">
        <f t="shared" ref="M198:M261" si="16">IF(I198&lt;&gt;"",K198+I198+L198,0)</f>
        <v>0</v>
      </c>
    </row>
    <row r="199" spans="1:13" x14ac:dyDescent="0.25">
      <c r="A199" s="117"/>
      <c r="G199" s="84"/>
      <c r="H199" s="101">
        <v>194</v>
      </c>
      <c r="I199" s="102" t="str">
        <f t="shared" si="14"/>
        <v/>
      </c>
      <c r="J199" s="102">
        <f t="shared" ref="J199:J262" si="17">INT(LOG($H$2,2))-ROUNDUP(LOG(H199,2),0)+IF(OR($H$2=1,$H$2=2,$H$2=4,$H$2=8,$H$2=16,$H$2=32,$H$2=64,$H$2=128,$H$2=256),0,1)</f>
        <v>-5</v>
      </c>
      <c r="K199" s="101">
        <f t="shared" si="15"/>
        <v>-50</v>
      </c>
      <c r="L199" s="101"/>
      <c r="M199" s="103">
        <f t="shared" si="16"/>
        <v>0</v>
      </c>
    </row>
    <row r="200" spans="1:13" x14ac:dyDescent="0.25">
      <c r="A200" s="117"/>
      <c r="G200" s="84"/>
      <c r="H200" s="101">
        <v>195</v>
      </c>
      <c r="I200" s="102" t="str">
        <f t="shared" si="14"/>
        <v/>
      </c>
      <c r="J200" s="102">
        <f t="shared" si="17"/>
        <v>-5</v>
      </c>
      <c r="K200" s="101">
        <f t="shared" si="15"/>
        <v>-50</v>
      </c>
      <c r="L200" s="101"/>
      <c r="M200" s="103">
        <f t="shared" si="16"/>
        <v>0</v>
      </c>
    </row>
    <row r="201" spans="1:13" x14ac:dyDescent="0.25">
      <c r="A201" s="117"/>
      <c r="G201" s="84"/>
      <c r="H201" s="101">
        <v>196</v>
      </c>
      <c r="I201" s="102" t="str">
        <f t="shared" si="14"/>
        <v/>
      </c>
      <c r="J201" s="102">
        <f t="shared" si="17"/>
        <v>-5</v>
      </c>
      <c r="K201" s="101">
        <f t="shared" si="15"/>
        <v>-50</v>
      </c>
      <c r="L201" s="101"/>
      <c r="M201" s="103">
        <f t="shared" si="16"/>
        <v>0</v>
      </c>
    </row>
    <row r="202" spans="1:13" x14ac:dyDescent="0.25">
      <c r="A202" s="117"/>
      <c r="G202" s="84"/>
      <c r="H202" s="101">
        <v>197</v>
      </c>
      <c r="I202" s="102" t="str">
        <f t="shared" si="14"/>
        <v/>
      </c>
      <c r="J202" s="102">
        <f t="shared" si="17"/>
        <v>-5</v>
      </c>
      <c r="K202" s="101">
        <f t="shared" si="15"/>
        <v>-50</v>
      </c>
      <c r="L202" s="101"/>
      <c r="M202" s="103">
        <f t="shared" si="16"/>
        <v>0</v>
      </c>
    </row>
    <row r="203" spans="1:13" x14ac:dyDescent="0.25">
      <c r="A203" s="117"/>
      <c r="G203" s="84"/>
      <c r="H203" s="101">
        <v>198</v>
      </c>
      <c r="I203" s="102" t="str">
        <f t="shared" si="14"/>
        <v/>
      </c>
      <c r="J203" s="102">
        <f t="shared" si="17"/>
        <v>-5</v>
      </c>
      <c r="K203" s="101">
        <f t="shared" si="15"/>
        <v>-50</v>
      </c>
      <c r="L203" s="101"/>
      <c r="M203" s="103">
        <f t="shared" si="16"/>
        <v>0</v>
      </c>
    </row>
    <row r="204" spans="1:13" x14ac:dyDescent="0.25">
      <c r="A204" s="117"/>
      <c r="G204" s="84"/>
      <c r="H204" s="101">
        <v>199</v>
      </c>
      <c r="I204" s="102" t="str">
        <f t="shared" si="14"/>
        <v/>
      </c>
      <c r="J204" s="102">
        <f t="shared" si="17"/>
        <v>-5</v>
      </c>
      <c r="K204" s="101">
        <f t="shared" si="15"/>
        <v>-50</v>
      </c>
      <c r="L204" s="101"/>
      <c r="M204" s="103">
        <f t="shared" si="16"/>
        <v>0</v>
      </c>
    </row>
    <row r="205" spans="1:13" x14ac:dyDescent="0.25">
      <c r="A205" s="117"/>
      <c r="G205" s="84"/>
      <c r="H205" s="101">
        <v>200</v>
      </c>
      <c r="I205" s="102" t="str">
        <f t="shared" si="14"/>
        <v/>
      </c>
      <c r="J205" s="102">
        <f t="shared" si="17"/>
        <v>-5</v>
      </c>
      <c r="K205" s="101">
        <f t="shared" si="15"/>
        <v>-50</v>
      </c>
      <c r="L205" s="101"/>
      <c r="M205" s="103">
        <f t="shared" si="16"/>
        <v>0</v>
      </c>
    </row>
    <row r="206" spans="1:13" x14ac:dyDescent="0.25">
      <c r="A206" s="117"/>
      <c r="G206" s="84"/>
      <c r="H206" s="101">
        <v>201</v>
      </c>
      <c r="I206" s="102" t="str">
        <f t="shared" si="14"/>
        <v/>
      </c>
      <c r="J206" s="102">
        <f t="shared" si="17"/>
        <v>-5</v>
      </c>
      <c r="K206" s="101">
        <f t="shared" si="15"/>
        <v>-50</v>
      </c>
      <c r="L206" s="101"/>
      <c r="M206" s="103">
        <f t="shared" si="16"/>
        <v>0</v>
      </c>
    </row>
    <row r="207" spans="1:13" x14ac:dyDescent="0.25">
      <c r="A207" s="117"/>
      <c r="G207" s="84"/>
      <c r="H207" s="101">
        <v>202</v>
      </c>
      <c r="I207" s="102" t="str">
        <f t="shared" si="14"/>
        <v/>
      </c>
      <c r="J207" s="102">
        <f t="shared" si="17"/>
        <v>-5</v>
      </c>
      <c r="K207" s="101">
        <f t="shared" si="15"/>
        <v>-50</v>
      </c>
      <c r="L207" s="101"/>
      <c r="M207" s="103">
        <f t="shared" si="16"/>
        <v>0</v>
      </c>
    </row>
    <row r="208" spans="1:13" x14ac:dyDescent="0.25">
      <c r="A208" s="117"/>
      <c r="G208" s="84"/>
      <c r="H208" s="101">
        <v>203</v>
      </c>
      <c r="I208" s="102" t="str">
        <f t="shared" si="14"/>
        <v/>
      </c>
      <c r="J208" s="102">
        <f t="shared" si="17"/>
        <v>-5</v>
      </c>
      <c r="K208" s="101">
        <f t="shared" si="15"/>
        <v>-50</v>
      </c>
      <c r="L208" s="101"/>
      <c r="M208" s="103">
        <f t="shared" si="16"/>
        <v>0</v>
      </c>
    </row>
    <row r="209" spans="1:13" x14ac:dyDescent="0.25">
      <c r="A209" s="117"/>
      <c r="G209" s="84"/>
      <c r="H209" s="101">
        <v>204</v>
      </c>
      <c r="I209" s="102" t="str">
        <f t="shared" si="14"/>
        <v/>
      </c>
      <c r="J209" s="102">
        <f t="shared" si="17"/>
        <v>-5</v>
      </c>
      <c r="K209" s="101">
        <f t="shared" si="15"/>
        <v>-50</v>
      </c>
      <c r="L209" s="101"/>
      <c r="M209" s="103">
        <f t="shared" si="16"/>
        <v>0</v>
      </c>
    </row>
    <row r="210" spans="1:13" x14ac:dyDescent="0.25">
      <c r="A210" s="117"/>
      <c r="G210" s="84"/>
      <c r="H210" s="101">
        <v>205</v>
      </c>
      <c r="I210" s="102" t="str">
        <f t="shared" si="14"/>
        <v/>
      </c>
      <c r="J210" s="102">
        <f t="shared" si="17"/>
        <v>-5</v>
      </c>
      <c r="K210" s="101">
        <f t="shared" si="15"/>
        <v>-50</v>
      </c>
      <c r="L210" s="101"/>
      <c r="M210" s="103">
        <f t="shared" si="16"/>
        <v>0</v>
      </c>
    </row>
    <row r="211" spans="1:13" x14ac:dyDescent="0.25">
      <c r="A211" s="117"/>
      <c r="G211" s="84"/>
      <c r="H211" s="101">
        <v>206</v>
      </c>
      <c r="I211" s="102" t="str">
        <f t="shared" si="14"/>
        <v/>
      </c>
      <c r="J211" s="102">
        <f t="shared" si="17"/>
        <v>-5</v>
      </c>
      <c r="K211" s="101">
        <f t="shared" si="15"/>
        <v>-50</v>
      </c>
      <c r="L211" s="101"/>
      <c r="M211" s="103">
        <f t="shared" si="16"/>
        <v>0</v>
      </c>
    </row>
    <row r="212" spans="1:13" x14ac:dyDescent="0.25">
      <c r="A212" s="117"/>
      <c r="G212" s="84"/>
      <c r="H212" s="101">
        <v>207</v>
      </c>
      <c r="I212" s="102" t="str">
        <f t="shared" si="14"/>
        <v/>
      </c>
      <c r="J212" s="102">
        <f t="shared" si="17"/>
        <v>-5</v>
      </c>
      <c r="K212" s="101">
        <f t="shared" si="15"/>
        <v>-50</v>
      </c>
      <c r="L212" s="101"/>
      <c r="M212" s="103">
        <f t="shared" si="16"/>
        <v>0</v>
      </c>
    </row>
    <row r="213" spans="1:13" x14ac:dyDescent="0.25">
      <c r="A213" s="117"/>
      <c r="G213" s="84"/>
      <c r="H213" s="101">
        <v>208</v>
      </c>
      <c r="I213" s="102" t="str">
        <f t="shared" si="14"/>
        <v/>
      </c>
      <c r="J213" s="102">
        <f t="shared" si="17"/>
        <v>-5</v>
      </c>
      <c r="K213" s="101">
        <f t="shared" si="15"/>
        <v>-50</v>
      </c>
      <c r="L213" s="101"/>
      <c r="M213" s="103">
        <f t="shared" si="16"/>
        <v>0</v>
      </c>
    </row>
    <row r="214" spans="1:13" x14ac:dyDescent="0.25">
      <c r="A214" s="117"/>
      <c r="G214" s="84"/>
      <c r="H214" s="101">
        <v>209</v>
      </c>
      <c r="I214" s="102" t="str">
        <f t="shared" si="14"/>
        <v/>
      </c>
      <c r="J214" s="102">
        <f t="shared" si="17"/>
        <v>-5</v>
      </c>
      <c r="K214" s="101">
        <f t="shared" si="15"/>
        <v>-50</v>
      </c>
      <c r="L214" s="101"/>
      <c r="M214" s="103">
        <f t="shared" si="16"/>
        <v>0</v>
      </c>
    </row>
    <row r="215" spans="1:13" x14ac:dyDescent="0.25">
      <c r="A215" s="117"/>
      <c r="G215" s="84"/>
      <c r="H215" s="101">
        <v>210</v>
      </c>
      <c r="I215" s="102" t="str">
        <f t="shared" si="14"/>
        <v/>
      </c>
      <c r="J215" s="102">
        <f t="shared" si="17"/>
        <v>-5</v>
      </c>
      <c r="K215" s="101">
        <f t="shared" si="15"/>
        <v>-50</v>
      </c>
      <c r="L215" s="101"/>
      <c r="M215" s="103">
        <f t="shared" si="16"/>
        <v>0</v>
      </c>
    </row>
    <row r="216" spans="1:13" x14ac:dyDescent="0.25">
      <c r="A216" s="117"/>
      <c r="G216" s="84"/>
      <c r="H216" s="101">
        <v>211</v>
      </c>
      <c r="I216" s="102" t="str">
        <f t="shared" si="14"/>
        <v/>
      </c>
      <c r="J216" s="102">
        <f t="shared" si="17"/>
        <v>-5</v>
      </c>
      <c r="K216" s="101">
        <f t="shared" si="15"/>
        <v>-50</v>
      </c>
      <c r="L216" s="101"/>
      <c r="M216" s="103">
        <f t="shared" si="16"/>
        <v>0</v>
      </c>
    </row>
    <row r="217" spans="1:13" x14ac:dyDescent="0.25">
      <c r="A217" s="117"/>
      <c r="G217" s="84"/>
      <c r="H217" s="101">
        <v>212</v>
      </c>
      <c r="I217" s="102" t="str">
        <f t="shared" si="14"/>
        <v/>
      </c>
      <c r="J217" s="102">
        <f t="shared" si="17"/>
        <v>-5</v>
      </c>
      <c r="K217" s="101">
        <f t="shared" si="15"/>
        <v>-50</v>
      </c>
      <c r="L217" s="101"/>
      <c r="M217" s="103">
        <f t="shared" si="16"/>
        <v>0</v>
      </c>
    </row>
    <row r="218" spans="1:13" x14ac:dyDescent="0.25">
      <c r="A218" s="117"/>
      <c r="G218" s="84"/>
      <c r="H218" s="101">
        <v>213</v>
      </c>
      <c r="I218" s="102" t="str">
        <f t="shared" si="14"/>
        <v/>
      </c>
      <c r="J218" s="102">
        <f t="shared" si="17"/>
        <v>-5</v>
      </c>
      <c r="K218" s="101">
        <f t="shared" si="15"/>
        <v>-50</v>
      </c>
      <c r="L218" s="101"/>
      <c r="M218" s="103">
        <f t="shared" si="16"/>
        <v>0</v>
      </c>
    </row>
    <row r="219" spans="1:13" x14ac:dyDescent="0.25">
      <c r="A219" s="117"/>
      <c r="G219" s="84"/>
      <c r="H219" s="101">
        <v>214</v>
      </c>
      <c r="I219" s="102" t="str">
        <f t="shared" si="14"/>
        <v/>
      </c>
      <c r="J219" s="102">
        <f t="shared" si="17"/>
        <v>-5</v>
      </c>
      <c r="K219" s="101">
        <f t="shared" si="15"/>
        <v>-50</v>
      </c>
      <c r="L219" s="101"/>
      <c r="M219" s="103">
        <f t="shared" si="16"/>
        <v>0</v>
      </c>
    </row>
    <row r="220" spans="1:13" x14ac:dyDescent="0.25">
      <c r="A220" s="117"/>
      <c r="G220" s="84"/>
      <c r="H220" s="101">
        <v>215</v>
      </c>
      <c r="I220" s="102" t="str">
        <f t="shared" si="14"/>
        <v/>
      </c>
      <c r="J220" s="102">
        <f t="shared" si="17"/>
        <v>-5</v>
      </c>
      <c r="K220" s="101">
        <f t="shared" si="15"/>
        <v>-50</v>
      </c>
      <c r="L220" s="101"/>
      <c r="M220" s="103">
        <f t="shared" si="16"/>
        <v>0</v>
      </c>
    </row>
    <row r="221" spans="1:13" x14ac:dyDescent="0.25">
      <c r="A221" s="117"/>
      <c r="G221" s="84"/>
      <c r="H221" s="101">
        <v>216</v>
      </c>
      <c r="I221" s="102" t="str">
        <f t="shared" si="14"/>
        <v/>
      </c>
      <c r="J221" s="102">
        <f t="shared" si="17"/>
        <v>-5</v>
      </c>
      <c r="K221" s="101">
        <f t="shared" si="15"/>
        <v>-50</v>
      </c>
      <c r="L221" s="101"/>
      <c r="M221" s="103">
        <f t="shared" si="16"/>
        <v>0</v>
      </c>
    </row>
    <row r="222" spans="1:13" x14ac:dyDescent="0.25">
      <c r="A222" s="117"/>
      <c r="G222" s="84"/>
      <c r="H222" s="101">
        <v>217</v>
      </c>
      <c r="I222" s="102" t="str">
        <f t="shared" si="14"/>
        <v/>
      </c>
      <c r="J222" s="102">
        <f t="shared" si="17"/>
        <v>-5</v>
      </c>
      <c r="K222" s="101">
        <f t="shared" si="15"/>
        <v>-50</v>
      </c>
      <c r="L222" s="101"/>
      <c r="M222" s="103">
        <f t="shared" si="16"/>
        <v>0</v>
      </c>
    </row>
    <row r="223" spans="1:13" x14ac:dyDescent="0.25">
      <c r="A223" s="117"/>
      <c r="G223" s="84"/>
      <c r="H223" s="101">
        <v>218</v>
      </c>
      <c r="I223" s="102" t="str">
        <f t="shared" si="14"/>
        <v/>
      </c>
      <c r="J223" s="102">
        <f t="shared" si="17"/>
        <v>-5</v>
      </c>
      <c r="K223" s="101">
        <f t="shared" si="15"/>
        <v>-50</v>
      </c>
      <c r="L223" s="101"/>
      <c r="M223" s="103">
        <f t="shared" si="16"/>
        <v>0</v>
      </c>
    </row>
    <row r="224" spans="1:13" x14ac:dyDescent="0.25">
      <c r="A224" s="117"/>
      <c r="G224" s="84"/>
      <c r="H224" s="101">
        <v>219</v>
      </c>
      <c r="I224" s="102" t="str">
        <f t="shared" si="14"/>
        <v/>
      </c>
      <c r="J224" s="102">
        <f t="shared" si="17"/>
        <v>-5</v>
      </c>
      <c r="K224" s="101">
        <f t="shared" si="15"/>
        <v>-50</v>
      </c>
      <c r="L224" s="101"/>
      <c r="M224" s="103">
        <f t="shared" si="16"/>
        <v>0</v>
      </c>
    </row>
    <row r="225" spans="1:13" x14ac:dyDescent="0.25">
      <c r="A225" s="117"/>
      <c r="G225" s="84"/>
      <c r="H225" s="101">
        <v>220</v>
      </c>
      <c r="I225" s="102" t="str">
        <f t="shared" si="14"/>
        <v/>
      </c>
      <c r="J225" s="102">
        <f t="shared" si="17"/>
        <v>-5</v>
      </c>
      <c r="K225" s="101">
        <f t="shared" si="15"/>
        <v>-50</v>
      </c>
      <c r="L225" s="101"/>
      <c r="M225" s="103">
        <f t="shared" si="16"/>
        <v>0</v>
      </c>
    </row>
    <row r="226" spans="1:13" x14ac:dyDescent="0.25">
      <c r="A226" s="117"/>
      <c r="G226" s="84"/>
      <c r="H226" s="101">
        <v>221</v>
      </c>
      <c r="I226" s="102" t="str">
        <f t="shared" si="14"/>
        <v/>
      </c>
      <c r="J226" s="102">
        <f t="shared" si="17"/>
        <v>-5</v>
      </c>
      <c r="K226" s="101">
        <f t="shared" si="15"/>
        <v>-50</v>
      </c>
      <c r="L226" s="101"/>
      <c r="M226" s="103">
        <f t="shared" si="16"/>
        <v>0</v>
      </c>
    </row>
    <row r="227" spans="1:13" x14ac:dyDescent="0.25">
      <c r="A227" s="117"/>
      <c r="G227" s="84"/>
      <c r="H227" s="101">
        <v>222</v>
      </c>
      <c r="I227" s="102" t="str">
        <f t="shared" si="14"/>
        <v/>
      </c>
      <c r="J227" s="102">
        <f t="shared" si="17"/>
        <v>-5</v>
      </c>
      <c r="K227" s="101">
        <f t="shared" si="15"/>
        <v>-50</v>
      </c>
      <c r="L227" s="101"/>
      <c r="M227" s="103">
        <f t="shared" si="16"/>
        <v>0</v>
      </c>
    </row>
    <row r="228" spans="1:13" x14ac:dyDescent="0.25">
      <c r="A228" s="117"/>
      <c r="G228" s="84"/>
      <c r="H228" s="101">
        <v>223</v>
      </c>
      <c r="I228" s="102" t="str">
        <f t="shared" si="14"/>
        <v/>
      </c>
      <c r="J228" s="102">
        <f t="shared" si="17"/>
        <v>-5</v>
      </c>
      <c r="K228" s="101">
        <f t="shared" si="15"/>
        <v>-50</v>
      </c>
      <c r="L228" s="101"/>
      <c r="M228" s="103">
        <f t="shared" si="16"/>
        <v>0</v>
      </c>
    </row>
    <row r="229" spans="1:13" x14ac:dyDescent="0.25">
      <c r="A229" s="117"/>
      <c r="G229" s="84"/>
      <c r="H229" s="101">
        <v>224</v>
      </c>
      <c r="I229" s="102" t="str">
        <f t="shared" si="14"/>
        <v/>
      </c>
      <c r="J229" s="102">
        <f t="shared" si="17"/>
        <v>-5</v>
      </c>
      <c r="K229" s="101">
        <f t="shared" si="15"/>
        <v>-50</v>
      </c>
      <c r="L229" s="101"/>
      <c r="M229" s="103">
        <f t="shared" si="16"/>
        <v>0</v>
      </c>
    </row>
    <row r="230" spans="1:13" x14ac:dyDescent="0.25">
      <c r="A230" s="117"/>
      <c r="G230" s="84"/>
      <c r="H230" s="101">
        <v>225</v>
      </c>
      <c r="I230" s="102" t="str">
        <f t="shared" si="14"/>
        <v/>
      </c>
      <c r="J230" s="102">
        <f t="shared" si="17"/>
        <v>-5</v>
      </c>
      <c r="K230" s="101">
        <f t="shared" si="15"/>
        <v>-50</v>
      </c>
      <c r="L230" s="101"/>
      <c r="M230" s="103">
        <f t="shared" si="16"/>
        <v>0</v>
      </c>
    </row>
    <row r="231" spans="1:13" x14ac:dyDescent="0.25">
      <c r="A231" s="117"/>
      <c r="G231" s="84"/>
      <c r="H231" s="101">
        <v>226</v>
      </c>
      <c r="I231" s="102" t="str">
        <f t="shared" si="14"/>
        <v/>
      </c>
      <c r="J231" s="102">
        <f t="shared" si="17"/>
        <v>-5</v>
      </c>
      <c r="K231" s="101">
        <f t="shared" si="15"/>
        <v>-50</v>
      </c>
      <c r="L231" s="101"/>
      <c r="M231" s="103">
        <f t="shared" si="16"/>
        <v>0</v>
      </c>
    </row>
    <row r="232" spans="1:13" x14ac:dyDescent="0.25">
      <c r="A232" s="117"/>
      <c r="G232" s="84"/>
      <c r="H232" s="101">
        <v>227</v>
      </c>
      <c r="I232" s="102" t="str">
        <f t="shared" si="14"/>
        <v/>
      </c>
      <c r="J232" s="102">
        <f t="shared" si="17"/>
        <v>-5</v>
      </c>
      <c r="K232" s="101">
        <f t="shared" si="15"/>
        <v>-50</v>
      </c>
      <c r="L232" s="101"/>
      <c r="M232" s="103">
        <f t="shared" si="16"/>
        <v>0</v>
      </c>
    </row>
    <row r="233" spans="1:13" x14ac:dyDescent="0.25">
      <c r="A233" s="117"/>
      <c r="G233" s="84"/>
      <c r="H233" s="101">
        <v>228</v>
      </c>
      <c r="I233" s="102" t="str">
        <f t="shared" si="14"/>
        <v/>
      </c>
      <c r="J233" s="102">
        <f t="shared" si="17"/>
        <v>-5</v>
      </c>
      <c r="K233" s="101">
        <f t="shared" si="15"/>
        <v>-50</v>
      </c>
      <c r="L233" s="101"/>
      <c r="M233" s="103">
        <f t="shared" si="16"/>
        <v>0</v>
      </c>
    </row>
    <row r="234" spans="1:13" x14ac:dyDescent="0.25">
      <c r="A234" s="117"/>
      <c r="G234" s="84"/>
      <c r="H234" s="101">
        <v>229</v>
      </c>
      <c r="I234" s="102" t="str">
        <f t="shared" si="14"/>
        <v/>
      </c>
      <c r="J234" s="102">
        <f t="shared" si="17"/>
        <v>-5</v>
      </c>
      <c r="K234" s="101">
        <f t="shared" si="15"/>
        <v>-50</v>
      </c>
      <c r="L234" s="101"/>
      <c r="M234" s="103">
        <f t="shared" si="16"/>
        <v>0</v>
      </c>
    </row>
    <row r="235" spans="1:13" x14ac:dyDescent="0.25">
      <c r="A235" s="117"/>
      <c r="G235" s="84"/>
      <c r="H235" s="101">
        <v>230</v>
      </c>
      <c r="I235" s="102" t="str">
        <f t="shared" si="14"/>
        <v/>
      </c>
      <c r="J235" s="102">
        <f t="shared" si="17"/>
        <v>-5</v>
      </c>
      <c r="K235" s="101">
        <f t="shared" si="15"/>
        <v>-50</v>
      </c>
      <c r="L235" s="101"/>
      <c r="M235" s="103">
        <f t="shared" si="16"/>
        <v>0</v>
      </c>
    </row>
    <row r="236" spans="1:13" x14ac:dyDescent="0.25">
      <c r="A236" s="117"/>
      <c r="G236" s="84"/>
      <c r="H236" s="101">
        <v>231</v>
      </c>
      <c r="I236" s="102" t="str">
        <f t="shared" si="14"/>
        <v/>
      </c>
      <c r="J236" s="102">
        <f t="shared" si="17"/>
        <v>-5</v>
      </c>
      <c r="K236" s="101">
        <f t="shared" si="15"/>
        <v>-50</v>
      </c>
      <c r="L236" s="101"/>
      <c r="M236" s="103">
        <f t="shared" si="16"/>
        <v>0</v>
      </c>
    </row>
    <row r="237" spans="1:13" x14ac:dyDescent="0.25">
      <c r="A237" s="117"/>
      <c r="G237" s="84"/>
      <c r="H237" s="101">
        <v>232</v>
      </c>
      <c r="I237" s="102" t="str">
        <f t="shared" si="14"/>
        <v/>
      </c>
      <c r="J237" s="102">
        <f t="shared" si="17"/>
        <v>-5</v>
      </c>
      <c r="K237" s="101">
        <f t="shared" si="15"/>
        <v>-50</v>
      </c>
      <c r="L237" s="101"/>
      <c r="M237" s="103">
        <f t="shared" si="16"/>
        <v>0</v>
      </c>
    </row>
    <row r="238" spans="1:13" x14ac:dyDescent="0.25">
      <c r="A238" s="117"/>
      <c r="G238" s="84"/>
      <c r="H238" s="101">
        <v>233</v>
      </c>
      <c r="I238" s="102" t="str">
        <f t="shared" si="14"/>
        <v/>
      </c>
      <c r="J238" s="102">
        <f t="shared" si="17"/>
        <v>-5</v>
      </c>
      <c r="K238" s="101">
        <f t="shared" si="15"/>
        <v>-50</v>
      </c>
      <c r="L238" s="101"/>
      <c r="M238" s="103">
        <f t="shared" si="16"/>
        <v>0</v>
      </c>
    </row>
    <row r="239" spans="1:13" x14ac:dyDescent="0.25">
      <c r="A239" s="117"/>
      <c r="G239" s="84"/>
      <c r="H239" s="101">
        <v>234</v>
      </c>
      <c r="I239" s="102" t="str">
        <f t="shared" si="14"/>
        <v/>
      </c>
      <c r="J239" s="102">
        <f t="shared" si="17"/>
        <v>-5</v>
      </c>
      <c r="K239" s="101">
        <f t="shared" si="15"/>
        <v>-50</v>
      </c>
      <c r="L239" s="101"/>
      <c r="M239" s="103">
        <f t="shared" si="16"/>
        <v>0</v>
      </c>
    </row>
    <row r="240" spans="1:13" x14ac:dyDescent="0.25">
      <c r="A240" s="117"/>
      <c r="G240" s="84"/>
      <c r="H240" s="101">
        <v>235</v>
      </c>
      <c r="I240" s="102" t="str">
        <f t="shared" si="14"/>
        <v/>
      </c>
      <c r="J240" s="102">
        <f t="shared" si="17"/>
        <v>-5</v>
      </c>
      <c r="K240" s="101">
        <f t="shared" si="15"/>
        <v>-50</v>
      </c>
      <c r="L240" s="101"/>
      <c r="M240" s="103">
        <f t="shared" si="16"/>
        <v>0</v>
      </c>
    </row>
    <row r="241" spans="1:13" x14ac:dyDescent="0.25">
      <c r="A241" s="117"/>
      <c r="G241" s="84"/>
      <c r="H241" s="101">
        <v>236</v>
      </c>
      <c r="I241" s="102" t="str">
        <f t="shared" si="14"/>
        <v/>
      </c>
      <c r="J241" s="102">
        <f t="shared" si="17"/>
        <v>-5</v>
      </c>
      <c r="K241" s="101">
        <f t="shared" si="15"/>
        <v>-50</v>
      </c>
      <c r="L241" s="101"/>
      <c r="M241" s="103">
        <f t="shared" si="16"/>
        <v>0</v>
      </c>
    </row>
    <row r="242" spans="1:13" x14ac:dyDescent="0.25">
      <c r="A242" s="117"/>
      <c r="G242" s="84"/>
      <c r="H242" s="101">
        <v>237</v>
      </c>
      <c r="I242" s="102" t="str">
        <f t="shared" si="14"/>
        <v/>
      </c>
      <c r="J242" s="102">
        <f t="shared" si="17"/>
        <v>-5</v>
      </c>
      <c r="K242" s="101">
        <f t="shared" si="15"/>
        <v>-50</v>
      </c>
      <c r="L242" s="101"/>
      <c r="M242" s="103">
        <f t="shared" si="16"/>
        <v>0</v>
      </c>
    </row>
    <row r="243" spans="1:13" x14ac:dyDescent="0.25">
      <c r="A243" s="117"/>
      <c r="G243" s="84"/>
      <c r="H243" s="101">
        <v>238</v>
      </c>
      <c r="I243" s="102" t="str">
        <f t="shared" si="14"/>
        <v/>
      </c>
      <c r="J243" s="102">
        <f t="shared" si="17"/>
        <v>-5</v>
      </c>
      <c r="K243" s="101">
        <f t="shared" si="15"/>
        <v>-50</v>
      </c>
      <c r="L243" s="101"/>
      <c r="M243" s="103">
        <f t="shared" si="16"/>
        <v>0</v>
      </c>
    </row>
    <row r="244" spans="1:13" x14ac:dyDescent="0.25">
      <c r="A244" s="117"/>
      <c r="G244" s="84"/>
      <c r="H244" s="101">
        <v>239</v>
      </c>
      <c r="I244" s="102" t="str">
        <f t="shared" si="14"/>
        <v/>
      </c>
      <c r="J244" s="102">
        <f t="shared" si="17"/>
        <v>-5</v>
      </c>
      <c r="K244" s="101">
        <f t="shared" si="15"/>
        <v>-50</v>
      </c>
      <c r="L244" s="101"/>
      <c r="M244" s="103">
        <f t="shared" si="16"/>
        <v>0</v>
      </c>
    </row>
    <row r="245" spans="1:13" x14ac:dyDescent="0.25">
      <c r="A245" s="117"/>
      <c r="G245" s="84"/>
      <c r="H245" s="101">
        <v>240</v>
      </c>
      <c r="I245" s="102" t="str">
        <f t="shared" si="14"/>
        <v/>
      </c>
      <c r="J245" s="102">
        <f t="shared" si="17"/>
        <v>-5</v>
      </c>
      <c r="K245" s="101">
        <f t="shared" si="15"/>
        <v>-50</v>
      </c>
      <c r="L245" s="101"/>
      <c r="M245" s="103">
        <f t="shared" si="16"/>
        <v>0</v>
      </c>
    </row>
    <row r="246" spans="1:13" x14ac:dyDescent="0.25">
      <c r="A246" s="117"/>
      <c r="G246" s="84"/>
      <c r="H246" s="101">
        <v>241</v>
      </c>
      <c r="I246" s="102" t="str">
        <f t="shared" si="14"/>
        <v/>
      </c>
      <c r="J246" s="102">
        <f t="shared" si="17"/>
        <v>-5</v>
      </c>
      <c r="K246" s="101">
        <f t="shared" si="15"/>
        <v>-50</v>
      </c>
      <c r="L246" s="101"/>
      <c r="M246" s="103">
        <f t="shared" si="16"/>
        <v>0</v>
      </c>
    </row>
    <row r="247" spans="1:13" x14ac:dyDescent="0.25">
      <c r="A247" s="117"/>
      <c r="G247" s="84"/>
      <c r="H247" s="101">
        <v>242</v>
      </c>
      <c r="I247" s="102" t="str">
        <f t="shared" si="14"/>
        <v/>
      </c>
      <c r="J247" s="102">
        <f t="shared" si="17"/>
        <v>-5</v>
      </c>
      <c r="K247" s="101">
        <f t="shared" si="15"/>
        <v>-50</v>
      </c>
      <c r="L247" s="101"/>
      <c r="M247" s="103">
        <f t="shared" si="16"/>
        <v>0</v>
      </c>
    </row>
    <row r="248" spans="1:13" x14ac:dyDescent="0.25">
      <c r="A248" s="117"/>
      <c r="G248" s="84"/>
      <c r="H248" s="101">
        <v>243</v>
      </c>
      <c r="I248" s="102" t="str">
        <f t="shared" si="14"/>
        <v/>
      </c>
      <c r="J248" s="102">
        <f t="shared" si="17"/>
        <v>-5</v>
      </c>
      <c r="K248" s="101">
        <f t="shared" si="15"/>
        <v>-50</v>
      </c>
      <c r="L248" s="101"/>
      <c r="M248" s="103">
        <f t="shared" si="16"/>
        <v>0</v>
      </c>
    </row>
    <row r="249" spans="1:13" x14ac:dyDescent="0.25">
      <c r="A249" s="117"/>
      <c r="G249" s="84"/>
      <c r="H249" s="101">
        <v>244</v>
      </c>
      <c r="I249" s="102" t="str">
        <f t="shared" si="14"/>
        <v/>
      </c>
      <c r="J249" s="102">
        <f t="shared" si="17"/>
        <v>-5</v>
      </c>
      <c r="K249" s="101">
        <f t="shared" si="15"/>
        <v>-50</v>
      </c>
      <c r="L249" s="101"/>
      <c r="M249" s="103">
        <f t="shared" si="16"/>
        <v>0</v>
      </c>
    </row>
    <row r="250" spans="1:13" x14ac:dyDescent="0.25">
      <c r="A250" s="117"/>
      <c r="G250" s="84"/>
      <c r="H250" s="101">
        <v>245</v>
      </c>
      <c r="I250" s="102" t="str">
        <f t="shared" si="14"/>
        <v/>
      </c>
      <c r="J250" s="102">
        <f t="shared" si="17"/>
        <v>-5</v>
      </c>
      <c r="K250" s="101">
        <f t="shared" si="15"/>
        <v>-50</v>
      </c>
      <c r="L250" s="101"/>
      <c r="M250" s="103">
        <f t="shared" si="16"/>
        <v>0</v>
      </c>
    </row>
    <row r="251" spans="1:13" x14ac:dyDescent="0.25">
      <c r="A251" s="117"/>
      <c r="G251" s="84"/>
      <c r="H251" s="101">
        <v>246</v>
      </c>
      <c r="I251" s="102" t="str">
        <f t="shared" si="14"/>
        <v/>
      </c>
      <c r="J251" s="102">
        <f t="shared" si="17"/>
        <v>-5</v>
      </c>
      <c r="K251" s="101">
        <f t="shared" si="15"/>
        <v>-50</v>
      </c>
      <c r="L251" s="101"/>
      <c r="M251" s="103">
        <f t="shared" si="16"/>
        <v>0</v>
      </c>
    </row>
    <row r="252" spans="1:13" x14ac:dyDescent="0.25">
      <c r="A252" s="117"/>
      <c r="G252" s="84"/>
      <c r="H252" s="101">
        <v>247</v>
      </c>
      <c r="I252" s="102" t="str">
        <f t="shared" si="14"/>
        <v/>
      </c>
      <c r="J252" s="102">
        <f t="shared" si="17"/>
        <v>-5</v>
      </c>
      <c r="K252" s="101">
        <f t="shared" si="15"/>
        <v>-50</v>
      </c>
      <c r="L252" s="101"/>
      <c r="M252" s="103">
        <f t="shared" si="16"/>
        <v>0</v>
      </c>
    </row>
    <row r="253" spans="1:13" x14ac:dyDescent="0.25">
      <c r="A253" s="117"/>
      <c r="G253" s="84"/>
      <c r="H253" s="101">
        <v>248</v>
      </c>
      <c r="I253" s="102" t="str">
        <f t="shared" si="14"/>
        <v/>
      </c>
      <c r="J253" s="102">
        <f t="shared" si="17"/>
        <v>-5</v>
      </c>
      <c r="K253" s="101">
        <f t="shared" si="15"/>
        <v>-50</v>
      </c>
      <c r="L253" s="101"/>
      <c r="M253" s="103">
        <f t="shared" si="16"/>
        <v>0</v>
      </c>
    </row>
    <row r="254" spans="1:13" x14ac:dyDescent="0.25">
      <c r="A254" s="117"/>
      <c r="G254" s="84"/>
      <c r="H254" s="101">
        <v>249</v>
      </c>
      <c r="I254" s="102" t="str">
        <f t="shared" si="14"/>
        <v/>
      </c>
      <c r="J254" s="102">
        <f t="shared" si="17"/>
        <v>-5</v>
      </c>
      <c r="K254" s="101">
        <f t="shared" si="15"/>
        <v>-50</v>
      </c>
      <c r="L254" s="101"/>
      <c r="M254" s="103">
        <f t="shared" si="16"/>
        <v>0</v>
      </c>
    </row>
    <row r="255" spans="1:13" x14ac:dyDescent="0.25">
      <c r="A255" s="117"/>
      <c r="G255" s="84"/>
      <c r="H255" s="101">
        <v>250</v>
      </c>
      <c r="I255" s="102" t="str">
        <f t="shared" si="14"/>
        <v/>
      </c>
      <c r="J255" s="102">
        <f t="shared" si="17"/>
        <v>-5</v>
      </c>
      <c r="K255" s="101">
        <f t="shared" si="15"/>
        <v>-50</v>
      </c>
      <c r="L255" s="101"/>
      <c r="M255" s="103">
        <f t="shared" si="16"/>
        <v>0</v>
      </c>
    </row>
    <row r="256" spans="1:13" x14ac:dyDescent="0.25">
      <c r="A256" s="117"/>
      <c r="G256" s="84"/>
      <c r="H256" s="101">
        <v>251</v>
      </c>
      <c r="I256" s="102" t="str">
        <f t="shared" si="14"/>
        <v/>
      </c>
      <c r="J256" s="102">
        <f t="shared" si="17"/>
        <v>-5</v>
      </c>
      <c r="K256" s="101">
        <f t="shared" si="15"/>
        <v>-50</v>
      </c>
      <c r="L256" s="101"/>
      <c r="M256" s="103">
        <f t="shared" si="16"/>
        <v>0</v>
      </c>
    </row>
    <row r="257" spans="1:13" x14ac:dyDescent="0.25">
      <c r="A257" s="117"/>
      <c r="G257" s="84"/>
      <c r="H257" s="101">
        <v>252</v>
      </c>
      <c r="I257" s="102" t="str">
        <f t="shared" si="14"/>
        <v/>
      </c>
      <c r="J257" s="102">
        <f t="shared" si="17"/>
        <v>-5</v>
      </c>
      <c r="K257" s="101">
        <f t="shared" si="15"/>
        <v>-50</v>
      </c>
      <c r="L257" s="101"/>
      <c r="M257" s="103">
        <f t="shared" si="16"/>
        <v>0</v>
      </c>
    </row>
    <row r="258" spans="1:13" x14ac:dyDescent="0.25">
      <c r="A258" s="117"/>
      <c r="G258" s="84"/>
      <c r="H258" s="101">
        <v>253</v>
      </c>
      <c r="I258" s="102" t="str">
        <f t="shared" si="14"/>
        <v/>
      </c>
      <c r="J258" s="102">
        <f t="shared" si="17"/>
        <v>-5</v>
      </c>
      <c r="K258" s="101">
        <f t="shared" si="15"/>
        <v>-50</v>
      </c>
      <c r="L258" s="101"/>
      <c r="M258" s="103">
        <f t="shared" si="16"/>
        <v>0</v>
      </c>
    </row>
    <row r="259" spans="1:13" x14ac:dyDescent="0.25">
      <c r="A259" s="117"/>
      <c r="G259" s="84"/>
      <c r="H259" s="101">
        <v>254</v>
      </c>
      <c r="I259" s="102" t="str">
        <f t="shared" si="14"/>
        <v/>
      </c>
      <c r="J259" s="102">
        <f t="shared" si="17"/>
        <v>-5</v>
      </c>
      <c r="K259" s="101">
        <f t="shared" si="15"/>
        <v>-50</v>
      </c>
      <c r="L259" s="101"/>
      <c r="M259" s="103">
        <f t="shared" si="16"/>
        <v>0</v>
      </c>
    </row>
    <row r="260" spans="1:13" x14ac:dyDescent="0.25">
      <c r="A260" s="117"/>
      <c r="G260" s="84"/>
      <c r="H260" s="101">
        <v>255</v>
      </c>
      <c r="I260" s="102" t="str">
        <f t="shared" si="14"/>
        <v/>
      </c>
      <c r="J260" s="102">
        <f t="shared" si="17"/>
        <v>-5</v>
      </c>
      <c r="K260" s="101">
        <f t="shared" si="15"/>
        <v>-50</v>
      </c>
      <c r="L260" s="101"/>
      <c r="M260" s="103">
        <f t="shared" si="16"/>
        <v>0</v>
      </c>
    </row>
    <row r="261" spans="1:13" x14ac:dyDescent="0.25">
      <c r="A261" s="117"/>
      <c r="G261" s="84"/>
      <c r="H261" s="101">
        <v>256</v>
      </c>
      <c r="I261" s="102" t="str">
        <f t="shared" si="14"/>
        <v/>
      </c>
      <c r="J261" s="102">
        <f t="shared" si="17"/>
        <v>-5</v>
      </c>
      <c r="K261" s="101">
        <f t="shared" si="15"/>
        <v>-50</v>
      </c>
      <c r="L261" s="101"/>
      <c r="M261" s="103">
        <f t="shared" si="16"/>
        <v>0</v>
      </c>
    </row>
    <row r="262" spans="1:13" x14ac:dyDescent="0.25">
      <c r="A262" s="117"/>
      <c r="G262" s="84"/>
      <c r="H262" s="101">
        <v>257</v>
      </c>
      <c r="I262" s="102" t="str">
        <f t="shared" ref="I262:I305" si="18">IF(H262&lt;$H$2+1,($I$2-($I$2-1)*(LOG(H262)/LOG($H$2))),"")</f>
        <v/>
      </c>
      <c r="J262" s="102">
        <f t="shared" si="17"/>
        <v>-6</v>
      </c>
      <c r="K262" s="101">
        <f t="shared" ref="K262:K305" si="19">J262*$J$2</f>
        <v>-60</v>
      </c>
      <c r="L262" s="101"/>
      <c r="M262" s="103">
        <f t="shared" ref="M262:M305" si="20">IF(I262&lt;&gt;"",K262+I262+L262,0)</f>
        <v>0</v>
      </c>
    </row>
    <row r="263" spans="1:13" x14ac:dyDescent="0.25">
      <c r="A263" s="117"/>
      <c r="G263" s="84"/>
      <c r="H263" s="101">
        <v>258</v>
      </c>
      <c r="I263" s="102" t="str">
        <f t="shared" si="18"/>
        <v/>
      </c>
      <c r="J263" s="102">
        <f t="shared" ref="J263:J305" si="21">INT(LOG($H$2,2))-ROUNDUP(LOG(H263,2),0)+IF(OR($H$2=1,$H$2=2,$H$2=4,$H$2=8,$H$2=16,$H$2=32,$H$2=64,$H$2=128,$H$2=256),0,1)</f>
        <v>-6</v>
      </c>
      <c r="K263" s="101">
        <f t="shared" si="19"/>
        <v>-60</v>
      </c>
      <c r="L263" s="101"/>
      <c r="M263" s="103">
        <f t="shared" si="20"/>
        <v>0</v>
      </c>
    </row>
    <row r="264" spans="1:13" x14ac:dyDescent="0.25">
      <c r="A264" s="117"/>
      <c r="G264" s="84"/>
      <c r="H264" s="101">
        <v>259</v>
      </c>
      <c r="I264" s="102" t="str">
        <f t="shared" si="18"/>
        <v/>
      </c>
      <c r="J264" s="102">
        <f t="shared" si="21"/>
        <v>-6</v>
      </c>
      <c r="K264" s="101">
        <f t="shared" si="19"/>
        <v>-60</v>
      </c>
      <c r="L264" s="101"/>
      <c r="M264" s="103">
        <f t="shared" si="20"/>
        <v>0</v>
      </c>
    </row>
    <row r="265" spans="1:13" x14ac:dyDescent="0.25">
      <c r="A265" s="117"/>
      <c r="G265" s="84"/>
      <c r="H265" s="101">
        <v>260</v>
      </c>
      <c r="I265" s="102" t="str">
        <f t="shared" si="18"/>
        <v/>
      </c>
      <c r="J265" s="102">
        <f t="shared" si="21"/>
        <v>-6</v>
      </c>
      <c r="K265" s="101">
        <f t="shared" si="19"/>
        <v>-60</v>
      </c>
      <c r="L265" s="101"/>
      <c r="M265" s="103">
        <f t="shared" si="20"/>
        <v>0</v>
      </c>
    </row>
    <row r="266" spans="1:13" x14ac:dyDescent="0.25">
      <c r="A266" s="117"/>
      <c r="G266" s="84"/>
      <c r="H266" s="101">
        <v>261</v>
      </c>
      <c r="I266" s="102" t="str">
        <f t="shared" si="18"/>
        <v/>
      </c>
      <c r="J266" s="102">
        <f t="shared" si="21"/>
        <v>-6</v>
      </c>
      <c r="K266" s="101">
        <f t="shared" si="19"/>
        <v>-60</v>
      </c>
      <c r="L266" s="101"/>
      <c r="M266" s="103">
        <f t="shared" si="20"/>
        <v>0</v>
      </c>
    </row>
    <row r="267" spans="1:13" x14ac:dyDescent="0.25">
      <c r="A267" s="117"/>
      <c r="G267" s="84"/>
      <c r="H267" s="101">
        <v>262</v>
      </c>
      <c r="I267" s="102" t="str">
        <f t="shared" si="18"/>
        <v/>
      </c>
      <c r="J267" s="102">
        <f t="shared" si="21"/>
        <v>-6</v>
      </c>
      <c r="K267" s="101">
        <f t="shared" si="19"/>
        <v>-60</v>
      </c>
      <c r="L267" s="101"/>
      <c r="M267" s="103">
        <f t="shared" si="20"/>
        <v>0</v>
      </c>
    </row>
    <row r="268" spans="1:13" x14ac:dyDescent="0.25">
      <c r="A268" s="117"/>
      <c r="G268" s="84"/>
      <c r="H268" s="101">
        <v>263</v>
      </c>
      <c r="I268" s="102" t="str">
        <f t="shared" si="18"/>
        <v/>
      </c>
      <c r="J268" s="102">
        <f t="shared" si="21"/>
        <v>-6</v>
      </c>
      <c r="K268" s="101">
        <f t="shared" si="19"/>
        <v>-60</v>
      </c>
      <c r="L268" s="101"/>
      <c r="M268" s="103">
        <f t="shared" si="20"/>
        <v>0</v>
      </c>
    </row>
    <row r="269" spans="1:13" x14ac:dyDescent="0.25">
      <c r="A269" s="117"/>
      <c r="G269" s="84"/>
      <c r="H269" s="101">
        <v>264</v>
      </c>
      <c r="I269" s="102" t="str">
        <f t="shared" si="18"/>
        <v/>
      </c>
      <c r="J269" s="102">
        <f t="shared" si="21"/>
        <v>-6</v>
      </c>
      <c r="K269" s="101">
        <f t="shared" si="19"/>
        <v>-60</v>
      </c>
      <c r="L269" s="101"/>
      <c r="M269" s="103">
        <f t="shared" si="20"/>
        <v>0</v>
      </c>
    </row>
    <row r="270" spans="1:13" x14ac:dyDescent="0.25">
      <c r="A270" s="117"/>
      <c r="G270" s="84"/>
      <c r="H270" s="101">
        <v>265</v>
      </c>
      <c r="I270" s="102" t="str">
        <f t="shared" si="18"/>
        <v/>
      </c>
      <c r="J270" s="102">
        <f t="shared" si="21"/>
        <v>-6</v>
      </c>
      <c r="K270" s="101">
        <f t="shared" si="19"/>
        <v>-60</v>
      </c>
      <c r="L270" s="101"/>
      <c r="M270" s="103">
        <f t="shared" si="20"/>
        <v>0</v>
      </c>
    </row>
    <row r="271" spans="1:13" x14ac:dyDescent="0.25">
      <c r="A271" s="117"/>
      <c r="G271" s="84"/>
      <c r="H271" s="101">
        <v>266</v>
      </c>
      <c r="I271" s="102" t="str">
        <f t="shared" si="18"/>
        <v/>
      </c>
      <c r="J271" s="102">
        <f t="shared" si="21"/>
        <v>-6</v>
      </c>
      <c r="K271" s="101">
        <f t="shared" si="19"/>
        <v>-60</v>
      </c>
      <c r="L271" s="101"/>
      <c r="M271" s="103">
        <f t="shared" si="20"/>
        <v>0</v>
      </c>
    </row>
    <row r="272" spans="1:13" x14ac:dyDescent="0.25">
      <c r="A272" s="117"/>
      <c r="G272" s="84"/>
      <c r="H272" s="101">
        <v>267</v>
      </c>
      <c r="I272" s="102" t="str">
        <f t="shared" si="18"/>
        <v/>
      </c>
      <c r="J272" s="102">
        <f t="shared" si="21"/>
        <v>-6</v>
      </c>
      <c r="K272" s="101">
        <f t="shared" si="19"/>
        <v>-60</v>
      </c>
      <c r="L272" s="101"/>
      <c r="M272" s="103">
        <f t="shared" si="20"/>
        <v>0</v>
      </c>
    </row>
    <row r="273" spans="1:13" x14ac:dyDescent="0.25">
      <c r="A273" s="117"/>
      <c r="G273" s="84"/>
      <c r="H273" s="101">
        <v>268</v>
      </c>
      <c r="I273" s="102" t="str">
        <f t="shared" si="18"/>
        <v/>
      </c>
      <c r="J273" s="102">
        <f t="shared" si="21"/>
        <v>-6</v>
      </c>
      <c r="K273" s="101">
        <f t="shared" si="19"/>
        <v>-60</v>
      </c>
      <c r="L273" s="101"/>
      <c r="M273" s="103">
        <f t="shared" si="20"/>
        <v>0</v>
      </c>
    </row>
    <row r="274" spans="1:13" x14ac:dyDescent="0.25">
      <c r="A274" s="117"/>
      <c r="G274" s="84"/>
      <c r="H274" s="101">
        <v>269</v>
      </c>
      <c r="I274" s="102" t="str">
        <f t="shared" si="18"/>
        <v/>
      </c>
      <c r="J274" s="102">
        <f t="shared" si="21"/>
        <v>-6</v>
      </c>
      <c r="K274" s="101">
        <f t="shared" si="19"/>
        <v>-60</v>
      </c>
      <c r="L274" s="101"/>
      <c r="M274" s="103">
        <f t="shared" si="20"/>
        <v>0</v>
      </c>
    </row>
    <row r="275" spans="1:13" x14ac:dyDescent="0.25">
      <c r="A275" s="117"/>
      <c r="G275" s="84"/>
      <c r="H275" s="101">
        <v>270</v>
      </c>
      <c r="I275" s="102" t="str">
        <f t="shared" si="18"/>
        <v/>
      </c>
      <c r="J275" s="102">
        <f t="shared" si="21"/>
        <v>-6</v>
      </c>
      <c r="K275" s="101">
        <f t="shared" si="19"/>
        <v>-60</v>
      </c>
      <c r="L275" s="101"/>
      <c r="M275" s="103">
        <f t="shared" si="20"/>
        <v>0</v>
      </c>
    </row>
    <row r="276" spans="1:13" x14ac:dyDescent="0.25">
      <c r="A276" s="117"/>
      <c r="G276" s="84"/>
      <c r="H276" s="101">
        <v>271</v>
      </c>
      <c r="I276" s="102" t="str">
        <f t="shared" si="18"/>
        <v/>
      </c>
      <c r="J276" s="102">
        <f t="shared" si="21"/>
        <v>-6</v>
      </c>
      <c r="K276" s="101">
        <f t="shared" si="19"/>
        <v>-60</v>
      </c>
      <c r="L276" s="101"/>
      <c r="M276" s="103">
        <f t="shared" si="20"/>
        <v>0</v>
      </c>
    </row>
    <row r="277" spans="1:13" x14ac:dyDescent="0.25">
      <c r="A277" s="117"/>
      <c r="G277" s="84"/>
      <c r="H277" s="101">
        <v>272</v>
      </c>
      <c r="I277" s="102" t="str">
        <f t="shared" si="18"/>
        <v/>
      </c>
      <c r="J277" s="102">
        <f t="shared" si="21"/>
        <v>-6</v>
      </c>
      <c r="K277" s="101">
        <f t="shared" si="19"/>
        <v>-60</v>
      </c>
      <c r="L277" s="101"/>
      <c r="M277" s="103">
        <f t="shared" si="20"/>
        <v>0</v>
      </c>
    </row>
    <row r="278" spans="1:13" x14ac:dyDescent="0.25">
      <c r="A278" s="117"/>
      <c r="G278" s="84"/>
      <c r="H278" s="101">
        <v>273</v>
      </c>
      <c r="I278" s="102" t="str">
        <f t="shared" si="18"/>
        <v/>
      </c>
      <c r="J278" s="102">
        <f t="shared" si="21"/>
        <v>-6</v>
      </c>
      <c r="K278" s="101">
        <f t="shared" si="19"/>
        <v>-60</v>
      </c>
      <c r="L278" s="101"/>
      <c r="M278" s="103">
        <f t="shared" si="20"/>
        <v>0</v>
      </c>
    </row>
    <row r="279" spans="1:13" x14ac:dyDescent="0.25">
      <c r="A279" s="117"/>
      <c r="G279" s="84"/>
      <c r="H279" s="101">
        <v>274</v>
      </c>
      <c r="I279" s="102" t="str">
        <f t="shared" si="18"/>
        <v/>
      </c>
      <c r="J279" s="102">
        <f t="shared" si="21"/>
        <v>-6</v>
      </c>
      <c r="K279" s="101">
        <f t="shared" si="19"/>
        <v>-60</v>
      </c>
      <c r="L279" s="101"/>
      <c r="M279" s="103">
        <f t="shared" si="20"/>
        <v>0</v>
      </c>
    </row>
    <row r="280" spans="1:13" x14ac:dyDescent="0.25">
      <c r="A280" s="117"/>
      <c r="G280" s="84"/>
      <c r="H280" s="101">
        <v>275</v>
      </c>
      <c r="I280" s="102" t="str">
        <f t="shared" si="18"/>
        <v/>
      </c>
      <c r="J280" s="102">
        <f t="shared" si="21"/>
        <v>-6</v>
      </c>
      <c r="K280" s="101">
        <f t="shared" si="19"/>
        <v>-60</v>
      </c>
      <c r="L280" s="101"/>
      <c r="M280" s="103">
        <f t="shared" si="20"/>
        <v>0</v>
      </c>
    </row>
    <row r="281" spans="1:13" x14ac:dyDescent="0.25">
      <c r="A281" s="117"/>
      <c r="G281" s="84"/>
      <c r="H281" s="101">
        <v>276</v>
      </c>
      <c r="I281" s="102" t="str">
        <f t="shared" si="18"/>
        <v/>
      </c>
      <c r="J281" s="102">
        <f t="shared" si="21"/>
        <v>-6</v>
      </c>
      <c r="K281" s="101">
        <f t="shared" si="19"/>
        <v>-60</v>
      </c>
      <c r="L281" s="101"/>
      <c r="M281" s="103">
        <f t="shared" si="20"/>
        <v>0</v>
      </c>
    </row>
    <row r="282" spans="1:13" x14ac:dyDescent="0.25">
      <c r="A282" s="117"/>
      <c r="G282" s="84"/>
      <c r="H282" s="101">
        <v>277</v>
      </c>
      <c r="I282" s="102" t="str">
        <f t="shared" si="18"/>
        <v/>
      </c>
      <c r="J282" s="102">
        <f t="shared" si="21"/>
        <v>-6</v>
      </c>
      <c r="K282" s="101">
        <f t="shared" si="19"/>
        <v>-60</v>
      </c>
      <c r="L282" s="101"/>
      <c r="M282" s="103">
        <f t="shared" si="20"/>
        <v>0</v>
      </c>
    </row>
    <row r="283" spans="1:13" x14ac:dyDescent="0.25">
      <c r="A283" s="117"/>
      <c r="G283" s="84"/>
      <c r="H283" s="101">
        <v>278</v>
      </c>
      <c r="I283" s="102" t="str">
        <f t="shared" si="18"/>
        <v/>
      </c>
      <c r="J283" s="102">
        <f t="shared" si="21"/>
        <v>-6</v>
      </c>
      <c r="K283" s="101">
        <f t="shared" si="19"/>
        <v>-60</v>
      </c>
      <c r="L283" s="101"/>
      <c r="M283" s="103">
        <f t="shared" si="20"/>
        <v>0</v>
      </c>
    </row>
    <row r="284" spans="1:13" x14ac:dyDescent="0.25">
      <c r="A284" s="117"/>
      <c r="G284" s="84"/>
      <c r="H284" s="101">
        <v>279</v>
      </c>
      <c r="I284" s="102" t="str">
        <f t="shared" si="18"/>
        <v/>
      </c>
      <c r="J284" s="102">
        <f t="shared" si="21"/>
        <v>-6</v>
      </c>
      <c r="K284" s="101">
        <f t="shared" si="19"/>
        <v>-60</v>
      </c>
      <c r="L284" s="101"/>
      <c r="M284" s="103">
        <f t="shared" si="20"/>
        <v>0</v>
      </c>
    </row>
    <row r="285" spans="1:13" x14ac:dyDescent="0.25">
      <c r="A285" s="117"/>
      <c r="G285" s="84"/>
      <c r="H285" s="101">
        <v>280</v>
      </c>
      <c r="I285" s="102" t="str">
        <f t="shared" si="18"/>
        <v/>
      </c>
      <c r="J285" s="102">
        <f t="shared" si="21"/>
        <v>-6</v>
      </c>
      <c r="K285" s="101">
        <f t="shared" si="19"/>
        <v>-60</v>
      </c>
      <c r="L285" s="101"/>
      <c r="M285" s="103">
        <f t="shared" si="20"/>
        <v>0</v>
      </c>
    </row>
    <row r="286" spans="1:13" x14ac:dyDescent="0.25">
      <c r="A286" s="117"/>
      <c r="G286" s="84"/>
      <c r="H286" s="101">
        <v>281</v>
      </c>
      <c r="I286" s="102" t="str">
        <f t="shared" si="18"/>
        <v/>
      </c>
      <c r="J286" s="102">
        <f t="shared" si="21"/>
        <v>-6</v>
      </c>
      <c r="K286" s="101">
        <f t="shared" si="19"/>
        <v>-60</v>
      </c>
      <c r="L286" s="101"/>
      <c r="M286" s="103">
        <f t="shared" si="20"/>
        <v>0</v>
      </c>
    </row>
    <row r="287" spans="1:13" x14ac:dyDescent="0.25">
      <c r="A287" s="117"/>
      <c r="G287" s="84"/>
      <c r="H287" s="101">
        <v>282</v>
      </c>
      <c r="I287" s="102" t="str">
        <f t="shared" si="18"/>
        <v/>
      </c>
      <c r="J287" s="102">
        <f t="shared" si="21"/>
        <v>-6</v>
      </c>
      <c r="K287" s="101">
        <f t="shared" si="19"/>
        <v>-60</v>
      </c>
      <c r="L287" s="101"/>
      <c r="M287" s="103">
        <f t="shared" si="20"/>
        <v>0</v>
      </c>
    </row>
    <row r="288" spans="1:13" x14ac:dyDescent="0.25">
      <c r="A288" s="117"/>
      <c r="G288" s="84"/>
      <c r="H288" s="101">
        <v>283</v>
      </c>
      <c r="I288" s="102" t="str">
        <f t="shared" si="18"/>
        <v/>
      </c>
      <c r="J288" s="102">
        <f t="shared" si="21"/>
        <v>-6</v>
      </c>
      <c r="K288" s="101">
        <f t="shared" si="19"/>
        <v>-60</v>
      </c>
      <c r="L288" s="101"/>
      <c r="M288" s="103">
        <f t="shared" si="20"/>
        <v>0</v>
      </c>
    </row>
    <row r="289" spans="1:13" x14ac:dyDescent="0.25">
      <c r="A289" s="117"/>
      <c r="G289" s="84"/>
      <c r="H289" s="101">
        <v>284</v>
      </c>
      <c r="I289" s="102" t="str">
        <f t="shared" si="18"/>
        <v/>
      </c>
      <c r="J289" s="102">
        <f t="shared" si="21"/>
        <v>-6</v>
      </c>
      <c r="K289" s="101">
        <f t="shared" si="19"/>
        <v>-60</v>
      </c>
      <c r="L289" s="101"/>
      <c r="M289" s="103">
        <f t="shared" si="20"/>
        <v>0</v>
      </c>
    </row>
    <row r="290" spans="1:13" x14ac:dyDescent="0.25">
      <c r="A290" s="117"/>
      <c r="G290" s="84"/>
      <c r="H290" s="101">
        <v>285</v>
      </c>
      <c r="I290" s="102" t="str">
        <f t="shared" si="18"/>
        <v/>
      </c>
      <c r="J290" s="102">
        <f t="shared" si="21"/>
        <v>-6</v>
      </c>
      <c r="K290" s="101">
        <f t="shared" si="19"/>
        <v>-60</v>
      </c>
      <c r="L290" s="101"/>
      <c r="M290" s="103">
        <f t="shared" si="20"/>
        <v>0</v>
      </c>
    </row>
    <row r="291" spans="1:13" x14ac:dyDescent="0.25">
      <c r="A291" s="117"/>
      <c r="G291" s="84"/>
      <c r="H291" s="101">
        <v>286</v>
      </c>
      <c r="I291" s="102" t="str">
        <f t="shared" si="18"/>
        <v/>
      </c>
      <c r="J291" s="102">
        <f t="shared" si="21"/>
        <v>-6</v>
      </c>
      <c r="K291" s="101">
        <f t="shared" si="19"/>
        <v>-60</v>
      </c>
      <c r="L291" s="101"/>
      <c r="M291" s="103">
        <f t="shared" si="20"/>
        <v>0</v>
      </c>
    </row>
    <row r="292" spans="1:13" x14ac:dyDescent="0.25">
      <c r="A292" s="117"/>
      <c r="G292" s="84"/>
      <c r="H292" s="101">
        <v>287</v>
      </c>
      <c r="I292" s="102" t="str">
        <f t="shared" si="18"/>
        <v/>
      </c>
      <c r="J292" s="102">
        <f t="shared" si="21"/>
        <v>-6</v>
      </c>
      <c r="K292" s="101">
        <f t="shared" si="19"/>
        <v>-60</v>
      </c>
      <c r="L292" s="101"/>
      <c r="M292" s="103">
        <f t="shared" si="20"/>
        <v>0</v>
      </c>
    </row>
    <row r="293" spans="1:13" x14ac:dyDescent="0.25">
      <c r="A293" s="117"/>
      <c r="G293" s="84"/>
      <c r="H293" s="101">
        <v>288</v>
      </c>
      <c r="I293" s="102" t="str">
        <f t="shared" si="18"/>
        <v/>
      </c>
      <c r="J293" s="102">
        <f t="shared" si="21"/>
        <v>-6</v>
      </c>
      <c r="K293" s="101">
        <f t="shared" si="19"/>
        <v>-60</v>
      </c>
      <c r="L293" s="101"/>
      <c r="M293" s="103">
        <f t="shared" si="20"/>
        <v>0</v>
      </c>
    </row>
    <row r="294" spans="1:13" x14ac:dyDescent="0.25">
      <c r="A294" s="117"/>
      <c r="G294" s="84"/>
      <c r="H294" s="101">
        <v>289</v>
      </c>
      <c r="I294" s="102" t="str">
        <f t="shared" si="18"/>
        <v/>
      </c>
      <c r="J294" s="102">
        <f t="shared" si="21"/>
        <v>-6</v>
      </c>
      <c r="K294" s="101">
        <f t="shared" si="19"/>
        <v>-60</v>
      </c>
      <c r="L294" s="101"/>
      <c r="M294" s="103">
        <f t="shared" si="20"/>
        <v>0</v>
      </c>
    </row>
    <row r="295" spans="1:13" x14ac:dyDescent="0.25">
      <c r="A295" s="117"/>
      <c r="G295" s="84"/>
      <c r="H295" s="101">
        <v>290</v>
      </c>
      <c r="I295" s="102" t="str">
        <f t="shared" si="18"/>
        <v/>
      </c>
      <c r="J295" s="102">
        <f t="shared" si="21"/>
        <v>-6</v>
      </c>
      <c r="K295" s="101">
        <f t="shared" si="19"/>
        <v>-60</v>
      </c>
      <c r="L295" s="101"/>
      <c r="M295" s="103">
        <f t="shared" si="20"/>
        <v>0</v>
      </c>
    </row>
    <row r="296" spans="1:13" x14ac:dyDescent="0.25">
      <c r="A296" s="117"/>
      <c r="G296" s="84"/>
      <c r="H296" s="101">
        <v>291</v>
      </c>
      <c r="I296" s="102" t="str">
        <f t="shared" si="18"/>
        <v/>
      </c>
      <c r="J296" s="102">
        <f t="shared" si="21"/>
        <v>-6</v>
      </c>
      <c r="K296" s="101">
        <f t="shared" si="19"/>
        <v>-60</v>
      </c>
      <c r="L296" s="101"/>
      <c r="M296" s="103">
        <f t="shared" si="20"/>
        <v>0</v>
      </c>
    </row>
    <row r="297" spans="1:13" x14ac:dyDescent="0.25">
      <c r="A297" s="117"/>
      <c r="G297" s="84"/>
      <c r="H297" s="101">
        <v>292</v>
      </c>
      <c r="I297" s="102" t="str">
        <f t="shared" si="18"/>
        <v/>
      </c>
      <c r="J297" s="102">
        <f t="shared" si="21"/>
        <v>-6</v>
      </c>
      <c r="K297" s="101">
        <f t="shared" si="19"/>
        <v>-60</v>
      </c>
      <c r="L297" s="101"/>
      <c r="M297" s="103">
        <f t="shared" si="20"/>
        <v>0</v>
      </c>
    </row>
    <row r="298" spans="1:13" x14ac:dyDescent="0.25">
      <c r="A298" s="117"/>
      <c r="G298" s="84"/>
      <c r="H298" s="101">
        <v>293</v>
      </c>
      <c r="I298" s="102" t="str">
        <f t="shared" si="18"/>
        <v/>
      </c>
      <c r="J298" s="102">
        <f t="shared" si="21"/>
        <v>-6</v>
      </c>
      <c r="K298" s="101">
        <f t="shared" si="19"/>
        <v>-60</v>
      </c>
      <c r="L298" s="101"/>
      <c r="M298" s="103">
        <f t="shared" si="20"/>
        <v>0</v>
      </c>
    </row>
    <row r="299" spans="1:13" x14ac:dyDescent="0.25">
      <c r="A299" s="117"/>
      <c r="G299" s="84"/>
      <c r="H299" s="101">
        <v>294</v>
      </c>
      <c r="I299" s="102" t="str">
        <f t="shared" si="18"/>
        <v/>
      </c>
      <c r="J299" s="102">
        <f t="shared" si="21"/>
        <v>-6</v>
      </c>
      <c r="K299" s="101">
        <f t="shared" si="19"/>
        <v>-60</v>
      </c>
      <c r="L299" s="101"/>
      <c r="M299" s="103">
        <f t="shared" si="20"/>
        <v>0</v>
      </c>
    </row>
    <row r="300" spans="1:13" x14ac:dyDescent="0.25">
      <c r="A300" s="117"/>
      <c r="G300" s="84"/>
      <c r="H300" s="101">
        <v>295</v>
      </c>
      <c r="I300" s="102" t="str">
        <f t="shared" si="18"/>
        <v/>
      </c>
      <c r="J300" s="102">
        <f t="shared" si="21"/>
        <v>-6</v>
      </c>
      <c r="K300" s="101">
        <f t="shared" si="19"/>
        <v>-60</v>
      </c>
      <c r="L300" s="101"/>
      <c r="M300" s="103">
        <f t="shared" si="20"/>
        <v>0</v>
      </c>
    </row>
    <row r="301" spans="1:13" x14ac:dyDescent="0.25">
      <c r="A301" s="117"/>
      <c r="G301" s="84"/>
      <c r="H301" s="101">
        <v>296</v>
      </c>
      <c r="I301" s="102" t="str">
        <f t="shared" si="18"/>
        <v/>
      </c>
      <c r="J301" s="102">
        <f t="shared" si="21"/>
        <v>-6</v>
      </c>
      <c r="K301" s="101">
        <f t="shared" si="19"/>
        <v>-60</v>
      </c>
      <c r="L301" s="101"/>
      <c r="M301" s="103">
        <f t="shared" si="20"/>
        <v>0</v>
      </c>
    </row>
    <row r="302" spans="1:13" x14ac:dyDescent="0.25">
      <c r="A302" s="117"/>
      <c r="G302" s="84"/>
      <c r="H302" s="101">
        <v>297</v>
      </c>
      <c r="I302" s="102" t="str">
        <f t="shared" si="18"/>
        <v/>
      </c>
      <c r="J302" s="102">
        <f t="shared" si="21"/>
        <v>-6</v>
      </c>
      <c r="K302" s="101">
        <f t="shared" si="19"/>
        <v>-60</v>
      </c>
      <c r="L302" s="101"/>
      <c r="M302" s="103">
        <f t="shared" si="20"/>
        <v>0</v>
      </c>
    </row>
    <row r="303" spans="1:13" x14ac:dyDescent="0.25">
      <c r="A303" s="117"/>
      <c r="G303" s="84"/>
      <c r="H303" s="101">
        <v>298</v>
      </c>
      <c r="I303" s="102" t="str">
        <f t="shared" si="18"/>
        <v/>
      </c>
      <c r="J303" s="102">
        <f t="shared" si="21"/>
        <v>-6</v>
      </c>
      <c r="K303" s="101">
        <f t="shared" si="19"/>
        <v>-60</v>
      </c>
      <c r="L303" s="101"/>
      <c r="M303" s="103">
        <f t="shared" si="20"/>
        <v>0</v>
      </c>
    </row>
    <row r="304" spans="1:13" x14ac:dyDescent="0.25">
      <c r="A304" s="117"/>
      <c r="G304" s="84"/>
      <c r="H304" s="101">
        <v>299</v>
      </c>
      <c r="I304" s="102" t="str">
        <f t="shared" si="18"/>
        <v/>
      </c>
      <c r="J304" s="102">
        <f t="shared" si="21"/>
        <v>-6</v>
      </c>
      <c r="K304" s="101">
        <f t="shared" si="19"/>
        <v>-60</v>
      </c>
      <c r="L304" s="101"/>
      <c r="M304" s="103">
        <f t="shared" si="20"/>
        <v>0</v>
      </c>
    </row>
    <row r="305" spans="1:16" x14ac:dyDescent="0.25">
      <c r="A305" s="117"/>
      <c r="G305" s="84"/>
      <c r="H305" s="101">
        <v>300</v>
      </c>
      <c r="I305" s="102" t="str">
        <f t="shared" si="18"/>
        <v/>
      </c>
      <c r="J305" s="102">
        <f t="shared" si="21"/>
        <v>-6</v>
      </c>
      <c r="K305" s="101">
        <f t="shared" si="19"/>
        <v>-60</v>
      </c>
      <c r="L305" s="101"/>
      <c r="M305" s="103">
        <f t="shared" si="20"/>
        <v>0</v>
      </c>
    </row>
    <row r="306" spans="1:16" x14ac:dyDescent="0.25">
      <c r="A306" s="119"/>
    </row>
    <row r="314" spans="1:16" x14ac:dyDescent="0.25">
      <c r="L314" s="122"/>
      <c r="P314" s="112"/>
    </row>
    <row r="315" spans="1:16" x14ac:dyDescent="0.25">
      <c r="L315" s="122"/>
      <c r="P315" s="112"/>
    </row>
    <row r="316" spans="1:16" x14ac:dyDescent="0.25">
      <c r="L316" s="122"/>
      <c r="P316" s="112"/>
    </row>
    <row r="317" spans="1:16" x14ac:dyDescent="0.25">
      <c r="L317" s="122"/>
      <c r="P317" s="112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dataValidations count="1">
    <dataValidation type="list" allowBlank="1" showInputMessage="1" showErrorMessage="1" sqref="C38:C69" xr:uid="{9899D33B-8975-490A-89D4-C5E706B0D744}">
      <formula1>#REF!</formula1>
    </dataValidation>
  </dataValidations>
  <hyperlinks>
    <hyperlink ref="C2:D2" r:id="rId1" display="ŚWIDNICA" xr:uid="{B19525C8-C598-4A06-8C83-62DC3A33EC23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D0E0-D032-439E-891D-DD12592FD300}">
  <sheetPr>
    <tabColor theme="7" tint="0.79998168889431442"/>
  </sheetPr>
  <dimension ref="A1:AL317"/>
  <sheetViews>
    <sheetView workbookViewId="0">
      <selection activeCell="J21" sqref="J21"/>
    </sheetView>
  </sheetViews>
  <sheetFormatPr defaultColWidth="8.85546875" defaultRowHeight="15" x14ac:dyDescent="0.25"/>
  <cols>
    <col min="1" max="1" width="8" style="118" customWidth="1"/>
    <col min="2" max="2" width="8.28515625" style="118" customWidth="1"/>
    <col min="3" max="3" width="34.7109375" style="118" customWidth="1"/>
    <col min="4" max="4" width="11.28515625" style="118" customWidth="1"/>
    <col min="5" max="6" width="8.85546875" style="118"/>
    <col min="7" max="7" width="0.85546875" style="118" customWidth="1"/>
    <col min="8" max="8" width="8.85546875" style="120"/>
    <col min="9" max="9" width="11" style="120" customWidth="1"/>
    <col min="10" max="10" width="15" style="120" customWidth="1"/>
    <col min="11" max="11" width="8.7109375" style="120" customWidth="1"/>
    <col min="12" max="12" width="11" style="120" customWidth="1"/>
    <col min="13" max="13" width="11.7109375" style="121" customWidth="1"/>
    <col min="14" max="15" width="13.85546875" style="84" customWidth="1"/>
    <col min="16" max="18" width="8.85546875" style="84"/>
    <col min="19" max="20" width="8.85546875" style="91"/>
    <col min="21" max="21" width="12.140625" style="91" customWidth="1"/>
    <col min="22" max="22" width="27.42578125" style="91" customWidth="1"/>
    <col min="23" max="38" width="8.85546875" style="91"/>
    <col min="39" max="16384" width="8.85546875" style="118"/>
  </cols>
  <sheetData>
    <row r="1" spans="1:36" x14ac:dyDescent="0.25">
      <c r="A1" s="84"/>
      <c r="B1" s="84"/>
      <c r="C1" s="84"/>
      <c r="D1" s="84"/>
      <c r="E1" s="84"/>
      <c r="F1" s="84"/>
      <c r="G1" s="84"/>
      <c r="H1" s="85" t="s">
        <v>26</v>
      </c>
      <c r="I1" s="86" t="s">
        <v>27</v>
      </c>
      <c r="J1" s="86" t="s">
        <v>28</v>
      </c>
      <c r="K1" s="87" t="s">
        <v>29</v>
      </c>
      <c r="L1" s="90"/>
      <c r="M1" s="90"/>
    </row>
    <row r="2" spans="1:36" x14ac:dyDescent="0.25">
      <c r="A2" s="84"/>
      <c r="B2" s="24" t="s">
        <v>32</v>
      </c>
      <c r="C2" s="177" t="s">
        <v>102</v>
      </c>
      <c r="D2" s="177"/>
      <c r="E2" s="25"/>
      <c r="F2" s="25"/>
      <c r="G2" s="25"/>
      <c r="H2" s="92">
        <v>14</v>
      </c>
      <c r="I2" s="93">
        <v>50</v>
      </c>
      <c r="J2" s="93">
        <v>10</v>
      </c>
      <c r="K2" s="94">
        <f>3*H2^(1/3)</f>
        <v>7.2304267925256891</v>
      </c>
      <c r="L2" s="90"/>
      <c r="M2" s="90"/>
    </row>
    <row r="3" spans="1:36" ht="14.45" customHeight="1" x14ac:dyDescent="0.25">
      <c r="A3" s="84"/>
      <c r="B3" s="96" t="s">
        <v>34</v>
      </c>
      <c r="C3" s="177"/>
      <c r="D3" s="177"/>
      <c r="E3" s="30"/>
      <c r="F3" s="30"/>
      <c r="G3" s="30"/>
      <c r="H3" s="90"/>
      <c r="I3" s="90"/>
      <c r="J3" s="90"/>
      <c r="K3" s="90"/>
      <c r="L3" s="90"/>
      <c r="M3" s="90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0"/>
      <c r="K4" s="90"/>
      <c r="L4" s="90"/>
      <c r="M4" s="90"/>
    </row>
    <row r="5" spans="1:36" ht="36" x14ac:dyDescent="0.25">
      <c r="A5" s="1" t="s">
        <v>36</v>
      </c>
      <c r="B5" s="33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32"/>
      <c r="H5" s="98" t="s">
        <v>42</v>
      </c>
      <c r="I5" s="99" t="s">
        <v>43</v>
      </c>
      <c r="J5" s="99" t="s">
        <v>44</v>
      </c>
      <c r="K5" s="99" t="s">
        <v>45</v>
      </c>
      <c r="L5" s="99" t="s">
        <v>46</v>
      </c>
      <c r="M5" s="98" t="s">
        <v>47</v>
      </c>
    </row>
    <row r="6" spans="1:36" ht="14.45" customHeight="1" x14ac:dyDescent="0.25">
      <c r="A6" s="137">
        <f>M6</f>
        <v>111.69128037757707</v>
      </c>
      <c r="B6" s="38">
        <f t="shared" ref="B6:B65" si="0">IF(H6&gt;$H$2,"",(ROW()-5))</f>
        <v>1</v>
      </c>
      <c r="C6" s="39" t="s">
        <v>54</v>
      </c>
      <c r="D6" s="39"/>
      <c r="E6" s="39"/>
      <c r="F6" s="39"/>
      <c r="G6" s="32"/>
      <c r="H6" s="101">
        <v>1</v>
      </c>
      <c r="I6" s="102">
        <f t="shared" ref="I6:I69" si="1">IF(H6&lt;$H$2+1,($I$2-($I$2-1)*(LOG(H6)/LOG($H$2))),"")</f>
        <v>50</v>
      </c>
      <c r="J6" s="102">
        <f>INT(LOG($H$2,2))-ROUNDUP(LOG(H6,2),0)+IF(OR($H$2=1,$H$2=2,$H$2=4,$H$2=8,$H$2=16,$H$2=32,$H$2=64,$H$2=128,$H$2=256),0,1)</f>
        <v>4</v>
      </c>
      <c r="K6" s="101">
        <f t="shared" ref="K6:K69" si="2">J6*$J$2</f>
        <v>40</v>
      </c>
      <c r="L6" s="103">
        <f>3*K2</f>
        <v>21.691280377577066</v>
      </c>
      <c r="M6" s="103">
        <f t="shared" ref="M6:M69" si="3">IF(I6&lt;&gt;"",K6+I6+L6,0)</f>
        <v>111.69128037757707</v>
      </c>
    </row>
    <row r="7" spans="1:36" ht="14.45" customHeight="1" x14ac:dyDescent="0.25">
      <c r="A7" s="138">
        <f t="shared" ref="A7:A70" si="4">M7</f>
        <v>81.591026368228896</v>
      </c>
      <c r="B7" s="44">
        <f t="shared" si="0"/>
        <v>2</v>
      </c>
      <c r="C7" s="45" t="s">
        <v>54</v>
      </c>
      <c r="D7" s="45"/>
      <c r="E7" s="45"/>
      <c r="F7" s="45"/>
      <c r="G7" s="32"/>
      <c r="H7" s="104">
        <v>2</v>
      </c>
      <c r="I7" s="105">
        <f t="shared" si="1"/>
        <v>37.130172783177514</v>
      </c>
      <c r="J7" s="105">
        <f t="shared" ref="J7:J70" si="5">INT(LOG($H$2,2))-ROUNDUP(LOG(H7,2),0)+IF(OR($H$2=1,$H$2=2,$H$2=4,$H$2=8,$H$2=16,$H$2=32,$H$2=64,$H$2=128,$H$2=256),0,1)</f>
        <v>3</v>
      </c>
      <c r="K7" s="104">
        <f t="shared" si="2"/>
        <v>30</v>
      </c>
      <c r="L7" s="106">
        <f>2*K2</f>
        <v>14.460853585051378</v>
      </c>
      <c r="M7" s="106">
        <f t="shared" si="3"/>
        <v>81.591026368228896</v>
      </c>
    </row>
    <row r="8" spans="1:36" ht="14.45" customHeight="1" x14ac:dyDescent="0.25">
      <c r="A8" s="137">
        <f t="shared" si="4"/>
        <v>56.832233263101529</v>
      </c>
      <c r="B8" s="38">
        <f t="shared" si="0"/>
        <v>3</v>
      </c>
      <c r="C8" s="39" t="s">
        <v>54</v>
      </c>
      <c r="D8" s="39"/>
      <c r="E8" s="39"/>
      <c r="F8" s="39"/>
      <c r="G8" s="32"/>
      <c r="H8" s="101">
        <v>3</v>
      </c>
      <c r="I8" s="102">
        <f t="shared" si="1"/>
        <v>29.601806470575838</v>
      </c>
      <c r="J8" s="102">
        <f t="shared" si="5"/>
        <v>2</v>
      </c>
      <c r="K8" s="101">
        <f t="shared" si="2"/>
        <v>20</v>
      </c>
      <c r="L8" s="103">
        <f>K2</f>
        <v>7.2304267925256891</v>
      </c>
      <c r="M8" s="103">
        <f t="shared" si="3"/>
        <v>56.832233263101529</v>
      </c>
    </row>
    <row r="9" spans="1:36" s="91" customFormat="1" ht="14.45" customHeight="1" x14ac:dyDescent="0.25">
      <c r="A9" s="138">
        <f t="shared" si="4"/>
        <v>56.832233263101529</v>
      </c>
      <c r="B9" s="44">
        <f>IF(H9&gt;$H$2,"",3)</f>
        <v>3</v>
      </c>
      <c r="C9" s="45" t="s">
        <v>54</v>
      </c>
      <c r="D9" s="45"/>
      <c r="E9" s="45"/>
      <c r="F9" s="45"/>
      <c r="G9" s="32"/>
      <c r="H9" s="104">
        <v>3</v>
      </c>
      <c r="I9" s="105">
        <f t="shared" si="1"/>
        <v>29.601806470575838</v>
      </c>
      <c r="J9" s="104">
        <f t="shared" si="5"/>
        <v>2</v>
      </c>
      <c r="K9" s="104">
        <f t="shared" si="2"/>
        <v>20</v>
      </c>
      <c r="L9" s="106">
        <f>K2</f>
        <v>7.2304267925256891</v>
      </c>
      <c r="M9" s="106">
        <f t="shared" si="3"/>
        <v>56.832233263101529</v>
      </c>
      <c r="N9" s="84"/>
      <c r="O9" s="84"/>
      <c r="P9" s="84"/>
      <c r="Q9" s="84"/>
      <c r="R9" s="84"/>
      <c r="V9" s="107"/>
      <c r="Z9" s="108"/>
      <c r="AA9" s="108"/>
      <c r="AG9" s="109"/>
      <c r="AH9" s="91" t="s">
        <v>54</v>
      </c>
      <c r="AI9" s="91">
        <v>23</v>
      </c>
    </row>
    <row r="10" spans="1:36" ht="14.45" customHeight="1" x14ac:dyDescent="0.25">
      <c r="A10" s="137">
        <f t="shared" si="4"/>
        <v>30.11718660891384</v>
      </c>
      <c r="B10" s="38">
        <f t="shared" si="0"/>
        <v>5</v>
      </c>
      <c r="C10" s="39" t="s">
        <v>54</v>
      </c>
      <c r="D10" s="39"/>
      <c r="E10" s="39"/>
      <c r="F10" s="39"/>
      <c r="G10" s="32"/>
      <c r="H10" s="101">
        <v>5</v>
      </c>
      <c r="I10" s="102">
        <f t="shared" si="1"/>
        <v>20.11718660891384</v>
      </c>
      <c r="J10" s="102">
        <f t="shared" si="5"/>
        <v>1</v>
      </c>
      <c r="K10" s="101">
        <f t="shared" si="2"/>
        <v>10</v>
      </c>
      <c r="L10" s="101"/>
      <c r="M10" s="103">
        <f t="shared" si="3"/>
        <v>30.11718660891384</v>
      </c>
      <c r="V10" s="107"/>
      <c r="Z10" s="108"/>
      <c r="AA10" s="108"/>
      <c r="AG10" s="109"/>
      <c r="AH10" s="91" t="s">
        <v>55</v>
      </c>
      <c r="AI10" s="91">
        <v>45</v>
      </c>
    </row>
    <row r="11" spans="1:36" ht="14.45" customHeight="1" x14ac:dyDescent="0.25">
      <c r="A11" s="138">
        <f t="shared" si="4"/>
        <v>26.731979253753352</v>
      </c>
      <c r="B11" s="44">
        <f t="shared" si="0"/>
        <v>6</v>
      </c>
      <c r="C11" s="45" t="s">
        <v>54</v>
      </c>
      <c r="D11" s="45"/>
      <c r="E11" s="45"/>
      <c r="F11" s="45"/>
      <c r="G11" s="32"/>
      <c r="H11" s="104">
        <v>6</v>
      </c>
      <c r="I11" s="105">
        <f t="shared" si="1"/>
        <v>16.731979253753352</v>
      </c>
      <c r="J11" s="105">
        <f t="shared" si="5"/>
        <v>1</v>
      </c>
      <c r="K11" s="104">
        <f t="shared" si="2"/>
        <v>10</v>
      </c>
      <c r="L11" s="104"/>
      <c r="M11" s="106">
        <f t="shared" si="3"/>
        <v>26.731979253753352</v>
      </c>
      <c r="V11" s="110"/>
      <c r="Z11" s="108"/>
      <c r="AA11" s="108"/>
      <c r="AG11" s="109"/>
      <c r="AH11" s="91" t="s">
        <v>56</v>
      </c>
      <c r="AI11" s="91">
        <v>50</v>
      </c>
    </row>
    <row r="12" spans="1:36" ht="14.45" customHeight="1" x14ac:dyDescent="0.25">
      <c r="A12" s="137">
        <f t="shared" si="4"/>
        <v>23.869827216822486</v>
      </c>
      <c r="B12" s="38">
        <f t="shared" si="0"/>
        <v>7</v>
      </c>
      <c r="C12" s="39" t="s">
        <v>54</v>
      </c>
      <c r="D12" s="39"/>
      <c r="E12" s="39"/>
      <c r="F12" s="39"/>
      <c r="G12" s="32"/>
      <c r="H12" s="101">
        <v>7</v>
      </c>
      <c r="I12" s="102">
        <f t="shared" si="1"/>
        <v>13.869827216822486</v>
      </c>
      <c r="J12" s="102">
        <f t="shared" si="5"/>
        <v>1</v>
      </c>
      <c r="K12" s="101">
        <f t="shared" si="2"/>
        <v>10</v>
      </c>
      <c r="L12" s="101"/>
      <c r="M12" s="103">
        <f t="shared" si="3"/>
        <v>23.869827216822486</v>
      </c>
      <c r="Z12" s="108"/>
      <c r="AA12" s="108"/>
      <c r="AG12" s="109"/>
      <c r="AH12" s="91" t="s">
        <v>57</v>
      </c>
      <c r="AI12" s="91">
        <f>AI11-1</f>
        <v>49</v>
      </c>
    </row>
    <row r="13" spans="1:36" ht="14.45" customHeight="1" x14ac:dyDescent="0.25">
      <c r="A13" s="138">
        <f t="shared" si="4"/>
        <v>21.390518349532549</v>
      </c>
      <c r="B13" s="44">
        <f t="shared" si="0"/>
        <v>8</v>
      </c>
      <c r="C13" s="45" t="s">
        <v>54</v>
      </c>
      <c r="D13" s="45"/>
      <c r="E13" s="45"/>
      <c r="F13" s="45"/>
      <c r="G13" s="32"/>
      <c r="H13" s="104">
        <v>8</v>
      </c>
      <c r="I13" s="105">
        <f t="shared" si="1"/>
        <v>11.390518349532549</v>
      </c>
      <c r="J13" s="105">
        <f t="shared" si="5"/>
        <v>1</v>
      </c>
      <c r="K13" s="104">
        <f t="shared" si="2"/>
        <v>10</v>
      </c>
      <c r="L13" s="104"/>
      <c r="M13" s="106">
        <f t="shared" si="3"/>
        <v>21.390518349532549</v>
      </c>
      <c r="X13" s="107"/>
      <c r="AG13" s="109"/>
      <c r="AH13" s="91" t="s">
        <v>58</v>
      </c>
      <c r="AI13" s="91">
        <f>LOG(AI9)</f>
        <v>1.3617278360175928</v>
      </c>
    </row>
    <row r="14" spans="1:36" x14ac:dyDescent="0.25">
      <c r="A14" s="137">
        <f t="shared" si="4"/>
        <v>9.2036129411516754</v>
      </c>
      <c r="B14" s="38">
        <f t="shared" si="0"/>
        <v>9</v>
      </c>
      <c r="C14" s="39" t="s">
        <v>54</v>
      </c>
      <c r="D14" s="39"/>
      <c r="E14" s="39"/>
      <c r="F14" s="39"/>
      <c r="G14" s="32"/>
      <c r="H14" s="101">
        <v>9</v>
      </c>
      <c r="I14" s="102">
        <f t="shared" si="1"/>
        <v>9.2036129411516754</v>
      </c>
      <c r="J14" s="102">
        <f t="shared" si="5"/>
        <v>0</v>
      </c>
      <c r="K14" s="101">
        <f t="shared" si="2"/>
        <v>0</v>
      </c>
      <c r="L14" s="101"/>
      <c r="M14" s="103">
        <f t="shared" si="3"/>
        <v>9.2036129411516754</v>
      </c>
      <c r="X14" s="111"/>
      <c r="Z14" s="108"/>
      <c r="AA14" s="108"/>
      <c r="AG14" s="109"/>
      <c r="AH14" s="91" t="s">
        <v>59</v>
      </c>
      <c r="AI14" s="91">
        <f>LOG(AI10)</f>
        <v>1.6532125137753437</v>
      </c>
    </row>
    <row r="15" spans="1:36" x14ac:dyDescent="0.25">
      <c r="A15" s="138">
        <f t="shared" si="4"/>
        <v>7.2473593920913615</v>
      </c>
      <c r="B15" s="44">
        <f t="shared" si="0"/>
        <v>10</v>
      </c>
      <c r="C15" s="45" t="s">
        <v>54</v>
      </c>
      <c r="D15" s="45"/>
      <c r="E15" s="45"/>
      <c r="F15" s="45"/>
      <c r="G15" s="32"/>
      <c r="H15" s="104">
        <v>10</v>
      </c>
      <c r="I15" s="105">
        <f t="shared" si="1"/>
        <v>7.2473593920913615</v>
      </c>
      <c r="J15" s="105">
        <f t="shared" si="5"/>
        <v>0</v>
      </c>
      <c r="K15" s="104">
        <f t="shared" si="2"/>
        <v>0</v>
      </c>
      <c r="L15" s="104"/>
      <c r="M15" s="106">
        <f t="shared" si="3"/>
        <v>7.2473593920913615</v>
      </c>
      <c r="X15" s="107"/>
      <c r="Z15" s="108"/>
      <c r="AA15" s="108"/>
    </row>
    <row r="16" spans="1:36" x14ac:dyDescent="0.25">
      <c r="A16" s="137">
        <f t="shared" si="4"/>
        <v>5.4777127997254453</v>
      </c>
      <c r="B16" s="38">
        <f t="shared" si="0"/>
        <v>11</v>
      </c>
      <c r="C16" s="39" t="s">
        <v>54</v>
      </c>
      <c r="D16" s="39"/>
      <c r="E16" s="39"/>
      <c r="F16" s="39"/>
      <c r="G16" s="32"/>
      <c r="H16" s="101">
        <v>11</v>
      </c>
      <c r="I16" s="102">
        <f t="shared" si="1"/>
        <v>5.4777127997254453</v>
      </c>
      <c r="J16" s="102">
        <f t="shared" si="5"/>
        <v>0</v>
      </c>
      <c r="K16" s="101">
        <f t="shared" si="2"/>
        <v>0</v>
      </c>
      <c r="L16" s="101"/>
      <c r="M16" s="103">
        <f t="shared" si="3"/>
        <v>5.4777127997254453</v>
      </c>
      <c r="R16" s="112"/>
      <c r="Z16" s="108"/>
      <c r="AA16" s="108"/>
      <c r="AH16" s="113" t="s">
        <v>60</v>
      </c>
      <c r="AI16" s="91">
        <f>AI11-AI12*AI13/AI14</f>
        <v>9.6393909380186855</v>
      </c>
      <c r="AJ16" s="91" t="s">
        <v>61</v>
      </c>
    </row>
    <row r="17" spans="1:19" x14ac:dyDescent="0.25">
      <c r="A17" s="138">
        <f t="shared" si="4"/>
        <v>3.8621520369308655</v>
      </c>
      <c r="B17" s="44">
        <f t="shared" si="0"/>
        <v>12</v>
      </c>
      <c r="C17" s="45" t="s">
        <v>54</v>
      </c>
      <c r="D17" s="45"/>
      <c r="E17" s="45"/>
      <c r="F17" s="45"/>
      <c r="G17" s="32"/>
      <c r="H17" s="104">
        <v>12</v>
      </c>
      <c r="I17" s="105">
        <f t="shared" si="1"/>
        <v>3.8621520369308655</v>
      </c>
      <c r="J17" s="105">
        <f t="shared" si="5"/>
        <v>0</v>
      </c>
      <c r="K17" s="104">
        <f t="shared" si="2"/>
        <v>0</v>
      </c>
      <c r="L17" s="104"/>
      <c r="M17" s="106">
        <f t="shared" si="3"/>
        <v>3.8621520369308655</v>
      </c>
    </row>
    <row r="18" spans="1:19" x14ac:dyDescent="0.25">
      <c r="A18" s="137">
        <f t="shared" si="4"/>
        <v>2.3759802012568514</v>
      </c>
      <c r="B18" s="38">
        <f t="shared" si="0"/>
        <v>13</v>
      </c>
      <c r="C18" s="39" t="s">
        <v>54</v>
      </c>
      <c r="D18" s="39"/>
      <c r="E18" s="39"/>
      <c r="F18" s="39"/>
      <c r="G18" s="32"/>
      <c r="H18" s="101">
        <v>13</v>
      </c>
      <c r="I18" s="102">
        <f t="shared" si="1"/>
        <v>2.3759802012568514</v>
      </c>
      <c r="J18" s="102">
        <f t="shared" si="5"/>
        <v>0</v>
      </c>
      <c r="K18" s="101">
        <f t="shared" si="2"/>
        <v>0</v>
      </c>
      <c r="L18" s="101"/>
      <c r="M18" s="103">
        <f t="shared" si="3"/>
        <v>2.3759802012568514</v>
      </c>
    </row>
    <row r="19" spans="1:19" x14ac:dyDescent="0.25">
      <c r="A19" s="138">
        <f t="shared" si="4"/>
        <v>1</v>
      </c>
      <c r="B19" s="44">
        <f t="shared" si="0"/>
        <v>14</v>
      </c>
      <c r="C19" s="45" t="s">
        <v>54</v>
      </c>
      <c r="D19" s="45"/>
      <c r="E19" s="45"/>
      <c r="F19" s="45"/>
      <c r="G19" s="32"/>
      <c r="H19" s="104">
        <v>14</v>
      </c>
      <c r="I19" s="105">
        <f t="shared" si="1"/>
        <v>1</v>
      </c>
      <c r="J19" s="105">
        <f t="shared" si="5"/>
        <v>0</v>
      </c>
      <c r="K19" s="104">
        <f t="shared" si="2"/>
        <v>0</v>
      </c>
      <c r="L19" s="104"/>
      <c r="M19" s="106">
        <f t="shared" si="3"/>
        <v>1</v>
      </c>
    </row>
    <row r="20" spans="1:19" x14ac:dyDescent="0.25">
      <c r="A20" s="137">
        <f t="shared" si="4"/>
        <v>0</v>
      </c>
      <c r="B20" s="38" t="str">
        <f t="shared" si="0"/>
        <v/>
      </c>
      <c r="C20" s="39"/>
      <c r="D20" s="39"/>
      <c r="E20" s="39"/>
      <c r="F20" s="39"/>
      <c r="G20" s="32"/>
      <c r="H20" s="101">
        <v>15</v>
      </c>
      <c r="I20" s="102" t="str">
        <f t="shared" si="1"/>
        <v/>
      </c>
      <c r="J20" s="102">
        <f t="shared" si="5"/>
        <v>0</v>
      </c>
      <c r="K20" s="101">
        <f t="shared" si="2"/>
        <v>0</v>
      </c>
      <c r="L20" s="101"/>
      <c r="M20" s="103">
        <f t="shared" si="3"/>
        <v>0</v>
      </c>
      <c r="R20" s="114"/>
      <c r="S20" s="115"/>
    </row>
    <row r="21" spans="1:19" x14ac:dyDescent="0.25">
      <c r="A21" s="138">
        <f t="shared" si="4"/>
        <v>0</v>
      </c>
      <c r="B21" s="44" t="str">
        <f t="shared" si="0"/>
        <v/>
      </c>
      <c r="C21" s="45"/>
      <c r="D21" s="45"/>
      <c r="E21" s="45"/>
      <c r="F21" s="45"/>
      <c r="G21" s="32"/>
      <c r="H21" s="104">
        <v>16</v>
      </c>
      <c r="I21" s="105" t="str">
        <f t="shared" si="1"/>
        <v/>
      </c>
      <c r="J21" s="105">
        <f t="shared" si="5"/>
        <v>0</v>
      </c>
      <c r="K21" s="104">
        <f t="shared" si="2"/>
        <v>0</v>
      </c>
      <c r="L21" s="104"/>
      <c r="M21" s="106">
        <f t="shared" si="3"/>
        <v>0</v>
      </c>
    </row>
    <row r="22" spans="1:19" x14ac:dyDescent="0.25">
      <c r="A22" s="137">
        <f t="shared" si="4"/>
        <v>0</v>
      </c>
      <c r="B22" s="38" t="str">
        <f t="shared" si="0"/>
        <v/>
      </c>
      <c r="C22" s="39"/>
      <c r="D22" s="39"/>
      <c r="E22" s="39"/>
      <c r="F22" s="39"/>
      <c r="G22" s="32"/>
      <c r="H22" s="101">
        <v>17</v>
      </c>
      <c r="I22" s="102" t="str">
        <f t="shared" si="1"/>
        <v/>
      </c>
      <c r="J22" s="102">
        <f t="shared" si="5"/>
        <v>-1</v>
      </c>
      <c r="K22" s="101">
        <f t="shared" si="2"/>
        <v>-10</v>
      </c>
      <c r="L22" s="101"/>
      <c r="M22" s="103">
        <f t="shared" si="3"/>
        <v>0</v>
      </c>
    </row>
    <row r="23" spans="1:19" x14ac:dyDescent="0.25">
      <c r="A23" s="138">
        <f t="shared" si="4"/>
        <v>0</v>
      </c>
      <c r="B23" s="44" t="str">
        <f t="shared" si="0"/>
        <v/>
      </c>
      <c r="C23" s="45"/>
      <c r="D23" s="45"/>
      <c r="E23" s="45"/>
      <c r="F23" s="45"/>
      <c r="G23" s="32"/>
      <c r="H23" s="104">
        <v>18</v>
      </c>
      <c r="I23" s="105" t="str">
        <f t="shared" si="1"/>
        <v/>
      </c>
      <c r="J23" s="105">
        <f t="shared" si="5"/>
        <v>-1</v>
      </c>
      <c r="K23" s="104">
        <f t="shared" si="2"/>
        <v>-10</v>
      </c>
      <c r="L23" s="104"/>
      <c r="M23" s="106">
        <f t="shared" si="3"/>
        <v>0</v>
      </c>
    </row>
    <row r="24" spans="1:19" x14ac:dyDescent="0.25">
      <c r="A24" s="137">
        <f t="shared" si="4"/>
        <v>0</v>
      </c>
      <c r="B24" s="38" t="str">
        <f t="shared" si="0"/>
        <v/>
      </c>
      <c r="C24" s="39"/>
      <c r="D24" s="39"/>
      <c r="E24" s="39"/>
      <c r="F24" s="39"/>
      <c r="G24" s="32"/>
      <c r="H24" s="101">
        <v>19</v>
      </c>
      <c r="I24" s="102" t="str">
        <f t="shared" si="1"/>
        <v/>
      </c>
      <c r="J24" s="102">
        <f t="shared" si="5"/>
        <v>-1</v>
      </c>
      <c r="K24" s="101">
        <f t="shared" si="2"/>
        <v>-10</v>
      </c>
      <c r="L24" s="101"/>
      <c r="M24" s="103">
        <f t="shared" si="3"/>
        <v>0</v>
      </c>
      <c r="R24" s="114"/>
      <c r="S24" s="115"/>
    </row>
    <row r="25" spans="1:19" x14ac:dyDescent="0.25">
      <c r="A25" s="138">
        <f t="shared" si="4"/>
        <v>0</v>
      </c>
      <c r="B25" s="44" t="str">
        <f t="shared" si="0"/>
        <v/>
      </c>
      <c r="C25" s="45"/>
      <c r="D25" s="45"/>
      <c r="E25" s="45"/>
      <c r="F25" s="45"/>
      <c r="G25" s="32"/>
      <c r="H25" s="104">
        <v>20</v>
      </c>
      <c r="I25" s="105" t="str">
        <f t="shared" si="1"/>
        <v/>
      </c>
      <c r="J25" s="105">
        <f t="shared" si="5"/>
        <v>-1</v>
      </c>
      <c r="K25" s="104">
        <f t="shared" si="2"/>
        <v>-10</v>
      </c>
      <c r="L25" s="104"/>
      <c r="M25" s="106">
        <f t="shared" si="3"/>
        <v>0</v>
      </c>
    </row>
    <row r="26" spans="1:19" x14ac:dyDescent="0.25">
      <c r="A26" s="137">
        <f t="shared" si="4"/>
        <v>0</v>
      </c>
      <c r="B26" s="38" t="str">
        <f t="shared" si="0"/>
        <v/>
      </c>
      <c r="C26" s="39"/>
      <c r="D26" s="39"/>
      <c r="E26" s="39"/>
      <c r="F26" s="39"/>
      <c r="G26" s="32"/>
      <c r="H26" s="101">
        <v>21</v>
      </c>
      <c r="I26" s="102" t="str">
        <f t="shared" si="1"/>
        <v/>
      </c>
      <c r="J26" s="102">
        <f t="shared" si="5"/>
        <v>-1</v>
      </c>
      <c r="K26" s="101">
        <f t="shared" si="2"/>
        <v>-10</v>
      </c>
      <c r="L26" s="101"/>
      <c r="M26" s="103">
        <f t="shared" si="3"/>
        <v>0</v>
      </c>
    </row>
    <row r="27" spans="1:19" x14ac:dyDescent="0.25">
      <c r="A27" s="138">
        <f t="shared" si="4"/>
        <v>0</v>
      </c>
      <c r="B27" s="44" t="str">
        <f t="shared" si="0"/>
        <v/>
      </c>
      <c r="C27" s="45"/>
      <c r="D27" s="45"/>
      <c r="E27" s="45"/>
      <c r="F27" s="45"/>
      <c r="G27" s="32"/>
      <c r="H27" s="104">
        <v>22</v>
      </c>
      <c r="I27" s="105" t="str">
        <f t="shared" si="1"/>
        <v/>
      </c>
      <c r="J27" s="105">
        <f t="shared" si="5"/>
        <v>-1</v>
      </c>
      <c r="K27" s="104">
        <f t="shared" si="2"/>
        <v>-10</v>
      </c>
      <c r="L27" s="104"/>
      <c r="M27" s="106">
        <f t="shared" si="3"/>
        <v>0</v>
      </c>
    </row>
    <row r="28" spans="1:19" x14ac:dyDescent="0.25">
      <c r="A28" s="137">
        <f t="shared" si="4"/>
        <v>0</v>
      </c>
      <c r="B28" s="38" t="str">
        <f t="shared" si="0"/>
        <v/>
      </c>
      <c r="C28" s="39"/>
      <c r="D28" s="39"/>
      <c r="E28" s="39"/>
      <c r="F28" s="39"/>
      <c r="G28" s="32"/>
      <c r="H28" s="101">
        <v>23</v>
      </c>
      <c r="I28" s="102" t="str">
        <f t="shared" si="1"/>
        <v/>
      </c>
      <c r="J28" s="102">
        <f t="shared" si="5"/>
        <v>-1</v>
      </c>
      <c r="K28" s="101">
        <f t="shared" si="2"/>
        <v>-10</v>
      </c>
      <c r="L28" s="101"/>
      <c r="M28" s="103">
        <f t="shared" si="3"/>
        <v>0</v>
      </c>
      <c r="R28" s="114"/>
      <c r="S28" s="115"/>
    </row>
    <row r="29" spans="1:19" x14ac:dyDescent="0.25">
      <c r="A29" s="138">
        <f t="shared" si="4"/>
        <v>0</v>
      </c>
      <c r="B29" s="44" t="str">
        <f t="shared" si="0"/>
        <v/>
      </c>
      <c r="C29" s="45"/>
      <c r="D29" s="45"/>
      <c r="E29" s="45"/>
      <c r="F29" s="45"/>
      <c r="G29" s="84"/>
      <c r="H29" s="104">
        <v>24</v>
      </c>
      <c r="I29" s="105" t="str">
        <f t="shared" si="1"/>
        <v/>
      </c>
      <c r="J29" s="105">
        <f t="shared" si="5"/>
        <v>-1</v>
      </c>
      <c r="K29" s="104">
        <f t="shared" si="2"/>
        <v>-10</v>
      </c>
      <c r="L29" s="104"/>
      <c r="M29" s="106">
        <f t="shared" si="3"/>
        <v>0</v>
      </c>
    </row>
    <row r="30" spans="1:19" x14ac:dyDescent="0.25">
      <c r="A30" s="137">
        <f t="shared" si="4"/>
        <v>0</v>
      </c>
      <c r="B30" s="38" t="str">
        <f t="shared" si="0"/>
        <v/>
      </c>
      <c r="C30" s="39"/>
      <c r="D30" s="39"/>
      <c r="E30" s="39"/>
      <c r="F30" s="39"/>
      <c r="G30" s="84"/>
      <c r="H30" s="101">
        <v>25</v>
      </c>
      <c r="I30" s="102" t="str">
        <f t="shared" si="1"/>
        <v/>
      </c>
      <c r="J30" s="102">
        <f t="shared" si="5"/>
        <v>-1</v>
      </c>
      <c r="K30" s="101">
        <f t="shared" si="2"/>
        <v>-10</v>
      </c>
      <c r="L30" s="101"/>
      <c r="M30" s="103">
        <f t="shared" si="3"/>
        <v>0</v>
      </c>
    </row>
    <row r="31" spans="1:19" x14ac:dyDescent="0.25">
      <c r="A31" s="138">
        <f t="shared" si="4"/>
        <v>0</v>
      </c>
      <c r="B31" s="44" t="str">
        <f t="shared" si="0"/>
        <v/>
      </c>
      <c r="C31" s="45"/>
      <c r="D31" s="45"/>
      <c r="E31" s="45"/>
      <c r="F31" s="45"/>
      <c r="G31" s="84"/>
      <c r="H31" s="104">
        <v>26</v>
      </c>
      <c r="I31" s="105" t="str">
        <f t="shared" si="1"/>
        <v/>
      </c>
      <c r="J31" s="105">
        <f t="shared" si="5"/>
        <v>-1</v>
      </c>
      <c r="K31" s="104">
        <f t="shared" si="2"/>
        <v>-10</v>
      </c>
      <c r="L31" s="104"/>
      <c r="M31" s="106">
        <f t="shared" si="3"/>
        <v>0</v>
      </c>
    </row>
    <row r="32" spans="1:19" x14ac:dyDescent="0.25">
      <c r="A32" s="137">
        <f t="shared" si="4"/>
        <v>0</v>
      </c>
      <c r="B32" s="38" t="str">
        <f t="shared" si="0"/>
        <v/>
      </c>
      <c r="C32" s="39"/>
      <c r="D32" s="39"/>
      <c r="E32" s="39"/>
      <c r="F32" s="39"/>
      <c r="G32" s="84"/>
      <c r="H32" s="101">
        <v>27</v>
      </c>
      <c r="I32" s="102" t="str">
        <f t="shared" si="1"/>
        <v/>
      </c>
      <c r="J32" s="102">
        <f t="shared" si="5"/>
        <v>-1</v>
      </c>
      <c r="K32" s="101">
        <f t="shared" si="2"/>
        <v>-10</v>
      </c>
      <c r="L32" s="101"/>
      <c r="M32" s="103">
        <f t="shared" si="3"/>
        <v>0</v>
      </c>
      <c r="R32" s="114"/>
      <c r="S32" s="115"/>
    </row>
    <row r="33" spans="1:21" x14ac:dyDescent="0.25">
      <c r="A33" s="138">
        <f t="shared" si="4"/>
        <v>0</v>
      </c>
      <c r="B33" s="44" t="str">
        <f t="shared" si="0"/>
        <v/>
      </c>
      <c r="C33" s="45"/>
      <c r="D33" s="45"/>
      <c r="E33" s="45"/>
      <c r="F33" s="45"/>
      <c r="G33" s="84"/>
      <c r="H33" s="104">
        <v>28</v>
      </c>
      <c r="I33" s="105" t="str">
        <f t="shared" si="1"/>
        <v/>
      </c>
      <c r="J33" s="105">
        <f t="shared" si="5"/>
        <v>-1</v>
      </c>
      <c r="K33" s="104">
        <f t="shared" si="2"/>
        <v>-10</v>
      </c>
      <c r="L33" s="104"/>
      <c r="M33" s="106">
        <f t="shared" si="3"/>
        <v>0</v>
      </c>
    </row>
    <row r="34" spans="1:21" x14ac:dyDescent="0.25">
      <c r="A34" s="137">
        <f t="shared" si="4"/>
        <v>0</v>
      </c>
      <c r="B34" s="38" t="str">
        <f t="shared" si="0"/>
        <v/>
      </c>
      <c r="C34" s="39"/>
      <c r="D34" s="39"/>
      <c r="E34" s="39"/>
      <c r="F34" s="39"/>
      <c r="G34" s="84"/>
      <c r="H34" s="101">
        <v>29</v>
      </c>
      <c r="I34" s="102" t="str">
        <f t="shared" si="1"/>
        <v/>
      </c>
      <c r="J34" s="102">
        <f t="shared" si="5"/>
        <v>-1</v>
      </c>
      <c r="K34" s="101">
        <f t="shared" si="2"/>
        <v>-10</v>
      </c>
      <c r="L34" s="101"/>
      <c r="M34" s="103">
        <f t="shared" si="3"/>
        <v>0</v>
      </c>
    </row>
    <row r="35" spans="1:21" x14ac:dyDescent="0.25">
      <c r="A35" s="138">
        <f t="shared" si="4"/>
        <v>0</v>
      </c>
      <c r="B35" s="44" t="str">
        <f t="shared" si="0"/>
        <v/>
      </c>
      <c r="C35" s="45"/>
      <c r="D35" s="45"/>
      <c r="E35" s="45"/>
      <c r="F35" s="45"/>
      <c r="G35" s="84"/>
      <c r="H35" s="104">
        <v>30</v>
      </c>
      <c r="I35" s="105" t="str">
        <f t="shared" si="1"/>
        <v/>
      </c>
      <c r="J35" s="105">
        <f t="shared" si="5"/>
        <v>-1</v>
      </c>
      <c r="K35" s="104">
        <f t="shared" si="2"/>
        <v>-10</v>
      </c>
      <c r="L35" s="104"/>
      <c r="M35" s="106">
        <f t="shared" si="3"/>
        <v>0</v>
      </c>
    </row>
    <row r="36" spans="1:21" x14ac:dyDescent="0.25">
      <c r="A36" s="137">
        <f t="shared" si="4"/>
        <v>0</v>
      </c>
      <c r="B36" s="38" t="str">
        <f t="shared" si="0"/>
        <v/>
      </c>
      <c r="C36" s="39"/>
      <c r="D36" s="39"/>
      <c r="E36" s="39"/>
      <c r="F36" s="39"/>
      <c r="G36" s="84"/>
      <c r="H36" s="101">
        <v>31</v>
      </c>
      <c r="I36" s="102" t="str">
        <f t="shared" si="1"/>
        <v/>
      </c>
      <c r="J36" s="102">
        <f t="shared" si="5"/>
        <v>-1</v>
      </c>
      <c r="K36" s="101">
        <f t="shared" si="2"/>
        <v>-10</v>
      </c>
      <c r="L36" s="101"/>
      <c r="M36" s="103">
        <f t="shared" si="3"/>
        <v>0</v>
      </c>
      <c r="R36" s="114"/>
      <c r="S36" s="115"/>
    </row>
    <row r="37" spans="1:21" x14ac:dyDescent="0.25">
      <c r="A37" s="138">
        <f t="shared" si="4"/>
        <v>0</v>
      </c>
      <c r="B37" s="44" t="str">
        <f t="shared" si="0"/>
        <v/>
      </c>
      <c r="C37" s="45"/>
      <c r="D37" s="45"/>
      <c r="E37" s="45"/>
      <c r="F37" s="45"/>
      <c r="G37" s="84"/>
      <c r="H37" s="104">
        <v>32</v>
      </c>
      <c r="I37" s="105" t="str">
        <f t="shared" si="1"/>
        <v/>
      </c>
      <c r="J37" s="105">
        <f t="shared" si="5"/>
        <v>-1</v>
      </c>
      <c r="K37" s="104">
        <f t="shared" si="2"/>
        <v>-10</v>
      </c>
      <c r="L37" s="104"/>
      <c r="M37" s="106">
        <f t="shared" si="3"/>
        <v>0</v>
      </c>
    </row>
    <row r="38" spans="1:21" x14ac:dyDescent="0.25">
      <c r="A38" s="138">
        <f t="shared" si="4"/>
        <v>0</v>
      </c>
      <c r="B38" s="38" t="str">
        <f t="shared" si="0"/>
        <v/>
      </c>
      <c r="C38" s="39"/>
      <c r="D38" s="39"/>
      <c r="E38" s="39"/>
      <c r="F38" s="39"/>
      <c r="G38" s="84"/>
      <c r="H38" s="101">
        <v>33</v>
      </c>
      <c r="I38" s="102" t="str">
        <f t="shared" si="1"/>
        <v/>
      </c>
      <c r="J38" s="102">
        <f t="shared" si="5"/>
        <v>-2</v>
      </c>
      <c r="K38" s="101">
        <f t="shared" si="2"/>
        <v>-20</v>
      </c>
      <c r="L38" s="101"/>
      <c r="M38" s="103">
        <f t="shared" si="3"/>
        <v>0</v>
      </c>
    </row>
    <row r="39" spans="1:21" x14ac:dyDescent="0.25">
      <c r="A39" s="138">
        <f t="shared" si="4"/>
        <v>0</v>
      </c>
      <c r="B39" s="44" t="str">
        <f t="shared" si="0"/>
        <v/>
      </c>
      <c r="C39" s="45"/>
      <c r="D39" s="45"/>
      <c r="E39" s="45"/>
      <c r="F39" s="45"/>
      <c r="G39" s="84"/>
      <c r="H39" s="104">
        <v>34</v>
      </c>
      <c r="I39" s="105" t="str">
        <f t="shared" si="1"/>
        <v/>
      </c>
      <c r="J39" s="105">
        <f t="shared" si="5"/>
        <v>-2</v>
      </c>
      <c r="K39" s="104">
        <f t="shared" si="2"/>
        <v>-20</v>
      </c>
      <c r="L39" s="104"/>
      <c r="M39" s="106">
        <f t="shared" si="3"/>
        <v>0</v>
      </c>
    </row>
    <row r="40" spans="1:21" x14ac:dyDescent="0.25">
      <c r="A40" s="138">
        <f t="shared" si="4"/>
        <v>0</v>
      </c>
      <c r="B40" s="38" t="str">
        <f t="shared" si="0"/>
        <v/>
      </c>
      <c r="C40" s="39"/>
      <c r="D40" s="39"/>
      <c r="E40" s="39"/>
      <c r="F40" s="39"/>
      <c r="G40" s="84"/>
      <c r="H40" s="101">
        <v>35</v>
      </c>
      <c r="I40" s="102" t="str">
        <f t="shared" si="1"/>
        <v/>
      </c>
      <c r="J40" s="102">
        <f t="shared" si="5"/>
        <v>-2</v>
      </c>
      <c r="K40" s="101">
        <f t="shared" si="2"/>
        <v>-20</v>
      </c>
      <c r="L40" s="101"/>
      <c r="M40" s="103">
        <f t="shared" si="3"/>
        <v>0</v>
      </c>
    </row>
    <row r="41" spans="1:21" x14ac:dyDescent="0.25">
      <c r="A41" s="138">
        <f t="shared" si="4"/>
        <v>0</v>
      </c>
      <c r="B41" s="44" t="str">
        <f t="shared" si="0"/>
        <v/>
      </c>
      <c r="C41" s="45"/>
      <c r="D41" s="45"/>
      <c r="E41" s="45"/>
      <c r="F41" s="45"/>
      <c r="G41" s="84"/>
      <c r="H41" s="104">
        <v>36</v>
      </c>
      <c r="I41" s="105" t="str">
        <f t="shared" si="1"/>
        <v/>
      </c>
      <c r="J41" s="105">
        <f t="shared" si="5"/>
        <v>-2</v>
      </c>
      <c r="K41" s="104">
        <f t="shared" si="2"/>
        <v>-20</v>
      </c>
      <c r="L41" s="104"/>
      <c r="M41" s="106">
        <f t="shared" si="3"/>
        <v>0</v>
      </c>
      <c r="S41" s="116"/>
    </row>
    <row r="42" spans="1:21" x14ac:dyDescent="0.25">
      <c r="A42" s="138">
        <f t="shared" si="4"/>
        <v>0</v>
      </c>
      <c r="B42" s="38" t="str">
        <f t="shared" si="0"/>
        <v/>
      </c>
      <c r="C42" s="39"/>
      <c r="D42" s="39"/>
      <c r="E42" s="39"/>
      <c r="F42" s="39"/>
      <c r="G42" s="84"/>
      <c r="H42" s="101">
        <v>37</v>
      </c>
      <c r="I42" s="102" t="str">
        <f t="shared" si="1"/>
        <v/>
      </c>
      <c r="J42" s="102">
        <f t="shared" si="5"/>
        <v>-2</v>
      </c>
      <c r="K42" s="101">
        <f t="shared" si="2"/>
        <v>-20</v>
      </c>
      <c r="L42" s="101"/>
      <c r="M42" s="103">
        <f t="shared" si="3"/>
        <v>0</v>
      </c>
    </row>
    <row r="43" spans="1:21" x14ac:dyDescent="0.25">
      <c r="A43" s="138">
        <f t="shared" si="4"/>
        <v>0</v>
      </c>
      <c r="B43" s="44" t="str">
        <f t="shared" si="0"/>
        <v/>
      </c>
      <c r="C43" s="45"/>
      <c r="D43" s="45"/>
      <c r="E43" s="45"/>
      <c r="F43" s="45"/>
      <c r="G43" s="84"/>
      <c r="H43" s="104">
        <v>38</v>
      </c>
      <c r="I43" s="105" t="str">
        <f t="shared" si="1"/>
        <v/>
      </c>
      <c r="J43" s="105">
        <f t="shared" si="5"/>
        <v>-2</v>
      </c>
      <c r="K43" s="104">
        <f t="shared" si="2"/>
        <v>-20</v>
      </c>
      <c r="L43" s="104"/>
      <c r="M43" s="106">
        <f t="shared" si="3"/>
        <v>0</v>
      </c>
    </row>
    <row r="44" spans="1:21" x14ac:dyDescent="0.25">
      <c r="A44" s="138">
        <f t="shared" si="4"/>
        <v>0</v>
      </c>
      <c r="B44" s="38" t="str">
        <f t="shared" si="0"/>
        <v/>
      </c>
      <c r="C44" s="39"/>
      <c r="D44" s="39"/>
      <c r="E44" s="39"/>
      <c r="F44" s="39"/>
      <c r="G44" s="84"/>
      <c r="H44" s="101">
        <v>39</v>
      </c>
      <c r="I44" s="102" t="str">
        <f t="shared" si="1"/>
        <v/>
      </c>
      <c r="J44" s="102">
        <f t="shared" si="5"/>
        <v>-2</v>
      </c>
      <c r="K44" s="101">
        <f t="shared" si="2"/>
        <v>-20</v>
      </c>
      <c r="L44" s="101"/>
      <c r="M44" s="103">
        <f t="shared" si="3"/>
        <v>0</v>
      </c>
    </row>
    <row r="45" spans="1:21" x14ac:dyDescent="0.25">
      <c r="A45" s="138">
        <f t="shared" si="4"/>
        <v>0</v>
      </c>
      <c r="B45" s="44" t="str">
        <f t="shared" si="0"/>
        <v/>
      </c>
      <c r="C45" s="45"/>
      <c r="D45" s="45"/>
      <c r="E45" s="45"/>
      <c r="F45" s="45"/>
      <c r="G45" s="84"/>
      <c r="H45" s="104">
        <v>40</v>
      </c>
      <c r="I45" s="105" t="str">
        <f t="shared" si="1"/>
        <v/>
      </c>
      <c r="J45" s="105">
        <f t="shared" si="5"/>
        <v>-2</v>
      </c>
      <c r="K45" s="104">
        <f t="shared" si="2"/>
        <v>-20</v>
      </c>
      <c r="L45" s="104"/>
      <c r="M45" s="106">
        <f t="shared" si="3"/>
        <v>0</v>
      </c>
    </row>
    <row r="46" spans="1:21" x14ac:dyDescent="0.25">
      <c r="A46" s="138">
        <f t="shared" si="4"/>
        <v>0</v>
      </c>
      <c r="B46" s="38" t="str">
        <f t="shared" si="0"/>
        <v/>
      </c>
      <c r="C46" s="39"/>
      <c r="D46" s="39"/>
      <c r="E46" s="39"/>
      <c r="F46" s="39"/>
      <c r="G46" s="84"/>
      <c r="H46" s="101">
        <v>41</v>
      </c>
      <c r="I46" s="102" t="str">
        <f t="shared" si="1"/>
        <v/>
      </c>
      <c r="J46" s="102">
        <f t="shared" si="5"/>
        <v>-2</v>
      </c>
      <c r="K46" s="101">
        <f t="shared" si="2"/>
        <v>-20</v>
      </c>
      <c r="L46" s="101"/>
      <c r="M46" s="103">
        <f t="shared" si="3"/>
        <v>0</v>
      </c>
      <c r="R46" s="84">
        <f>LOG($H$2,2)</f>
        <v>3.8073549220576037</v>
      </c>
      <c r="T46" s="91">
        <f>LOG(H38,2)</f>
        <v>5.0443941193584534</v>
      </c>
      <c r="U46" s="91">
        <f>R46-T46</f>
        <v>-1.2370391973008497</v>
      </c>
    </row>
    <row r="47" spans="1:21" x14ac:dyDescent="0.25">
      <c r="A47" s="138">
        <f t="shared" si="4"/>
        <v>0</v>
      </c>
      <c r="B47" s="44" t="str">
        <f t="shared" si="0"/>
        <v/>
      </c>
      <c r="C47" s="45"/>
      <c r="D47" s="45"/>
      <c r="E47" s="45"/>
      <c r="F47" s="45"/>
      <c r="G47" s="84"/>
      <c r="H47" s="104">
        <v>42</v>
      </c>
      <c r="I47" s="105" t="str">
        <f t="shared" si="1"/>
        <v/>
      </c>
      <c r="J47" s="105">
        <f t="shared" si="5"/>
        <v>-2</v>
      </c>
      <c r="K47" s="104">
        <f t="shared" si="2"/>
        <v>-20</v>
      </c>
      <c r="L47" s="104"/>
      <c r="M47" s="106">
        <f t="shared" si="3"/>
        <v>0</v>
      </c>
    </row>
    <row r="48" spans="1:21" x14ac:dyDescent="0.25">
      <c r="A48" s="138">
        <f t="shared" si="4"/>
        <v>0</v>
      </c>
      <c r="B48" s="38" t="str">
        <f t="shared" si="0"/>
        <v/>
      </c>
      <c r="C48" s="39"/>
      <c r="D48" s="39"/>
      <c r="E48" s="39"/>
      <c r="F48" s="39"/>
      <c r="G48" s="84"/>
      <c r="H48" s="101">
        <v>43</v>
      </c>
      <c r="I48" s="102" t="str">
        <f t="shared" si="1"/>
        <v/>
      </c>
      <c r="J48" s="102">
        <f t="shared" si="5"/>
        <v>-2</v>
      </c>
      <c r="K48" s="101">
        <f t="shared" si="2"/>
        <v>-20</v>
      </c>
      <c r="L48" s="101"/>
      <c r="M48" s="103">
        <f t="shared" si="3"/>
        <v>0</v>
      </c>
    </row>
    <row r="49" spans="1:13" x14ac:dyDescent="0.25">
      <c r="A49" s="138">
        <f t="shared" si="4"/>
        <v>0</v>
      </c>
      <c r="B49" s="44" t="str">
        <f t="shared" si="0"/>
        <v/>
      </c>
      <c r="C49" s="45"/>
      <c r="D49" s="45"/>
      <c r="E49" s="45"/>
      <c r="F49" s="45"/>
      <c r="G49" s="84"/>
      <c r="H49" s="104">
        <v>44</v>
      </c>
      <c r="I49" s="105" t="str">
        <f t="shared" si="1"/>
        <v/>
      </c>
      <c r="J49" s="105">
        <f t="shared" si="5"/>
        <v>-2</v>
      </c>
      <c r="K49" s="104">
        <f t="shared" si="2"/>
        <v>-20</v>
      </c>
      <c r="L49" s="104"/>
      <c r="M49" s="106">
        <f t="shared" si="3"/>
        <v>0</v>
      </c>
    </row>
    <row r="50" spans="1:13" x14ac:dyDescent="0.25">
      <c r="A50" s="138">
        <f t="shared" si="4"/>
        <v>0</v>
      </c>
      <c r="B50" s="38" t="str">
        <f t="shared" si="0"/>
        <v/>
      </c>
      <c r="C50" s="39"/>
      <c r="D50" s="39"/>
      <c r="E50" s="39"/>
      <c r="F50" s="39"/>
      <c r="G50" s="84"/>
      <c r="H50" s="101">
        <v>45</v>
      </c>
      <c r="I50" s="102" t="str">
        <f t="shared" si="1"/>
        <v/>
      </c>
      <c r="J50" s="102">
        <f t="shared" si="5"/>
        <v>-2</v>
      </c>
      <c r="K50" s="101">
        <f t="shared" si="2"/>
        <v>-20</v>
      </c>
      <c r="L50" s="101"/>
      <c r="M50" s="103">
        <f t="shared" si="3"/>
        <v>0</v>
      </c>
    </row>
    <row r="51" spans="1:13" x14ac:dyDescent="0.25">
      <c r="A51" s="138">
        <f t="shared" si="4"/>
        <v>0</v>
      </c>
      <c r="B51" s="44" t="str">
        <f t="shared" si="0"/>
        <v/>
      </c>
      <c r="C51" s="45"/>
      <c r="D51" s="45"/>
      <c r="E51" s="45"/>
      <c r="F51" s="45"/>
      <c r="G51" s="84"/>
      <c r="H51" s="104">
        <v>46</v>
      </c>
      <c r="I51" s="105" t="str">
        <f t="shared" si="1"/>
        <v/>
      </c>
      <c r="J51" s="105">
        <f t="shared" si="5"/>
        <v>-2</v>
      </c>
      <c r="K51" s="104">
        <f t="shared" si="2"/>
        <v>-20</v>
      </c>
      <c r="L51" s="104"/>
      <c r="M51" s="106">
        <f t="shared" si="3"/>
        <v>0</v>
      </c>
    </row>
    <row r="52" spans="1:13" x14ac:dyDescent="0.25">
      <c r="A52" s="138">
        <f t="shared" si="4"/>
        <v>0</v>
      </c>
      <c r="B52" s="38" t="str">
        <f t="shared" si="0"/>
        <v/>
      </c>
      <c r="C52" s="39"/>
      <c r="D52" s="39"/>
      <c r="E52" s="39"/>
      <c r="F52" s="39"/>
      <c r="G52" s="84"/>
      <c r="H52" s="101">
        <v>47</v>
      </c>
      <c r="I52" s="102" t="str">
        <f t="shared" si="1"/>
        <v/>
      </c>
      <c r="J52" s="102">
        <f t="shared" si="5"/>
        <v>-2</v>
      </c>
      <c r="K52" s="101">
        <f t="shared" si="2"/>
        <v>-20</v>
      </c>
      <c r="L52" s="101"/>
      <c r="M52" s="103">
        <f t="shared" si="3"/>
        <v>0</v>
      </c>
    </row>
    <row r="53" spans="1:13" x14ac:dyDescent="0.25">
      <c r="A53" s="138">
        <f t="shared" si="4"/>
        <v>0</v>
      </c>
      <c r="B53" s="44" t="str">
        <f t="shared" si="0"/>
        <v/>
      </c>
      <c r="C53" s="45"/>
      <c r="D53" s="45"/>
      <c r="E53" s="45"/>
      <c r="F53" s="45"/>
      <c r="G53" s="84"/>
      <c r="H53" s="104">
        <v>48</v>
      </c>
      <c r="I53" s="105" t="str">
        <f t="shared" si="1"/>
        <v/>
      </c>
      <c r="J53" s="105">
        <f t="shared" si="5"/>
        <v>-2</v>
      </c>
      <c r="K53" s="104">
        <f t="shared" si="2"/>
        <v>-20</v>
      </c>
      <c r="L53" s="104"/>
      <c r="M53" s="106">
        <f t="shared" si="3"/>
        <v>0</v>
      </c>
    </row>
    <row r="54" spans="1:13" x14ac:dyDescent="0.25">
      <c r="A54" s="138">
        <f t="shared" si="4"/>
        <v>0</v>
      </c>
      <c r="B54" s="38" t="str">
        <f t="shared" si="0"/>
        <v/>
      </c>
      <c r="C54" s="39"/>
      <c r="D54" s="39"/>
      <c r="E54" s="39"/>
      <c r="F54" s="39"/>
      <c r="G54" s="84"/>
      <c r="H54" s="101">
        <v>49</v>
      </c>
      <c r="I54" s="102" t="str">
        <f t="shared" si="1"/>
        <v/>
      </c>
      <c r="J54" s="102">
        <f t="shared" si="5"/>
        <v>-2</v>
      </c>
      <c r="K54" s="101">
        <f t="shared" si="2"/>
        <v>-20</v>
      </c>
      <c r="L54" s="101"/>
      <c r="M54" s="103">
        <f t="shared" si="3"/>
        <v>0</v>
      </c>
    </row>
    <row r="55" spans="1:13" x14ac:dyDescent="0.25">
      <c r="A55" s="138">
        <f t="shared" si="4"/>
        <v>0</v>
      </c>
      <c r="B55" s="44" t="str">
        <f t="shared" si="0"/>
        <v/>
      </c>
      <c r="C55" s="45"/>
      <c r="D55" s="45"/>
      <c r="E55" s="45"/>
      <c r="F55" s="45"/>
      <c r="G55" s="84"/>
      <c r="H55" s="104">
        <v>50</v>
      </c>
      <c r="I55" s="105" t="str">
        <f t="shared" si="1"/>
        <v/>
      </c>
      <c r="J55" s="105">
        <f t="shared" si="5"/>
        <v>-2</v>
      </c>
      <c r="K55" s="104">
        <f t="shared" si="2"/>
        <v>-20</v>
      </c>
      <c r="L55" s="104"/>
      <c r="M55" s="106">
        <f t="shared" si="3"/>
        <v>0</v>
      </c>
    </row>
    <row r="56" spans="1:13" x14ac:dyDescent="0.25">
      <c r="A56" s="138">
        <f t="shared" si="4"/>
        <v>0</v>
      </c>
      <c r="B56" s="38" t="str">
        <f t="shared" si="0"/>
        <v/>
      </c>
      <c r="C56" s="39"/>
      <c r="D56" s="39"/>
      <c r="E56" s="39"/>
      <c r="F56" s="39"/>
      <c r="G56" s="84"/>
      <c r="H56" s="101">
        <v>51</v>
      </c>
      <c r="I56" s="102" t="str">
        <f t="shared" si="1"/>
        <v/>
      </c>
      <c r="J56" s="102">
        <f t="shared" si="5"/>
        <v>-2</v>
      </c>
      <c r="K56" s="101">
        <f t="shared" si="2"/>
        <v>-20</v>
      </c>
      <c r="L56" s="101"/>
      <c r="M56" s="103">
        <f t="shared" si="3"/>
        <v>0</v>
      </c>
    </row>
    <row r="57" spans="1:13" x14ac:dyDescent="0.25">
      <c r="A57" s="138">
        <f t="shared" si="4"/>
        <v>0</v>
      </c>
      <c r="B57" s="44" t="str">
        <f t="shared" si="0"/>
        <v/>
      </c>
      <c r="C57" s="45"/>
      <c r="D57" s="45"/>
      <c r="E57" s="45"/>
      <c r="F57" s="45"/>
      <c r="G57" s="84"/>
      <c r="H57" s="104">
        <v>52</v>
      </c>
      <c r="I57" s="105" t="str">
        <f t="shared" si="1"/>
        <v/>
      </c>
      <c r="J57" s="105">
        <f t="shared" si="5"/>
        <v>-2</v>
      </c>
      <c r="K57" s="104">
        <f t="shared" si="2"/>
        <v>-20</v>
      </c>
      <c r="L57" s="104"/>
      <c r="M57" s="106">
        <f t="shared" si="3"/>
        <v>0</v>
      </c>
    </row>
    <row r="58" spans="1:13" x14ac:dyDescent="0.25">
      <c r="A58" s="138">
        <f t="shared" si="4"/>
        <v>0</v>
      </c>
      <c r="B58" s="38" t="str">
        <f t="shared" si="0"/>
        <v/>
      </c>
      <c r="C58" s="39"/>
      <c r="D58" s="39"/>
      <c r="E58" s="39"/>
      <c r="F58" s="39"/>
      <c r="G58" s="84"/>
      <c r="H58" s="101">
        <v>53</v>
      </c>
      <c r="I58" s="102" t="str">
        <f t="shared" si="1"/>
        <v/>
      </c>
      <c r="J58" s="102">
        <f t="shared" si="5"/>
        <v>-2</v>
      </c>
      <c r="K58" s="101">
        <f t="shared" si="2"/>
        <v>-20</v>
      </c>
      <c r="L58" s="101"/>
      <c r="M58" s="103">
        <f t="shared" si="3"/>
        <v>0</v>
      </c>
    </row>
    <row r="59" spans="1:13" x14ac:dyDescent="0.25">
      <c r="A59" s="138">
        <f t="shared" si="4"/>
        <v>0</v>
      </c>
      <c r="B59" s="44" t="str">
        <f t="shared" si="0"/>
        <v/>
      </c>
      <c r="C59" s="45"/>
      <c r="D59" s="45"/>
      <c r="E59" s="45"/>
      <c r="F59" s="45"/>
      <c r="G59" s="84"/>
      <c r="H59" s="104">
        <v>54</v>
      </c>
      <c r="I59" s="105" t="str">
        <f t="shared" si="1"/>
        <v/>
      </c>
      <c r="J59" s="105">
        <f t="shared" si="5"/>
        <v>-2</v>
      </c>
      <c r="K59" s="104">
        <f t="shared" si="2"/>
        <v>-20</v>
      </c>
      <c r="L59" s="104"/>
      <c r="M59" s="106">
        <f t="shared" si="3"/>
        <v>0</v>
      </c>
    </row>
    <row r="60" spans="1:13" x14ac:dyDescent="0.25">
      <c r="A60" s="138">
        <f t="shared" si="4"/>
        <v>0</v>
      </c>
      <c r="B60" s="38" t="str">
        <f t="shared" si="0"/>
        <v/>
      </c>
      <c r="C60" s="39"/>
      <c r="D60" s="39"/>
      <c r="E60" s="39"/>
      <c r="F60" s="39"/>
      <c r="G60" s="84"/>
      <c r="H60" s="101">
        <v>55</v>
      </c>
      <c r="I60" s="102" t="str">
        <f t="shared" si="1"/>
        <v/>
      </c>
      <c r="J60" s="102">
        <f t="shared" si="5"/>
        <v>-2</v>
      </c>
      <c r="K60" s="101">
        <f t="shared" si="2"/>
        <v>-20</v>
      </c>
      <c r="L60" s="101"/>
      <c r="M60" s="103">
        <f t="shared" si="3"/>
        <v>0</v>
      </c>
    </row>
    <row r="61" spans="1:13" x14ac:dyDescent="0.25">
      <c r="A61" s="138">
        <f t="shared" si="4"/>
        <v>0</v>
      </c>
      <c r="B61" s="44" t="str">
        <f t="shared" si="0"/>
        <v/>
      </c>
      <c r="C61" s="45"/>
      <c r="D61" s="45"/>
      <c r="E61" s="45"/>
      <c r="F61" s="45"/>
      <c r="G61" s="84"/>
      <c r="H61" s="104">
        <v>56</v>
      </c>
      <c r="I61" s="105" t="str">
        <f t="shared" si="1"/>
        <v/>
      </c>
      <c r="J61" s="105">
        <f t="shared" si="5"/>
        <v>-2</v>
      </c>
      <c r="K61" s="104">
        <f t="shared" si="2"/>
        <v>-20</v>
      </c>
      <c r="L61" s="104"/>
      <c r="M61" s="106">
        <f t="shared" si="3"/>
        <v>0</v>
      </c>
    </row>
    <row r="62" spans="1:13" x14ac:dyDescent="0.25">
      <c r="A62" s="138">
        <f t="shared" si="4"/>
        <v>0</v>
      </c>
      <c r="B62" s="38" t="str">
        <f t="shared" si="0"/>
        <v/>
      </c>
      <c r="C62" s="39"/>
      <c r="D62" s="39"/>
      <c r="E62" s="39"/>
      <c r="F62" s="39"/>
      <c r="G62" s="84"/>
      <c r="H62" s="101">
        <v>57</v>
      </c>
      <c r="I62" s="102" t="str">
        <f t="shared" si="1"/>
        <v/>
      </c>
      <c r="J62" s="102">
        <f t="shared" si="5"/>
        <v>-2</v>
      </c>
      <c r="K62" s="101">
        <f t="shared" si="2"/>
        <v>-20</v>
      </c>
      <c r="L62" s="101"/>
      <c r="M62" s="103">
        <f t="shared" si="3"/>
        <v>0</v>
      </c>
    </row>
    <row r="63" spans="1:13" x14ac:dyDescent="0.25">
      <c r="A63" s="138">
        <f t="shared" si="4"/>
        <v>0</v>
      </c>
      <c r="B63" s="44" t="str">
        <f t="shared" si="0"/>
        <v/>
      </c>
      <c r="C63" s="45"/>
      <c r="D63" s="45"/>
      <c r="E63" s="45"/>
      <c r="F63" s="45"/>
      <c r="G63" s="84"/>
      <c r="H63" s="104">
        <v>58</v>
      </c>
      <c r="I63" s="105" t="str">
        <f t="shared" si="1"/>
        <v/>
      </c>
      <c r="J63" s="105">
        <f t="shared" si="5"/>
        <v>-2</v>
      </c>
      <c r="K63" s="104">
        <f t="shared" si="2"/>
        <v>-20</v>
      </c>
      <c r="L63" s="104"/>
      <c r="M63" s="106">
        <f t="shared" si="3"/>
        <v>0</v>
      </c>
    </row>
    <row r="64" spans="1:13" x14ac:dyDescent="0.25">
      <c r="A64" s="138">
        <f t="shared" si="4"/>
        <v>0</v>
      </c>
      <c r="B64" s="38" t="str">
        <f t="shared" si="0"/>
        <v/>
      </c>
      <c r="C64" s="39"/>
      <c r="D64" s="39"/>
      <c r="E64" s="39"/>
      <c r="F64" s="39"/>
      <c r="G64" s="84"/>
      <c r="H64" s="101">
        <v>59</v>
      </c>
      <c r="I64" s="102" t="str">
        <f t="shared" si="1"/>
        <v/>
      </c>
      <c r="J64" s="102">
        <f t="shared" si="5"/>
        <v>-2</v>
      </c>
      <c r="K64" s="101">
        <f t="shared" si="2"/>
        <v>-20</v>
      </c>
      <c r="L64" s="101"/>
      <c r="M64" s="103">
        <f t="shared" si="3"/>
        <v>0</v>
      </c>
    </row>
    <row r="65" spans="1:13" x14ac:dyDescent="0.25">
      <c r="A65" s="138">
        <f t="shared" si="4"/>
        <v>0</v>
      </c>
      <c r="B65" s="44" t="str">
        <f t="shared" si="0"/>
        <v/>
      </c>
      <c r="C65" s="45"/>
      <c r="D65" s="45"/>
      <c r="E65" s="45"/>
      <c r="F65" s="45"/>
      <c r="G65" s="84"/>
      <c r="H65" s="104">
        <v>60</v>
      </c>
      <c r="I65" s="105" t="str">
        <f t="shared" si="1"/>
        <v/>
      </c>
      <c r="J65" s="105">
        <f t="shared" si="5"/>
        <v>-2</v>
      </c>
      <c r="K65" s="104">
        <f t="shared" si="2"/>
        <v>-20</v>
      </c>
      <c r="L65" s="104"/>
      <c r="M65" s="106">
        <f t="shared" si="3"/>
        <v>0</v>
      </c>
    </row>
    <row r="66" spans="1:13" x14ac:dyDescent="0.25">
      <c r="A66" s="138">
        <f t="shared" si="4"/>
        <v>0</v>
      </c>
      <c r="B66" s="38"/>
      <c r="G66" s="84"/>
      <c r="H66" s="101">
        <v>61</v>
      </c>
      <c r="I66" s="102" t="str">
        <f t="shared" si="1"/>
        <v/>
      </c>
      <c r="J66" s="102">
        <f t="shared" si="5"/>
        <v>-2</v>
      </c>
      <c r="K66" s="101">
        <f t="shared" si="2"/>
        <v>-20</v>
      </c>
      <c r="L66" s="101"/>
      <c r="M66" s="103">
        <f t="shared" si="3"/>
        <v>0</v>
      </c>
    </row>
    <row r="67" spans="1:13" x14ac:dyDescent="0.25">
      <c r="A67" s="138">
        <f t="shared" si="4"/>
        <v>0</v>
      </c>
      <c r="B67" s="44"/>
      <c r="G67" s="84"/>
      <c r="H67" s="101">
        <v>62</v>
      </c>
      <c r="I67" s="102" t="str">
        <f t="shared" si="1"/>
        <v/>
      </c>
      <c r="J67" s="102">
        <f t="shared" si="5"/>
        <v>-2</v>
      </c>
      <c r="K67" s="101">
        <f t="shared" si="2"/>
        <v>-20</v>
      </c>
      <c r="L67" s="101"/>
      <c r="M67" s="103">
        <f t="shared" si="3"/>
        <v>0</v>
      </c>
    </row>
    <row r="68" spans="1:13" x14ac:dyDescent="0.25">
      <c r="A68" s="138">
        <f t="shared" si="4"/>
        <v>0</v>
      </c>
      <c r="B68" s="38"/>
      <c r="G68" s="84"/>
      <c r="H68" s="101">
        <v>63</v>
      </c>
      <c r="I68" s="102" t="str">
        <f t="shared" si="1"/>
        <v/>
      </c>
      <c r="J68" s="102">
        <f t="shared" si="5"/>
        <v>-2</v>
      </c>
      <c r="K68" s="101">
        <f t="shared" si="2"/>
        <v>-20</v>
      </c>
      <c r="L68" s="101"/>
      <c r="M68" s="103">
        <f t="shared" si="3"/>
        <v>0</v>
      </c>
    </row>
    <row r="69" spans="1:13" x14ac:dyDescent="0.25">
      <c r="A69" s="138">
        <f t="shared" si="4"/>
        <v>0</v>
      </c>
      <c r="B69" s="44"/>
      <c r="G69" s="84"/>
      <c r="H69" s="101">
        <v>64</v>
      </c>
      <c r="I69" s="102" t="str">
        <f t="shared" si="1"/>
        <v/>
      </c>
      <c r="J69" s="102">
        <f t="shared" si="5"/>
        <v>-2</v>
      </c>
      <c r="K69" s="101">
        <f t="shared" si="2"/>
        <v>-20</v>
      </c>
      <c r="L69" s="101"/>
      <c r="M69" s="103">
        <f t="shared" si="3"/>
        <v>0</v>
      </c>
    </row>
    <row r="70" spans="1:13" x14ac:dyDescent="0.25">
      <c r="A70" s="138">
        <f t="shared" si="4"/>
        <v>0</v>
      </c>
      <c r="G70" s="84"/>
      <c r="H70" s="101">
        <v>65</v>
      </c>
      <c r="I70" s="102" t="str">
        <f t="shared" ref="I70:I133" si="6">IF(H70&lt;$H$2+1,($I$2-($I$2-1)*(LOG(H70)/LOG($H$2))),"")</f>
        <v/>
      </c>
      <c r="J70" s="102">
        <f t="shared" si="5"/>
        <v>-3</v>
      </c>
      <c r="K70" s="101">
        <f t="shared" ref="K70:K133" si="7">J70*$J$2</f>
        <v>-30</v>
      </c>
      <c r="L70" s="101"/>
      <c r="M70" s="103">
        <f t="shared" ref="M70:M133" si="8">IF(I70&lt;&gt;"",K70+I70+L70,0)</f>
        <v>0</v>
      </c>
    </row>
    <row r="71" spans="1:13" x14ac:dyDescent="0.25">
      <c r="A71" s="138">
        <f t="shared" ref="A71:A79" si="9">M71</f>
        <v>0</v>
      </c>
      <c r="G71" s="84"/>
      <c r="H71" s="101">
        <v>66</v>
      </c>
      <c r="I71" s="102" t="str">
        <f t="shared" si="6"/>
        <v/>
      </c>
      <c r="J71" s="102">
        <f t="shared" ref="J71:J134" si="10">INT(LOG($H$2,2))-ROUNDUP(LOG(H71,2),0)+IF(OR($H$2=1,$H$2=2,$H$2=4,$H$2=8,$H$2=16,$H$2=32,$H$2=64,$H$2=128,$H$2=256),0,1)</f>
        <v>-3</v>
      </c>
      <c r="K71" s="101">
        <f t="shared" si="7"/>
        <v>-30</v>
      </c>
      <c r="L71" s="101"/>
      <c r="M71" s="103">
        <f t="shared" si="8"/>
        <v>0</v>
      </c>
    </row>
    <row r="72" spans="1:13" x14ac:dyDescent="0.25">
      <c r="A72" s="138">
        <f t="shared" si="9"/>
        <v>0</v>
      </c>
      <c r="G72" s="84"/>
      <c r="H72" s="101">
        <v>67</v>
      </c>
      <c r="I72" s="102" t="str">
        <f t="shared" si="6"/>
        <v/>
      </c>
      <c r="J72" s="102">
        <f t="shared" si="10"/>
        <v>-3</v>
      </c>
      <c r="K72" s="101">
        <f t="shared" si="7"/>
        <v>-30</v>
      </c>
      <c r="L72" s="101"/>
      <c r="M72" s="103">
        <f t="shared" si="8"/>
        <v>0</v>
      </c>
    </row>
    <row r="73" spans="1:13" x14ac:dyDescent="0.25">
      <c r="A73" s="138">
        <f t="shared" si="9"/>
        <v>0</v>
      </c>
      <c r="G73" s="84"/>
      <c r="H73" s="101">
        <v>68</v>
      </c>
      <c r="I73" s="102" t="str">
        <f t="shared" si="6"/>
        <v/>
      </c>
      <c r="J73" s="102">
        <f t="shared" si="10"/>
        <v>-3</v>
      </c>
      <c r="K73" s="101">
        <f t="shared" si="7"/>
        <v>-30</v>
      </c>
      <c r="L73" s="101"/>
      <c r="M73" s="103">
        <f t="shared" si="8"/>
        <v>0</v>
      </c>
    </row>
    <row r="74" spans="1:13" x14ac:dyDescent="0.25">
      <c r="A74" s="138">
        <f t="shared" si="9"/>
        <v>0</v>
      </c>
      <c r="G74" s="84"/>
      <c r="H74" s="101">
        <v>69</v>
      </c>
      <c r="I74" s="102" t="str">
        <f t="shared" si="6"/>
        <v/>
      </c>
      <c r="J74" s="102">
        <f t="shared" si="10"/>
        <v>-3</v>
      </c>
      <c r="K74" s="101">
        <f t="shared" si="7"/>
        <v>-30</v>
      </c>
      <c r="L74" s="101"/>
      <c r="M74" s="103">
        <f t="shared" si="8"/>
        <v>0</v>
      </c>
    </row>
    <row r="75" spans="1:13" x14ac:dyDescent="0.25">
      <c r="A75" s="138">
        <f t="shared" si="9"/>
        <v>0</v>
      </c>
      <c r="G75" s="84"/>
      <c r="H75" s="101">
        <v>70</v>
      </c>
      <c r="I75" s="102" t="str">
        <f t="shared" si="6"/>
        <v/>
      </c>
      <c r="J75" s="102">
        <f t="shared" si="10"/>
        <v>-3</v>
      </c>
      <c r="K75" s="101">
        <f t="shared" si="7"/>
        <v>-30</v>
      </c>
      <c r="L75" s="101"/>
      <c r="M75" s="103">
        <f t="shared" si="8"/>
        <v>0</v>
      </c>
    </row>
    <row r="76" spans="1:13" x14ac:dyDescent="0.25">
      <c r="A76" s="138">
        <f t="shared" si="9"/>
        <v>0</v>
      </c>
      <c r="G76" s="84"/>
      <c r="H76" s="101">
        <v>71</v>
      </c>
      <c r="I76" s="102" t="str">
        <f t="shared" si="6"/>
        <v/>
      </c>
      <c r="J76" s="102">
        <f t="shared" si="10"/>
        <v>-3</v>
      </c>
      <c r="K76" s="101">
        <f t="shared" si="7"/>
        <v>-30</v>
      </c>
      <c r="L76" s="101"/>
      <c r="M76" s="103">
        <f t="shared" si="8"/>
        <v>0</v>
      </c>
    </row>
    <row r="77" spans="1:13" x14ac:dyDescent="0.25">
      <c r="A77" s="138">
        <f t="shared" si="9"/>
        <v>0</v>
      </c>
      <c r="G77" s="84"/>
      <c r="H77" s="101">
        <v>72</v>
      </c>
      <c r="I77" s="102" t="str">
        <f t="shared" si="6"/>
        <v/>
      </c>
      <c r="J77" s="102">
        <f t="shared" si="10"/>
        <v>-3</v>
      </c>
      <c r="K77" s="101">
        <f t="shared" si="7"/>
        <v>-30</v>
      </c>
      <c r="L77" s="101"/>
      <c r="M77" s="103">
        <f t="shared" si="8"/>
        <v>0</v>
      </c>
    </row>
    <row r="78" spans="1:13" x14ac:dyDescent="0.25">
      <c r="A78" s="138">
        <f t="shared" si="9"/>
        <v>0</v>
      </c>
      <c r="G78" s="84"/>
      <c r="H78" s="101">
        <v>73</v>
      </c>
      <c r="I78" s="102" t="str">
        <f t="shared" si="6"/>
        <v/>
      </c>
      <c r="J78" s="102">
        <f t="shared" si="10"/>
        <v>-3</v>
      </c>
      <c r="K78" s="101">
        <f t="shared" si="7"/>
        <v>-30</v>
      </c>
      <c r="L78" s="101"/>
      <c r="M78" s="103">
        <f t="shared" si="8"/>
        <v>0</v>
      </c>
    </row>
    <row r="79" spans="1:13" x14ac:dyDescent="0.25">
      <c r="A79" s="138">
        <f t="shared" si="9"/>
        <v>0</v>
      </c>
      <c r="G79" s="84"/>
      <c r="H79" s="101">
        <v>74</v>
      </c>
      <c r="I79" s="102" t="str">
        <f t="shared" si="6"/>
        <v/>
      </c>
      <c r="J79" s="102">
        <f t="shared" si="10"/>
        <v>-3</v>
      </c>
      <c r="K79" s="101">
        <f t="shared" si="7"/>
        <v>-30</v>
      </c>
      <c r="L79" s="101"/>
      <c r="M79" s="103">
        <f t="shared" si="8"/>
        <v>0</v>
      </c>
    </row>
    <row r="80" spans="1:13" x14ac:dyDescent="0.25">
      <c r="A80" s="137"/>
      <c r="G80" s="84"/>
      <c r="H80" s="101">
        <v>75</v>
      </c>
      <c r="I80" s="102" t="str">
        <f t="shared" si="6"/>
        <v/>
      </c>
      <c r="J80" s="102">
        <f t="shared" si="10"/>
        <v>-3</v>
      </c>
      <c r="K80" s="101">
        <f t="shared" si="7"/>
        <v>-30</v>
      </c>
      <c r="L80" s="101"/>
      <c r="M80" s="103">
        <f t="shared" si="8"/>
        <v>0</v>
      </c>
    </row>
    <row r="81" spans="1:13" x14ac:dyDescent="0.25">
      <c r="A81" s="117"/>
      <c r="G81" s="84"/>
      <c r="H81" s="101">
        <v>76</v>
      </c>
      <c r="I81" s="102" t="str">
        <f t="shared" si="6"/>
        <v/>
      </c>
      <c r="J81" s="102">
        <f t="shared" si="10"/>
        <v>-3</v>
      </c>
      <c r="K81" s="101">
        <f t="shared" si="7"/>
        <v>-30</v>
      </c>
      <c r="L81" s="101"/>
      <c r="M81" s="103">
        <f t="shared" si="8"/>
        <v>0</v>
      </c>
    </row>
    <row r="82" spans="1:13" x14ac:dyDescent="0.25">
      <c r="A82" s="117"/>
      <c r="G82" s="84"/>
      <c r="H82" s="101">
        <v>77</v>
      </c>
      <c r="I82" s="102" t="str">
        <f t="shared" si="6"/>
        <v/>
      </c>
      <c r="J82" s="102">
        <f t="shared" si="10"/>
        <v>-3</v>
      </c>
      <c r="K82" s="101">
        <f t="shared" si="7"/>
        <v>-30</v>
      </c>
      <c r="L82" s="101"/>
      <c r="M82" s="103">
        <f t="shared" si="8"/>
        <v>0</v>
      </c>
    </row>
    <row r="83" spans="1:13" x14ac:dyDescent="0.25">
      <c r="A83" s="117"/>
      <c r="G83" s="84"/>
      <c r="H83" s="101">
        <v>78</v>
      </c>
      <c r="I83" s="102" t="str">
        <f t="shared" si="6"/>
        <v/>
      </c>
      <c r="J83" s="102">
        <f t="shared" si="10"/>
        <v>-3</v>
      </c>
      <c r="K83" s="101">
        <f t="shared" si="7"/>
        <v>-30</v>
      </c>
      <c r="L83" s="101"/>
      <c r="M83" s="103">
        <f t="shared" si="8"/>
        <v>0</v>
      </c>
    </row>
    <row r="84" spans="1:13" x14ac:dyDescent="0.25">
      <c r="A84" s="117"/>
      <c r="G84" s="84"/>
      <c r="H84" s="101">
        <v>79</v>
      </c>
      <c r="I84" s="102" t="str">
        <f t="shared" si="6"/>
        <v/>
      </c>
      <c r="J84" s="102">
        <f t="shared" si="10"/>
        <v>-3</v>
      </c>
      <c r="K84" s="101">
        <f t="shared" si="7"/>
        <v>-30</v>
      </c>
      <c r="L84" s="101"/>
      <c r="M84" s="103">
        <f t="shared" si="8"/>
        <v>0</v>
      </c>
    </row>
    <row r="85" spans="1:13" x14ac:dyDescent="0.25">
      <c r="A85" s="117"/>
      <c r="G85" s="84"/>
      <c r="H85" s="101">
        <v>80</v>
      </c>
      <c r="I85" s="102" t="str">
        <f t="shared" si="6"/>
        <v/>
      </c>
      <c r="J85" s="102">
        <f t="shared" si="10"/>
        <v>-3</v>
      </c>
      <c r="K85" s="101">
        <f t="shared" si="7"/>
        <v>-30</v>
      </c>
      <c r="L85" s="101"/>
      <c r="M85" s="103">
        <f t="shared" si="8"/>
        <v>0</v>
      </c>
    </row>
    <row r="86" spans="1:13" x14ac:dyDescent="0.25">
      <c r="A86" s="117"/>
      <c r="G86" s="84"/>
      <c r="H86" s="101">
        <v>81</v>
      </c>
      <c r="I86" s="102" t="str">
        <f t="shared" si="6"/>
        <v/>
      </c>
      <c r="J86" s="102">
        <f t="shared" si="10"/>
        <v>-3</v>
      </c>
      <c r="K86" s="101">
        <f t="shared" si="7"/>
        <v>-30</v>
      </c>
      <c r="L86" s="101"/>
      <c r="M86" s="103">
        <f t="shared" si="8"/>
        <v>0</v>
      </c>
    </row>
    <row r="87" spans="1:13" x14ac:dyDescent="0.25">
      <c r="A87" s="117"/>
      <c r="G87" s="84"/>
      <c r="H87" s="101">
        <v>82</v>
      </c>
      <c r="I87" s="102" t="str">
        <f t="shared" si="6"/>
        <v/>
      </c>
      <c r="J87" s="102">
        <f t="shared" si="10"/>
        <v>-3</v>
      </c>
      <c r="K87" s="101">
        <f t="shared" si="7"/>
        <v>-30</v>
      </c>
      <c r="L87" s="101"/>
      <c r="M87" s="103">
        <f t="shared" si="8"/>
        <v>0</v>
      </c>
    </row>
    <row r="88" spans="1:13" x14ac:dyDescent="0.25">
      <c r="A88" s="117"/>
      <c r="G88" s="84"/>
      <c r="H88" s="101">
        <v>83</v>
      </c>
      <c r="I88" s="102" t="str">
        <f t="shared" si="6"/>
        <v/>
      </c>
      <c r="J88" s="102">
        <f t="shared" si="10"/>
        <v>-3</v>
      </c>
      <c r="K88" s="101">
        <f t="shared" si="7"/>
        <v>-30</v>
      </c>
      <c r="L88" s="101"/>
      <c r="M88" s="103">
        <f t="shared" si="8"/>
        <v>0</v>
      </c>
    </row>
    <row r="89" spans="1:13" x14ac:dyDescent="0.25">
      <c r="A89" s="117"/>
      <c r="G89" s="84"/>
      <c r="H89" s="101">
        <v>84</v>
      </c>
      <c r="I89" s="102" t="str">
        <f t="shared" si="6"/>
        <v/>
      </c>
      <c r="J89" s="102">
        <f t="shared" si="10"/>
        <v>-3</v>
      </c>
      <c r="K89" s="101">
        <f t="shared" si="7"/>
        <v>-30</v>
      </c>
      <c r="L89" s="101"/>
      <c r="M89" s="103">
        <f t="shared" si="8"/>
        <v>0</v>
      </c>
    </row>
    <row r="90" spans="1:13" x14ac:dyDescent="0.25">
      <c r="A90" s="117"/>
      <c r="G90" s="84"/>
      <c r="H90" s="101">
        <v>85</v>
      </c>
      <c r="I90" s="102" t="str">
        <f t="shared" si="6"/>
        <v/>
      </c>
      <c r="J90" s="102">
        <f t="shared" si="10"/>
        <v>-3</v>
      </c>
      <c r="K90" s="101">
        <f t="shared" si="7"/>
        <v>-30</v>
      </c>
      <c r="L90" s="101"/>
      <c r="M90" s="103">
        <f t="shared" si="8"/>
        <v>0</v>
      </c>
    </row>
    <row r="91" spans="1:13" x14ac:dyDescent="0.25">
      <c r="A91" s="117"/>
      <c r="G91" s="84"/>
      <c r="H91" s="101">
        <v>86</v>
      </c>
      <c r="I91" s="102" t="str">
        <f t="shared" si="6"/>
        <v/>
      </c>
      <c r="J91" s="102">
        <f t="shared" si="10"/>
        <v>-3</v>
      </c>
      <c r="K91" s="101">
        <f t="shared" si="7"/>
        <v>-30</v>
      </c>
      <c r="L91" s="101"/>
      <c r="M91" s="103">
        <f t="shared" si="8"/>
        <v>0</v>
      </c>
    </row>
    <row r="92" spans="1:13" x14ac:dyDescent="0.25">
      <c r="A92" s="117"/>
      <c r="G92" s="84"/>
      <c r="H92" s="101">
        <v>87</v>
      </c>
      <c r="I92" s="102" t="str">
        <f t="shared" si="6"/>
        <v/>
      </c>
      <c r="J92" s="102">
        <f t="shared" si="10"/>
        <v>-3</v>
      </c>
      <c r="K92" s="101">
        <f t="shared" si="7"/>
        <v>-30</v>
      </c>
      <c r="L92" s="101"/>
      <c r="M92" s="103">
        <f t="shared" si="8"/>
        <v>0</v>
      </c>
    </row>
    <row r="93" spans="1:13" x14ac:dyDescent="0.25">
      <c r="A93" s="117"/>
      <c r="G93" s="84"/>
      <c r="H93" s="101">
        <v>88</v>
      </c>
      <c r="I93" s="102" t="str">
        <f t="shared" si="6"/>
        <v/>
      </c>
      <c r="J93" s="102">
        <f t="shared" si="10"/>
        <v>-3</v>
      </c>
      <c r="K93" s="101">
        <f t="shared" si="7"/>
        <v>-30</v>
      </c>
      <c r="L93" s="101"/>
      <c r="M93" s="103">
        <f t="shared" si="8"/>
        <v>0</v>
      </c>
    </row>
    <row r="94" spans="1:13" x14ac:dyDescent="0.25">
      <c r="A94" s="117"/>
      <c r="G94" s="84"/>
      <c r="H94" s="101">
        <v>89</v>
      </c>
      <c r="I94" s="102" t="str">
        <f t="shared" si="6"/>
        <v/>
      </c>
      <c r="J94" s="102">
        <f t="shared" si="10"/>
        <v>-3</v>
      </c>
      <c r="K94" s="101">
        <f t="shared" si="7"/>
        <v>-30</v>
      </c>
      <c r="L94" s="101"/>
      <c r="M94" s="103">
        <f t="shared" si="8"/>
        <v>0</v>
      </c>
    </row>
    <row r="95" spans="1:13" x14ac:dyDescent="0.25">
      <c r="A95" s="117"/>
      <c r="G95" s="84"/>
      <c r="H95" s="101">
        <v>90</v>
      </c>
      <c r="I95" s="102" t="str">
        <f t="shared" si="6"/>
        <v/>
      </c>
      <c r="J95" s="102">
        <f t="shared" si="10"/>
        <v>-3</v>
      </c>
      <c r="K95" s="101">
        <f t="shared" si="7"/>
        <v>-30</v>
      </c>
      <c r="L95" s="101"/>
      <c r="M95" s="103">
        <f t="shared" si="8"/>
        <v>0</v>
      </c>
    </row>
    <row r="96" spans="1:13" x14ac:dyDescent="0.25">
      <c r="A96" s="117"/>
      <c r="G96" s="84"/>
      <c r="H96" s="101">
        <v>91</v>
      </c>
      <c r="I96" s="102" t="str">
        <f t="shared" si="6"/>
        <v/>
      </c>
      <c r="J96" s="102">
        <f t="shared" si="10"/>
        <v>-3</v>
      </c>
      <c r="K96" s="101">
        <f t="shared" si="7"/>
        <v>-30</v>
      </c>
      <c r="L96" s="101"/>
      <c r="M96" s="103">
        <f t="shared" si="8"/>
        <v>0</v>
      </c>
    </row>
    <row r="97" spans="1:13" x14ac:dyDescent="0.25">
      <c r="A97" s="117"/>
      <c r="G97" s="84"/>
      <c r="H97" s="101">
        <v>92</v>
      </c>
      <c r="I97" s="102" t="str">
        <f t="shared" si="6"/>
        <v/>
      </c>
      <c r="J97" s="102">
        <f t="shared" si="10"/>
        <v>-3</v>
      </c>
      <c r="K97" s="101">
        <f t="shared" si="7"/>
        <v>-30</v>
      </c>
      <c r="L97" s="101"/>
      <c r="M97" s="103">
        <f t="shared" si="8"/>
        <v>0</v>
      </c>
    </row>
    <row r="98" spans="1:13" x14ac:dyDescent="0.25">
      <c r="A98" s="117"/>
      <c r="G98" s="84"/>
      <c r="H98" s="101">
        <v>93</v>
      </c>
      <c r="I98" s="102" t="str">
        <f t="shared" si="6"/>
        <v/>
      </c>
      <c r="J98" s="102">
        <f t="shared" si="10"/>
        <v>-3</v>
      </c>
      <c r="K98" s="101">
        <f t="shared" si="7"/>
        <v>-30</v>
      </c>
      <c r="L98" s="101"/>
      <c r="M98" s="103">
        <f t="shared" si="8"/>
        <v>0</v>
      </c>
    </row>
    <row r="99" spans="1:13" x14ac:dyDescent="0.25">
      <c r="A99" s="117"/>
      <c r="G99" s="84"/>
      <c r="H99" s="101">
        <v>94</v>
      </c>
      <c r="I99" s="102" t="str">
        <f t="shared" si="6"/>
        <v/>
      </c>
      <c r="J99" s="102">
        <f t="shared" si="10"/>
        <v>-3</v>
      </c>
      <c r="K99" s="101">
        <f t="shared" si="7"/>
        <v>-30</v>
      </c>
      <c r="L99" s="101"/>
      <c r="M99" s="103">
        <f t="shared" si="8"/>
        <v>0</v>
      </c>
    </row>
    <row r="100" spans="1:13" x14ac:dyDescent="0.25">
      <c r="A100" s="117"/>
      <c r="G100" s="84"/>
      <c r="H100" s="101">
        <v>95</v>
      </c>
      <c r="I100" s="102" t="str">
        <f t="shared" si="6"/>
        <v/>
      </c>
      <c r="J100" s="102">
        <f t="shared" si="10"/>
        <v>-3</v>
      </c>
      <c r="K100" s="101">
        <f t="shared" si="7"/>
        <v>-30</v>
      </c>
      <c r="L100" s="101"/>
      <c r="M100" s="103">
        <f t="shared" si="8"/>
        <v>0</v>
      </c>
    </row>
    <row r="101" spans="1:13" x14ac:dyDescent="0.25">
      <c r="A101" s="117"/>
      <c r="G101" s="84"/>
      <c r="H101" s="101">
        <v>96</v>
      </c>
      <c r="I101" s="102" t="str">
        <f t="shared" si="6"/>
        <v/>
      </c>
      <c r="J101" s="102">
        <f t="shared" si="10"/>
        <v>-3</v>
      </c>
      <c r="K101" s="101">
        <f t="shared" si="7"/>
        <v>-30</v>
      </c>
      <c r="L101" s="101"/>
      <c r="M101" s="103">
        <f t="shared" si="8"/>
        <v>0</v>
      </c>
    </row>
    <row r="102" spans="1:13" x14ac:dyDescent="0.25">
      <c r="A102" s="117"/>
      <c r="G102" s="84"/>
      <c r="H102" s="101">
        <v>97</v>
      </c>
      <c r="I102" s="102" t="str">
        <f t="shared" si="6"/>
        <v/>
      </c>
      <c r="J102" s="102">
        <f t="shared" si="10"/>
        <v>-3</v>
      </c>
      <c r="K102" s="101">
        <f t="shared" si="7"/>
        <v>-30</v>
      </c>
      <c r="L102" s="101"/>
      <c r="M102" s="103">
        <f t="shared" si="8"/>
        <v>0</v>
      </c>
    </row>
    <row r="103" spans="1:13" x14ac:dyDescent="0.25">
      <c r="A103" s="117"/>
      <c r="G103" s="84"/>
      <c r="H103" s="101">
        <v>98</v>
      </c>
      <c r="I103" s="102" t="str">
        <f t="shared" si="6"/>
        <v/>
      </c>
      <c r="J103" s="102">
        <f t="shared" si="10"/>
        <v>-3</v>
      </c>
      <c r="K103" s="101">
        <f t="shared" si="7"/>
        <v>-30</v>
      </c>
      <c r="L103" s="101"/>
      <c r="M103" s="103">
        <f t="shared" si="8"/>
        <v>0</v>
      </c>
    </row>
    <row r="104" spans="1:13" x14ac:dyDescent="0.25">
      <c r="A104" s="117"/>
      <c r="G104" s="84"/>
      <c r="H104" s="101">
        <v>99</v>
      </c>
      <c r="I104" s="102" t="str">
        <f t="shared" si="6"/>
        <v/>
      </c>
      <c r="J104" s="102">
        <f t="shared" si="10"/>
        <v>-3</v>
      </c>
      <c r="K104" s="101">
        <f t="shared" si="7"/>
        <v>-30</v>
      </c>
      <c r="L104" s="101"/>
      <c r="M104" s="103">
        <f t="shared" si="8"/>
        <v>0</v>
      </c>
    </row>
    <row r="105" spans="1:13" x14ac:dyDescent="0.25">
      <c r="A105" s="117"/>
      <c r="G105" s="84"/>
      <c r="H105" s="101">
        <v>100</v>
      </c>
      <c r="I105" s="102" t="str">
        <f t="shared" si="6"/>
        <v/>
      </c>
      <c r="J105" s="102">
        <f t="shared" si="10"/>
        <v>-3</v>
      </c>
      <c r="K105" s="101">
        <f t="shared" si="7"/>
        <v>-30</v>
      </c>
      <c r="L105" s="101"/>
      <c r="M105" s="103">
        <f t="shared" si="8"/>
        <v>0</v>
      </c>
    </row>
    <row r="106" spans="1:13" x14ac:dyDescent="0.25">
      <c r="A106" s="117"/>
      <c r="G106" s="84"/>
      <c r="H106" s="101">
        <v>101</v>
      </c>
      <c r="I106" s="102" t="str">
        <f t="shared" si="6"/>
        <v/>
      </c>
      <c r="J106" s="102">
        <f t="shared" si="10"/>
        <v>-3</v>
      </c>
      <c r="K106" s="101">
        <f t="shared" si="7"/>
        <v>-30</v>
      </c>
      <c r="L106" s="101"/>
      <c r="M106" s="103">
        <f t="shared" si="8"/>
        <v>0</v>
      </c>
    </row>
    <row r="107" spans="1:13" x14ac:dyDescent="0.25">
      <c r="A107" s="117"/>
      <c r="G107" s="84"/>
      <c r="H107" s="101">
        <v>102</v>
      </c>
      <c r="I107" s="102" t="str">
        <f t="shared" si="6"/>
        <v/>
      </c>
      <c r="J107" s="102">
        <f t="shared" si="10"/>
        <v>-3</v>
      </c>
      <c r="K107" s="101">
        <f t="shared" si="7"/>
        <v>-30</v>
      </c>
      <c r="L107" s="101"/>
      <c r="M107" s="103">
        <f t="shared" si="8"/>
        <v>0</v>
      </c>
    </row>
    <row r="108" spans="1:13" x14ac:dyDescent="0.25">
      <c r="A108" s="117"/>
      <c r="G108" s="84"/>
      <c r="H108" s="101">
        <v>103</v>
      </c>
      <c r="I108" s="102" t="str">
        <f t="shared" si="6"/>
        <v/>
      </c>
      <c r="J108" s="102">
        <f t="shared" si="10"/>
        <v>-3</v>
      </c>
      <c r="K108" s="101">
        <f t="shared" si="7"/>
        <v>-30</v>
      </c>
      <c r="L108" s="101"/>
      <c r="M108" s="103">
        <f t="shared" si="8"/>
        <v>0</v>
      </c>
    </row>
    <row r="109" spans="1:13" x14ac:dyDescent="0.25">
      <c r="A109" s="117"/>
      <c r="G109" s="84"/>
      <c r="H109" s="101">
        <v>104</v>
      </c>
      <c r="I109" s="102" t="str">
        <f t="shared" si="6"/>
        <v/>
      </c>
      <c r="J109" s="102">
        <f t="shared" si="10"/>
        <v>-3</v>
      </c>
      <c r="K109" s="101">
        <f t="shared" si="7"/>
        <v>-30</v>
      </c>
      <c r="L109" s="101"/>
      <c r="M109" s="103">
        <f t="shared" si="8"/>
        <v>0</v>
      </c>
    </row>
    <row r="110" spans="1:13" x14ac:dyDescent="0.25">
      <c r="A110" s="117"/>
      <c r="G110" s="84"/>
      <c r="H110" s="101">
        <v>105</v>
      </c>
      <c r="I110" s="102" t="str">
        <f t="shared" si="6"/>
        <v/>
      </c>
      <c r="J110" s="102">
        <f t="shared" si="10"/>
        <v>-3</v>
      </c>
      <c r="K110" s="101">
        <f t="shared" si="7"/>
        <v>-30</v>
      </c>
      <c r="L110" s="101"/>
      <c r="M110" s="103">
        <f t="shared" si="8"/>
        <v>0</v>
      </c>
    </row>
    <row r="111" spans="1:13" x14ac:dyDescent="0.25">
      <c r="A111" s="117"/>
      <c r="G111" s="84"/>
      <c r="H111" s="101">
        <v>106</v>
      </c>
      <c r="I111" s="102" t="str">
        <f t="shared" si="6"/>
        <v/>
      </c>
      <c r="J111" s="102">
        <f t="shared" si="10"/>
        <v>-3</v>
      </c>
      <c r="K111" s="101">
        <f t="shared" si="7"/>
        <v>-30</v>
      </c>
      <c r="L111" s="101"/>
      <c r="M111" s="103">
        <f t="shared" si="8"/>
        <v>0</v>
      </c>
    </row>
    <row r="112" spans="1:13" x14ac:dyDescent="0.25">
      <c r="A112" s="117"/>
      <c r="G112" s="84"/>
      <c r="H112" s="101">
        <v>107</v>
      </c>
      <c r="I112" s="102" t="str">
        <f t="shared" si="6"/>
        <v/>
      </c>
      <c r="J112" s="102">
        <f t="shared" si="10"/>
        <v>-3</v>
      </c>
      <c r="K112" s="101">
        <f t="shared" si="7"/>
        <v>-30</v>
      </c>
      <c r="L112" s="101"/>
      <c r="M112" s="103">
        <f t="shared" si="8"/>
        <v>0</v>
      </c>
    </row>
    <row r="113" spans="1:13" x14ac:dyDescent="0.25">
      <c r="A113" s="117"/>
      <c r="G113" s="84"/>
      <c r="H113" s="101">
        <v>108</v>
      </c>
      <c r="I113" s="102" t="str">
        <f t="shared" si="6"/>
        <v/>
      </c>
      <c r="J113" s="102">
        <f t="shared" si="10"/>
        <v>-3</v>
      </c>
      <c r="K113" s="101">
        <f t="shared" si="7"/>
        <v>-30</v>
      </c>
      <c r="L113" s="101"/>
      <c r="M113" s="103">
        <f t="shared" si="8"/>
        <v>0</v>
      </c>
    </row>
    <row r="114" spans="1:13" x14ac:dyDescent="0.25">
      <c r="A114" s="117"/>
      <c r="G114" s="84"/>
      <c r="H114" s="101">
        <v>109</v>
      </c>
      <c r="I114" s="102" t="str">
        <f t="shared" si="6"/>
        <v/>
      </c>
      <c r="J114" s="102">
        <f t="shared" si="10"/>
        <v>-3</v>
      </c>
      <c r="K114" s="101">
        <f t="shared" si="7"/>
        <v>-30</v>
      </c>
      <c r="L114" s="101"/>
      <c r="M114" s="103">
        <f t="shared" si="8"/>
        <v>0</v>
      </c>
    </row>
    <row r="115" spans="1:13" x14ac:dyDescent="0.25">
      <c r="A115" s="117"/>
      <c r="G115" s="84"/>
      <c r="H115" s="101">
        <v>110</v>
      </c>
      <c r="I115" s="102" t="str">
        <f t="shared" si="6"/>
        <v/>
      </c>
      <c r="J115" s="102">
        <f t="shared" si="10"/>
        <v>-3</v>
      </c>
      <c r="K115" s="101">
        <f t="shared" si="7"/>
        <v>-30</v>
      </c>
      <c r="L115" s="101"/>
      <c r="M115" s="103">
        <f t="shared" si="8"/>
        <v>0</v>
      </c>
    </row>
    <row r="116" spans="1:13" x14ac:dyDescent="0.25">
      <c r="A116" s="117"/>
      <c r="G116" s="84"/>
      <c r="H116" s="101">
        <v>111</v>
      </c>
      <c r="I116" s="102" t="str">
        <f t="shared" si="6"/>
        <v/>
      </c>
      <c r="J116" s="102">
        <f t="shared" si="10"/>
        <v>-3</v>
      </c>
      <c r="K116" s="101">
        <f t="shared" si="7"/>
        <v>-30</v>
      </c>
      <c r="L116" s="101"/>
      <c r="M116" s="103">
        <f t="shared" si="8"/>
        <v>0</v>
      </c>
    </row>
    <row r="117" spans="1:13" x14ac:dyDescent="0.25">
      <c r="A117" s="117"/>
      <c r="G117" s="84"/>
      <c r="H117" s="101">
        <v>112</v>
      </c>
      <c r="I117" s="102" t="str">
        <f t="shared" si="6"/>
        <v/>
      </c>
      <c r="J117" s="102">
        <f t="shared" si="10"/>
        <v>-3</v>
      </c>
      <c r="K117" s="101">
        <f t="shared" si="7"/>
        <v>-30</v>
      </c>
      <c r="L117" s="101"/>
      <c r="M117" s="103">
        <f t="shared" si="8"/>
        <v>0</v>
      </c>
    </row>
    <row r="118" spans="1:13" x14ac:dyDescent="0.25">
      <c r="A118" s="117"/>
      <c r="G118" s="84"/>
      <c r="H118" s="101">
        <v>113</v>
      </c>
      <c r="I118" s="102" t="str">
        <f t="shared" si="6"/>
        <v/>
      </c>
      <c r="J118" s="102">
        <f t="shared" si="10"/>
        <v>-3</v>
      </c>
      <c r="K118" s="101">
        <f t="shared" si="7"/>
        <v>-30</v>
      </c>
      <c r="L118" s="101"/>
      <c r="M118" s="103">
        <f t="shared" si="8"/>
        <v>0</v>
      </c>
    </row>
    <row r="119" spans="1:13" x14ac:dyDescent="0.25">
      <c r="A119" s="117"/>
      <c r="G119" s="84"/>
      <c r="H119" s="101">
        <v>114</v>
      </c>
      <c r="I119" s="102" t="str">
        <f t="shared" si="6"/>
        <v/>
      </c>
      <c r="J119" s="102">
        <f t="shared" si="10"/>
        <v>-3</v>
      </c>
      <c r="K119" s="101">
        <f t="shared" si="7"/>
        <v>-30</v>
      </c>
      <c r="L119" s="101"/>
      <c r="M119" s="103">
        <f t="shared" si="8"/>
        <v>0</v>
      </c>
    </row>
    <row r="120" spans="1:13" x14ac:dyDescent="0.25">
      <c r="A120" s="117"/>
      <c r="G120" s="84"/>
      <c r="H120" s="101">
        <v>115</v>
      </c>
      <c r="I120" s="102" t="str">
        <f t="shared" si="6"/>
        <v/>
      </c>
      <c r="J120" s="102">
        <f t="shared" si="10"/>
        <v>-3</v>
      </c>
      <c r="K120" s="101">
        <f t="shared" si="7"/>
        <v>-30</v>
      </c>
      <c r="L120" s="101"/>
      <c r="M120" s="103">
        <f t="shared" si="8"/>
        <v>0</v>
      </c>
    </row>
    <row r="121" spans="1:13" x14ac:dyDescent="0.25">
      <c r="A121" s="117"/>
      <c r="G121" s="84"/>
      <c r="H121" s="101">
        <v>116</v>
      </c>
      <c r="I121" s="102" t="str">
        <f t="shared" si="6"/>
        <v/>
      </c>
      <c r="J121" s="102">
        <f t="shared" si="10"/>
        <v>-3</v>
      </c>
      <c r="K121" s="101">
        <f t="shared" si="7"/>
        <v>-30</v>
      </c>
      <c r="L121" s="101"/>
      <c r="M121" s="103">
        <f t="shared" si="8"/>
        <v>0</v>
      </c>
    </row>
    <row r="122" spans="1:13" x14ac:dyDescent="0.25">
      <c r="A122" s="117"/>
      <c r="G122" s="84"/>
      <c r="H122" s="101">
        <v>117</v>
      </c>
      <c r="I122" s="102" t="str">
        <f t="shared" si="6"/>
        <v/>
      </c>
      <c r="J122" s="102">
        <f t="shared" si="10"/>
        <v>-3</v>
      </c>
      <c r="K122" s="101">
        <f t="shared" si="7"/>
        <v>-30</v>
      </c>
      <c r="L122" s="101"/>
      <c r="M122" s="103">
        <f t="shared" si="8"/>
        <v>0</v>
      </c>
    </row>
    <row r="123" spans="1:13" x14ac:dyDescent="0.25">
      <c r="A123" s="117"/>
      <c r="G123" s="84"/>
      <c r="H123" s="101">
        <v>118</v>
      </c>
      <c r="I123" s="102" t="str">
        <f t="shared" si="6"/>
        <v/>
      </c>
      <c r="J123" s="102">
        <f t="shared" si="10"/>
        <v>-3</v>
      </c>
      <c r="K123" s="101">
        <f t="shared" si="7"/>
        <v>-30</v>
      </c>
      <c r="L123" s="101"/>
      <c r="M123" s="103">
        <f t="shared" si="8"/>
        <v>0</v>
      </c>
    </row>
    <row r="124" spans="1:13" x14ac:dyDescent="0.25">
      <c r="A124" s="117"/>
      <c r="G124" s="84"/>
      <c r="H124" s="101">
        <v>119</v>
      </c>
      <c r="I124" s="102" t="str">
        <f t="shared" si="6"/>
        <v/>
      </c>
      <c r="J124" s="102">
        <f t="shared" si="10"/>
        <v>-3</v>
      </c>
      <c r="K124" s="101">
        <f t="shared" si="7"/>
        <v>-30</v>
      </c>
      <c r="L124" s="101"/>
      <c r="M124" s="103">
        <f t="shared" si="8"/>
        <v>0</v>
      </c>
    </row>
    <row r="125" spans="1:13" x14ac:dyDescent="0.25">
      <c r="A125" s="117"/>
      <c r="G125" s="84"/>
      <c r="H125" s="101">
        <v>120</v>
      </c>
      <c r="I125" s="102" t="str">
        <f t="shared" si="6"/>
        <v/>
      </c>
      <c r="J125" s="102">
        <f t="shared" si="10"/>
        <v>-3</v>
      </c>
      <c r="K125" s="101">
        <f t="shared" si="7"/>
        <v>-30</v>
      </c>
      <c r="L125" s="101"/>
      <c r="M125" s="103">
        <f t="shared" si="8"/>
        <v>0</v>
      </c>
    </row>
    <row r="126" spans="1:13" x14ac:dyDescent="0.25">
      <c r="A126" s="117"/>
      <c r="G126" s="84"/>
      <c r="H126" s="101">
        <v>121</v>
      </c>
      <c r="I126" s="102" t="str">
        <f t="shared" si="6"/>
        <v/>
      </c>
      <c r="J126" s="102">
        <f t="shared" si="10"/>
        <v>-3</v>
      </c>
      <c r="K126" s="101">
        <f t="shared" si="7"/>
        <v>-30</v>
      </c>
      <c r="L126" s="101"/>
      <c r="M126" s="103">
        <f t="shared" si="8"/>
        <v>0</v>
      </c>
    </row>
    <row r="127" spans="1:13" x14ac:dyDescent="0.25">
      <c r="A127" s="117"/>
      <c r="G127" s="84"/>
      <c r="H127" s="101">
        <v>122</v>
      </c>
      <c r="I127" s="102" t="str">
        <f t="shared" si="6"/>
        <v/>
      </c>
      <c r="J127" s="102">
        <f t="shared" si="10"/>
        <v>-3</v>
      </c>
      <c r="K127" s="101">
        <f t="shared" si="7"/>
        <v>-30</v>
      </c>
      <c r="L127" s="101"/>
      <c r="M127" s="103">
        <f t="shared" si="8"/>
        <v>0</v>
      </c>
    </row>
    <row r="128" spans="1:13" x14ac:dyDescent="0.25">
      <c r="A128" s="117"/>
      <c r="G128" s="84"/>
      <c r="H128" s="101">
        <v>123</v>
      </c>
      <c r="I128" s="102" t="str">
        <f t="shared" si="6"/>
        <v/>
      </c>
      <c r="J128" s="102">
        <f t="shared" si="10"/>
        <v>-3</v>
      </c>
      <c r="K128" s="101">
        <f t="shared" si="7"/>
        <v>-30</v>
      </c>
      <c r="L128" s="101"/>
      <c r="M128" s="103">
        <f t="shared" si="8"/>
        <v>0</v>
      </c>
    </row>
    <row r="129" spans="1:13" x14ac:dyDescent="0.25">
      <c r="A129" s="117"/>
      <c r="G129" s="84"/>
      <c r="H129" s="101">
        <v>124</v>
      </c>
      <c r="I129" s="102" t="str">
        <f t="shared" si="6"/>
        <v/>
      </c>
      <c r="J129" s="102">
        <f t="shared" si="10"/>
        <v>-3</v>
      </c>
      <c r="K129" s="101">
        <f t="shared" si="7"/>
        <v>-30</v>
      </c>
      <c r="L129" s="101"/>
      <c r="M129" s="103">
        <f t="shared" si="8"/>
        <v>0</v>
      </c>
    </row>
    <row r="130" spans="1:13" x14ac:dyDescent="0.25">
      <c r="A130" s="117"/>
      <c r="G130" s="84"/>
      <c r="H130" s="101">
        <v>125</v>
      </c>
      <c r="I130" s="102" t="str">
        <f t="shared" si="6"/>
        <v/>
      </c>
      <c r="J130" s="102">
        <f t="shared" si="10"/>
        <v>-3</v>
      </c>
      <c r="K130" s="101">
        <f t="shared" si="7"/>
        <v>-30</v>
      </c>
      <c r="L130" s="101"/>
      <c r="M130" s="103">
        <f t="shared" si="8"/>
        <v>0</v>
      </c>
    </row>
    <row r="131" spans="1:13" x14ac:dyDescent="0.25">
      <c r="A131" s="117"/>
      <c r="G131" s="84"/>
      <c r="H131" s="101">
        <v>126</v>
      </c>
      <c r="I131" s="102" t="str">
        <f t="shared" si="6"/>
        <v/>
      </c>
      <c r="J131" s="102">
        <f t="shared" si="10"/>
        <v>-3</v>
      </c>
      <c r="K131" s="101">
        <f t="shared" si="7"/>
        <v>-30</v>
      </c>
      <c r="L131" s="101"/>
      <c r="M131" s="103">
        <f t="shared" si="8"/>
        <v>0</v>
      </c>
    </row>
    <row r="132" spans="1:13" x14ac:dyDescent="0.25">
      <c r="A132" s="117"/>
      <c r="G132" s="84"/>
      <c r="H132" s="101">
        <v>127</v>
      </c>
      <c r="I132" s="102" t="str">
        <f t="shared" si="6"/>
        <v/>
      </c>
      <c r="J132" s="102">
        <f t="shared" si="10"/>
        <v>-3</v>
      </c>
      <c r="K132" s="101">
        <f t="shared" si="7"/>
        <v>-30</v>
      </c>
      <c r="L132" s="101"/>
      <c r="M132" s="103">
        <f t="shared" si="8"/>
        <v>0</v>
      </c>
    </row>
    <row r="133" spans="1:13" x14ac:dyDescent="0.25">
      <c r="A133" s="117"/>
      <c r="G133" s="84"/>
      <c r="H133" s="101">
        <v>128</v>
      </c>
      <c r="I133" s="102" t="str">
        <f t="shared" si="6"/>
        <v/>
      </c>
      <c r="J133" s="102">
        <f t="shared" si="10"/>
        <v>-3</v>
      </c>
      <c r="K133" s="101">
        <f t="shared" si="7"/>
        <v>-30</v>
      </c>
      <c r="L133" s="101"/>
      <c r="M133" s="103">
        <f t="shared" si="8"/>
        <v>0</v>
      </c>
    </row>
    <row r="134" spans="1:13" x14ac:dyDescent="0.25">
      <c r="A134" s="117"/>
      <c r="G134" s="84"/>
      <c r="H134" s="101">
        <v>129</v>
      </c>
      <c r="I134" s="102" t="str">
        <f t="shared" ref="I134:I197" si="11">IF(H134&lt;$H$2+1,($I$2-($I$2-1)*(LOG(H134)/LOG($H$2))),"")</f>
        <v/>
      </c>
      <c r="J134" s="102">
        <f t="shared" si="10"/>
        <v>-4</v>
      </c>
      <c r="K134" s="101">
        <f t="shared" ref="K134:K197" si="12">J134*$J$2</f>
        <v>-40</v>
      </c>
      <c r="L134" s="101"/>
      <c r="M134" s="103">
        <f t="shared" ref="M134:M197" si="13">IF(I134&lt;&gt;"",K134+I134+L134,0)</f>
        <v>0</v>
      </c>
    </row>
    <row r="135" spans="1:13" x14ac:dyDescent="0.25">
      <c r="A135" s="117"/>
      <c r="G135" s="84"/>
      <c r="H135" s="101">
        <v>130</v>
      </c>
      <c r="I135" s="102" t="str">
        <f t="shared" si="11"/>
        <v/>
      </c>
      <c r="J135" s="102">
        <f t="shared" ref="J135:J198" si="14">INT(LOG($H$2,2))-ROUNDUP(LOG(H135,2),0)+IF(OR($H$2=1,$H$2=2,$H$2=4,$H$2=8,$H$2=16,$H$2=32,$H$2=64,$H$2=128,$H$2=256),0,1)</f>
        <v>-4</v>
      </c>
      <c r="K135" s="101">
        <f t="shared" si="12"/>
        <v>-40</v>
      </c>
      <c r="L135" s="101"/>
      <c r="M135" s="103">
        <f t="shared" si="13"/>
        <v>0</v>
      </c>
    </row>
    <row r="136" spans="1:13" x14ac:dyDescent="0.25">
      <c r="A136" s="117"/>
      <c r="G136" s="84"/>
      <c r="H136" s="101">
        <v>131</v>
      </c>
      <c r="I136" s="102" t="str">
        <f t="shared" si="11"/>
        <v/>
      </c>
      <c r="J136" s="102">
        <f t="shared" si="14"/>
        <v>-4</v>
      </c>
      <c r="K136" s="101">
        <f t="shared" si="12"/>
        <v>-40</v>
      </c>
      <c r="L136" s="101"/>
      <c r="M136" s="103">
        <f t="shared" si="13"/>
        <v>0</v>
      </c>
    </row>
    <row r="137" spans="1:13" x14ac:dyDescent="0.25">
      <c r="A137" s="117"/>
      <c r="G137" s="84"/>
      <c r="H137" s="101">
        <v>132</v>
      </c>
      <c r="I137" s="102" t="str">
        <f t="shared" si="11"/>
        <v/>
      </c>
      <c r="J137" s="102">
        <f t="shared" si="14"/>
        <v>-4</v>
      </c>
      <c r="K137" s="101">
        <f t="shared" si="12"/>
        <v>-40</v>
      </c>
      <c r="L137" s="101"/>
      <c r="M137" s="103">
        <f t="shared" si="13"/>
        <v>0</v>
      </c>
    </row>
    <row r="138" spans="1:13" x14ac:dyDescent="0.25">
      <c r="A138" s="117"/>
      <c r="G138" s="84"/>
      <c r="H138" s="101">
        <v>133</v>
      </c>
      <c r="I138" s="102" t="str">
        <f t="shared" si="11"/>
        <v/>
      </c>
      <c r="J138" s="102">
        <f t="shared" si="14"/>
        <v>-4</v>
      </c>
      <c r="K138" s="101">
        <f t="shared" si="12"/>
        <v>-40</v>
      </c>
      <c r="L138" s="101"/>
      <c r="M138" s="103">
        <f t="shared" si="13"/>
        <v>0</v>
      </c>
    </row>
    <row r="139" spans="1:13" x14ac:dyDescent="0.25">
      <c r="A139" s="117"/>
      <c r="G139" s="84"/>
      <c r="H139" s="101">
        <v>134</v>
      </c>
      <c r="I139" s="102" t="str">
        <f t="shared" si="11"/>
        <v/>
      </c>
      <c r="J139" s="102">
        <f t="shared" si="14"/>
        <v>-4</v>
      </c>
      <c r="K139" s="101">
        <f t="shared" si="12"/>
        <v>-40</v>
      </c>
      <c r="L139" s="101"/>
      <c r="M139" s="103">
        <f t="shared" si="13"/>
        <v>0</v>
      </c>
    </row>
    <row r="140" spans="1:13" x14ac:dyDescent="0.25">
      <c r="A140" s="117"/>
      <c r="G140" s="84"/>
      <c r="H140" s="101">
        <v>135</v>
      </c>
      <c r="I140" s="102" t="str">
        <f t="shared" si="11"/>
        <v/>
      </c>
      <c r="J140" s="102">
        <f t="shared" si="14"/>
        <v>-4</v>
      </c>
      <c r="K140" s="101">
        <f t="shared" si="12"/>
        <v>-40</v>
      </c>
      <c r="L140" s="101"/>
      <c r="M140" s="103">
        <f t="shared" si="13"/>
        <v>0</v>
      </c>
    </row>
    <row r="141" spans="1:13" x14ac:dyDescent="0.25">
      <c r="A141" s="117"/>
      <c r="G141" s="84"/>
      <c r="H141" s="101">
        <v>136</v>
      </c>
      <c r="I141" s="102" t="str">
        <f t="shared" si="11"/>
        <v/>
      </c>
      <c r="J141" s="102">
        <f t="shared" si="14"/>
        <v>-4</v>
      </c>
      <c r="K141" s="101">
        <f t="shared" si="12"/>
        <v>-40</v>
      </c>
      <c r="L141" s="101"/>
      <c r="M141" s="103">
        <f t="shared" si="13"/>
        <v>0</v>
      </c>
    </row>
    <row r="142" spans="1:13" x14ac:dyDescent="0.25">
      <c r="A142" s="117"/>
      <c r="G142" s="84"/>
      <c r="H142" s="101">
        <v>137</v>
      </c>
      <c r="I142" s="102" t="str">
        <f t="shared" si="11"/>
        <v/>
      </c>
      <c r="J142" s="102">
        <f t="shared" si="14"/>
        <v>-4</v>
      </c>
      <c r="K142" s="101">
        <f t="shared" si="12"/>
        <v>-40</v>
      </c>
      <c r="L142" s="101"/>
      <c r="M142" s="103">
        <f t="shared" si="13"/>
        <v>0</v>
      </c>
    </row>
    <row r="143" spans="1:13" x14ac:dyDescent="0.25">
      <c r="A143" s="117"/>
      <c r="G143" s="84"/>
      <c r="H143" s="101">
        <v>138</v>
      </c>
      <c r="I143" s="102" t="str">
        <f t="shared" si="11"/>
        <v/>
      </c>
      <c r="J143" s="102">
        <f t="shared" si="14"/>
        <v>-4</v>
      </c>
      <c r="K143" s="101">
        <f t="shared" si="12"/>
        <v>-40</v>
      </c>
      <c r="L143" s="101"/>
      <c r="M143" s="103">
        <f t="shared" si="13"/>
        <v>0</v>
      </c>
    </row>
    <row r="144" spans="1:13" x14ac:dyDescent="0.25">
      <c r="A144" s="117"/>
      <c r="G144" s="84"/>
      <c r="H144" s="101">
        <v>139</v>
      </c>
      <c r="I144" s="102" t="str">
        <f t="shared" si="11"/>
        <v/>
      </c>
      <c r="J144" s="102">
        <f t="shared" si="14"/>
        <v>-4</v>
      </c>
      <c r="K144" s="101">
        <f t="shared" si="12"/>
        <v>-40</v>
      </c>
      <c r="L144" s="101"/>
      <c r="M144" s="103">
        <f t="shared" si="13"/>
        <v>0</v>
      </c>
    </row>
    <row r="145" spans="1:13" x14ac:dyDescent="0.25">
      <c r="A145" s="117"/>
      <c r="G145" s="84"/>
      <c r="H145" s="101">
        <v>140</v>
      </c>
      <c r="I145" s="102" t="str">
        <f t="shared" si="11"/>
        <v/>
      </c>
      <c r="J145" s="102">
        <f t="shared" si="14"/>
        <v>-4</v>
      </c>
      <c r="K145" s="101">
        <f t="shared" si="12"/>
        <v>-40</v>
      </c>
      <c r="L145" s="101"/>
      <c r="M145" s="103">
        <f t="shared" si="13"/>
        <v>0</v>
      </c>
    </row>
    <row r="146" spans="1:13" x14ac:dyDescent="0.25">
      <c r="A146" s="117"/>
      <c r="G146" s="84"/>
      <c r="H146" s="101">
        <v>141</v>
      </c>
      <c r="I146" s="102" t="str">
        <f t="shared" si="11"/>
        <v/>
      </c>
      <c r="J146" s="102">
        <f t="shared" si="14"/>
        <v>-4</v>
      </c>
      <c r="K146" s="101">
        <f t="shared" si="12"/>
        <v>-40</v>
      </c>
      <c r="L146" s="101"/>
      <c r="M146" s="103">
        <f t="shared" si="13"/>
        <v>0</v>
      </c>
    </row>
    <row r="147" spans="1:13" x14ac:dyDescent="0.25">
      <c r="A147" s="117"/>
      <c r="G147" s="84"/>
      <c r="H147" s="101">
        <v>142</v>
      </c>
      <c r="I147" s="102" t="str">
        <f t="shared" si="11"/>
        <v/>
      </c>
      <c r="J147" s="102">
        <f t="shared" si="14"/>
        <v>-4</v>
      </c>
      <c r="K147" s="101">
        <f t="shared" si="12"/>
        <v>-40</v>
      </c>
      <c r="L147" s="101"/>
      <c r="M147" s="103">
        <f t="shared" si="13"/>
        <v>0</v>
      </c>
    </row>
    <row r="148" spans="1:13" x14ac:dyDescent="0.25">
      <c r="A148" s="117"/>
      <c r="G148" s="84"/>
      <c r="H148" s="101">
        <v>143</v>
      </c>
      <c r="I148" s="102" t="str">
        <f t="shared" si="11"/>
        <v/>
      </c>
      <c r="J148" s="102">
        <f t="shared" si="14"/>
        <v>-4</v>
      </c>
      <c r="K148" s="101">
        <f t="shared" si="12"/>
        <v>-40</v>
      </c>
      <c r="L148" s="101"/>
      <c r="M148" s="103">
        <f t="shared" si="13"/>
        <v>0</v>
      </c>
    </row>
    <row r="149" spans="1:13" x14ac:dyDescent="0.25">
      <c r="A149" s="117"/>
      <c r="G149" s="84"/>
      <c r="H149" s="101">
        <v>144</v>
      </c>
      <c r="I149" s="102" t="str">
        <f t="shared" si="11"/>
        <v/>
      </c>
      <c r="J149" s="102">
        <f t="shared" si="14"/>
        <v>-4</v>
      </c>
      <c r="K149" s="101">
        <f t="shared" si="12"/>
        <v>-40</v>
      </c>
      <c r="L149" s="101"/>
      <c r="M149" s="103">
        <f t="shared" si="13"/>
        <v>0</v>
      </c>
    </row>
    <row r="150" spans="1:13" x14ac:dyDescent="0.25">
      <c r="A150" s="117"/>
      <c r="G150" s="84"/>
      <c r="H150" s="101">
        <v>145</v>
      </c>
      <c r="I150" s="102" t="str">
        <f t="shared" si="11"/>
        <v/>
      </c>
      <c r="J150" s="102">
        <f t="shared" si="14"/>
        <v>-4</v>
      </c>
      <c r="K150" s="101">
        <f t="shared" si="12"/>
        <v>-40</v>
      </c>
      <c r="L150" s="101"/>
      <c r="M150" s="103">
        <f t="shared" si="13"/>
        <v>0</v>
      </c>
    </row>
    <row r="151" spans="1:13" x14ac:dyDescent="0.25">
      <c r="A151" s="117"/>
      <c r="G151" s="84"/>
      <c r="H151" s="101">
        <v>146</v>
      </c>
      <c r="I151" s="102" t="str">
        <f t="shared" si="11"/>
        <v/>
      </c>
      <c r="J151" s="102">
        <f t="shared" si="14"/>
        <v>-4</v>
      </c>
      <c r="K151" s="101">
        <f t="shared" si="12"/>
        <v>-40</v>
      </c>
      <c r="L151" s="101"/>
      <c r="M151" s="103">
        <f t="shared" si="13"/>
        <v>0</v>
      </c>
    </row>
    <row r="152" spans="1:13" x14ac:dyDescent="0.25">
      <c r="A152" s="117"/>
      <c r="G152" s="84"/>
      <c r="H152" s="101">
        <v>147</v>
      </c>
      <c r="I152" s="102" t="str">
        <f t="shared" si="11"/>
        <v/>
      </c>
      <c r="J152" s="102">
        <f t="shared" si="14"/>
        <v>-4</v>
      </c>
      <c r="K152" s="101">
        <f t="shared" si="12"/>
        <v>-40</v>
      </c>
      <c r="L152" s="101"/>
      <c r="M152" s="103">
        <f t="shared" si="13"/>
        <v>0</v>
      </c>
    </row>
    <row r="153" spans="1:13" x14ac:dyDescent="0.25">
      <c r="A153" s="117"/>
      <c r="G153" s="84"/>
      <c r="H153" s="101">
        <v>148</v>
      </c>
      <c r="I153" s="102" t="str">
        <f t="shared" si="11"/>
        <v/>
      </c>
      <c r="J153" s="102">
        <f t="shared" si="14"/>
        <v>-4</v>
      </c>
      <c r="K153" s="101">
        <f t="shared" si="12"/>
        <v>-40</v>
      </c>
      <c r="L153" s="101"/>
      <c r="M153" s="103">
        <f t="shared" si="13"/>
        <v>0</v>
      </c>
    </row>
    <row r="154" spans="1:13" x14ac:dyDescent="0.25">
      <c r="A154" s="117"/>
      <c r="G154" s="84"/>
      <c r="H154" s="101">
        <v>149</v>
      </c>
      <c r="I154" s="102" t="str">
        <f t="shared" si="11"/>
        <v/>
      </c>
      <c r="J154" s="102">
        <f t="shared" si="14"/>
        <v>-4</v>
      </c>
      <c r="K154" s="101">
        <f t="shared" si="12"/>
        <v>-40</v>
      </c>
      <c r="L154" s="101"/>
      <c r="M154" s="103">
        <f t="shared" si="13"/>
        <v>0</v>
      </c>
    </row>
    <row r="155" spans="1:13" x14ac:dyDescent="0.25">
      <c r="A155" s="117"/>
      <c r="G155" s="84"/>
      <c r="H155" s="101">
        <v>150</v>
      </c>
      <c r="I155" s="102" t="str">
        <f t="shared" si="11"/>
        <v/>
      </c>
      <c r="J155" s="102">
        <f t="shared" si="14"/>
        <v>-4</v>
      </c>
      <c r="K155" s="101">
        <f t="shared" si="12"/>
        <v>-40</v>
      </c>
      <c r="L155" s="101"/>
      <c r="M155" s="103">
        <f t="shared" si="13"/>
        <v>0</v>
      </c>
    </row>
    <row r="156" spans="1:13" x14ac:dyDescent="0.25">
      <c r="A156" s="117"/>
      <c r="G156" s="84"/>
      <c r="H156" s="101">
        <v>151</v>
      </c>
      <c r="I156" s="102" t="str">
        <f t="shared" si="11"/>
        <v/>
      </c>
      <c r="J156" s="102">
        <f t="shared" si="14"/>
        <v>-4</v>
      </c>
      <c r="K156" s="101">
        <f t="shared" si="12"/>
        <v>-40</v>
      </c>
      <c r="L156" s="101"/>
      <c r="M156" s="103">
        <f t="shared" si="13"/>
        <v>0</v>
      </c>
    </row>
    <row r="157" spans="1:13" x14ac:dyDescent="0.25">
      <c r="A157" s="117"/>
      <c r="G157" s="84"/>
      <c r="H157" s="101">
        <v>152</v>
      </c>
      <c r="I157" s="102" t="str">
        <f t="shared" si="11"/>
        <v/>
      </c>
      <c r="J157" s="102">
        <f t="shared" si="14"/>
        <v>-4</v>
      </c>
      <c r="K157" s="101">
        <f t="shared" si="12"/>
        <v>-40</v>
      </c>
      <c r="L157" s="101"/>
      <c r="M157" s="103">
        <f t="shared" si="13"/>
        <v>0</v>
      </c>
    </row>
    <row r="158" spans="1:13" x14ac:dyDescent="0.25">
      <c r="A158" s="117"/>
      <c r="G158" s="84"/>
      <c r="H158" s="101">
        <v>153</v>
      </c>
      <c r="I158" s="102" t="str">
        <f t="shared" si="11"/>
        <v/>
      </c>
      <c r="J158" s="102">
        <f t="shared" si="14"/>
        <v>-4</v>
      </c>
      <c r="K158" s="101">
        <f t="shared" si="12"/>
        <v>-40</v>
      </c>
      <c r="L158" s="101"/>
      <c r="M158" s="103">
        <f t="shared" si="13"/>
        <v>0</v>
      </c>
    </row>
    <row r="159" spans="1:13" x14ac:dyDescent="0.25">
      <c r="A159" s="117"/>
      <c r="G159" s="84"/>
      <c r="H159" s="101">
        <v>154</v>
      </c>
      <c r="I159" s="102" t="str">
        <f t="shared" si="11"/>
        <v/>
      </c>
      <c r="J159" s="102">
        <f t="shared" si="14"/>
        <v>-4</v>
      </c>
      <c r="K159" s="101">
        <f t="shared" si="12"/>
        <v>-40</v>
      </c>
      <c r="L159" s="101"/>
      <c r="M159" s="103">
        <f t="shared" si="13"/>
        <v>0</v>
      </c>
    </row>
    <row r="160" spans="1:13" x14ac:dyDescent="0.25">
      <c r="A160" s="117"/>
      <c r="G160" s="84"/>
      <c r="H160" s="101">
        <v>155</v>
      </c>
      <c r="I160" s="102" t="str">
        <f t="shared" si="11"/>
        <v/>
      </c>
      <c r="J160" s="102">
        <f t="shared" si="14"/>
        <v>-4</v>
      </c>
      <c r="K160" s="101">
        <f t="shared" si="12"/>
        <v>-40</v>
      </c>
      <c r="L160" s="101"/>
      <c r="M160" s="103">
        <f t="shared" si="13"/>
        <v>0</v>
      </c>
    </row>
    <row r="161" spans="1:13" x14ac:dyDescent="0.25">
      <c r="A161" s="117"/>
      <c r="G161" s="84"/>
      <c r="H161" s="101">
        <v>156</v>
      </c>
      <c r="I161" s="102" t="str">
        <f t="shared" si="11"/>
        <v/>
      </c>
      <c r="J161" s="102">
        <f t="shared" si="14"/>
        <v>-4</v>
      </c>
      <c r="K161" s="101">
        <f t="shared" si="12"/>
        <v>-40</v>
      </c>
      <c r="L161" s="101"/>
      <c r="M161" s="103">
        <f t="shared" si="13"/>
        <v>0</v>
      </c>
    </row>
    <row r="162" spans="1:13" x14ac:dyDescent="0.25">
      <c r="A162" s="117"/>
      <c r="G162" s="84"/>
      <c r="H162" s="101">
        <v>157</v>
      </c>
      <c r="I162" s="102" t="str">
        <f t="shared" si="11"/>
        <v/>
      </c>
      <c r="J162" s="102">
        <f t="shared" si="14"/>
        <v>-4</v>
      </c>
      <c r="K162" s="101">
        <f t="shared" si="12"/>
        <v>-40</v>
      </c>
      <c r="L162" s="101"/>
      <c r="M162" s="103">
        <f t="shared" si="13"/>
        <v>0</v>
      </c>
    </row>
    <row r="163" spans="1:13" x14ac:dyDescent="0.25">
      <c r="A163" s="117"/>
      <c r="G163" s="84"/>
      <c r="H163" s="101">
        <v>158</v>
      </c>
      <c r="I163" s="102" t="str">
        <f t="shared" si="11"/>
        <v/>
      </c>
      <c r="J163" s="102">
        <f t="shared" si="14"/>
        <v>-4</v>
      </c>
      <c r="K163" s="101">
        <f t="shared" si="12"/>
        <v>-40</v>
      </c>
      <c r="L163" s="101"/>
      <c r="M163" s="103">
        <f t="shared" si="13"/>
        <v>0</v>
      </c>
    </row>
    <row r="164" spans="1:13" x14ac:dyDescent="0.25">
      <c r="A164" s="117"/>
      <c r="G164" s="84"/>
      <c r="H164" s="101">
        <v>159</v>
      </c>
      <c r="I164" s="102" t="str">
        <f t="shared" si="11"/>
        <v/>
      </c>
      <c r="J164" s="102">
        <f t="shared" si="14"/>
        <v>-4</v>
      </c>
      <c r="K164" s="101">
        <f t="shared" si="12"/>
        <v>-40</v>
      </c>
      <c r="L164" s="101"/>
      <c r="M164" s="103">
        <f t="shared" si="13"/>
        <v>0</v>
      </c>
    </row>
    <row r="165" spans="1:13" x14ac:dyDescent="0.25">
      <c r="A165" s="117"/>
      <c r="G165" s="84"/>
      <c r="H165" s="101">
        <v>160</v>
      </c>
      <c r="I165" s="102" t="str">
        <f t="shared" si="11"/>
        <v/>
      </c>
      <c r="J165" s="102">
        <f t="shared" si="14"/>
        <v>-4</v>
      </c>
      <c r="K165" s="101">
        <f t="shared" si="12"/>
        <v>-40</v>
      </c>
      <c r="L165" s="101"/>
      <c r="M165" s="103">
        <f t="shared" si="13"/>
        <v>0</v>
      </c>
    </row>
    <row r="166" spans="1:13" x14ac:dyDescent="0.25">
      <c r="A166" s="117"/>
      <c r="G166" s="84"/>
      <c r="H166" s="101">
        <v>161</v>
      </c>
      <c r="I166" s="102" t="str">
        <f t="shared" si="11"/>
        <v/>
      </c>
      <c r="J166" s="102">
        <f t="shared" si="14"/>
        <v>-4</v>
      </c>
      <c r="K166" s="101">
        <f t="shared" si="12"/>
        <v>-40</v>
      </c>
      <c r="L166" s="101"/>
      <c r="M166" s="103">
        <f t="shared" si="13"/>
        <v>0</v>
      </c>
    </row>
    <row r="167" spans="1:13" x14ac:dyDescent="0.25">
      <c r="A167" s="117"/>
      <c r="G167" s="84"/>
      <c r="H167" s="101">
        <v>162</v>
      </c>
      <c r="I167" s="102" t="str">
        <f t="shared" si="11"/>
        <v/>
      </c>
      <c r="J167" s="102">
        <f t="shared" si="14"/>
        <v>-4</v>
      </c>
      <c r="K167" s="101">
        <f t="shared" si="12"/>
        <v>-40</v>
      </c>
      <c r="L167" s="101"/>
      <c r="M167" s="103">
        <f t="shared" si="13"/>
        <v>0</v>
      </c>
    </row>
    <row r="168" spans="1:13" x14ac:dyDescent="0.25">
      <c r="A168" s="117"/>
      <c r="G168" s="84"/>
      <c r="H168" s="101">
        <v>163</v>
      </c>
      <c r="I168" s="102" t="str">
        <f t="shared" si="11"/>
        <v/>
      </c>
      <c r="J168" s="102">
        <f t="shared" si="14"/>
        <v>-4</v>
      </c>
      <c r="K168" s="101">
        <f t="shared" si="12"/>
        <v>-40</v>
      </c>
      <c r="L168" s="101"/>
      <c r="M168" s="103">
        <f t="shared" si="13"/>
        <v>0</v>
      </c>
    </row>
    <row r="169" spans="1:13" x14ac:dyDescent="0.25">
      <c r="A169" s="117"/>
      <c r="G169" s="84"/>
      <c r="H169" s="101">
        <v>164</v>
      </c>
      <c r="I169" s="102" t="str">
        <f t="shared" si="11"/>
        <v/>
      </c>
      <c r="J169" s="102">
        <f t="shared" si="14"/>
        <v>-4</v>
      </c>
      <c r="K169" s="101">
        <f t="shared" si="12"/>
        <v>-40</v>
      </c>
      <c r="L169" s="101"/>
      <c r="M169" s="103">
        <f t="shared" si="13"/>
        <v>0</v>
      </c>
    </row>
    <row r="170" spans="1:13" x14ac:dyDescent="0.25">
      <c r="A170" s="117"/>
      <c r="G170" s="84"/>
      <c r="H170" s="101">
        <v>165</v>
      </c>
      <c r="I170" s="102" t="str">
        <f t="shared" si="11"/>
        <v/>
      </c>
      <c r="J170" s="102">
        <f t="shared" si="14"/>
        <v>-4</v>
      </c>
      <c r="K170" s="101">
        <f t="shared" si="12"/>
        <v>-40</v>
      </c>
      <c r="L170" s="101"/>
      <c r="M170" s="103">
        <f t="shared" si="13"/>
        <v>0</v>
      </c>
    </row>
    <row r="171" spans="1:13" x14ac:dyDescent="0.25">
      <c r="A171" s="117"/>
      <c r="G171" s="84"/>
      <c r="H171" s="101">
        <v>166</v>
      </c>
      <c r="I171" s="102" t="str">
        <f t="shared" si="11"/>
        <v/>
      </c>
      <c r="J171" s="102">
        <f t="shared" si="14"/>
        <v>-4</v>
      </c>
      <c r="K171" s="101">
        <f t="shared" si="12"/>
        <v>-40</v>
      </c>
      <c r="L171" s="101"/>
      <c r="M171" s="103">
        <f t="shared" si="13"/>
        <v>0</v>
      </c>
    </row>
    <row r="172" spans="1:13" x14ac:dyDescent="0.25">
      <c r="A172" s="117"/>
      <c r="G172" s="84"/>
      <c r="H172" s="101">
        <v>167</v>
      </c>
      <c r="I172" s="102" t="str">
        <f t="shared" si="11"/>
        <v/>
      </c>
      <c r="J172" s="102">
        <f t="shared" si="14"/>
        <v>-4</v>
      </c>
      <c r="K172" s="101">
        <f t="shared" si="12"/>
        <v>-40</v>
      </c>
      <c r="L172" s="101"/>
      <c r="M172" s="103">
        <f t="shared" si="13"/>
        <v>0</v>
      </c>
    </row>
    <row r="173" spans="1:13" x14ac:dyDescent="0.25">
      <c r="A173" s="117"/>
      <c r="G173" s="84"/>
      <c r="H173" s="101">
        <v>168</v>
      </c>
      <c r="I173" s="102" t="str">
        <f t="shared" si="11"/>
        <v/>
      </c>
      <c r="J173" s="102">
        <f t="shared" si="14"/>
        <v>-4</v>
      </c>
      <c r="K173" s="101">
        <f t="shared" si="12"/>
        <v>-40</v>
      </c>
      <c r="L173" s="101"/>
      <c r="M173" s="103">
        <f t="shared" si="13"/>
        <v>0</v>
      </c>
    </row>
    <row r="174" spans="1:13" x14ac:dyDescent="0.25">
      <c r="A174" s="117"/>
      <c r="G174" s="84"/>
      <c r="H174" s="101">
        <v>169</v>
      </c>
      <c r="I174" s="102" t="str">
        <f t="shared" si="11"/>
        <v/>
      </c>
      <c r="J174" s="102">
        <f t="shared" si="14"/>
        <v>-4</v>
      </c>
      <c r="K174" s="101">
        <f t="shared" si="12"/>
        <v>-40</v>
      </c>
      <c r="L174" s="101"/>
      <c r="M174" s="103">
        <f t="shared" si="13"/>
        <v>0</v>
      </c>
    </row>
    <row r="175" spans="1:13" x14ac:dyDescent="0.25">
      <c r="A175" s="117"/>
      <c r="G175" s="84"/>
      <c r="H175" s="101">
        <v>170</v>
      </c>
      <c r="I175" s="102" t="str">
        <f t="shared" si="11"/>
        <v/>
      </c>
      <c r="J175" s="102">
        <f t="shared" si="14"/>
        <v>-4</v>
      </c>
      <c r="K175" s="101">
        <f t="shared" si="12"/>
        <v>-40</v>
      </c>
      <c r="L175" s="101"/>
      <c r="M175" s="103">
        <f t="shared" si="13"/>
        <v>0</v>
      </c>
    </row>
    <row r="176" spans="1:13" x14ac:dyDescent="0.25">
      <c r="A176" s="117"/>
      <c r="G176" s="84"/>
      <c r="H176" s="101">
        <v>171</v>
      </c>
      <c r="I176" s="102" t="str">
        <f t="shared" si="11"/>
        <v/>
      </c>
      <c r="J176" s="102">
        <f t="shared" si="14"/>
        <v>-4</v>
      </c>
      <c r="K176" s="101">
        <f t="shared" si="12"/>
        <v>-40</v>
      </c>
      <c r="L176" s="101"/>
      <c r="M176" s="103">
        <f t="shared" si="13"/>
        <v>0</v>
      </c>
    </row>
    <row r="177" spans="1:13" x14ac:dyDescent="0.25">
      <c r="A177" s="117"/>
      <c r="G177" s="84"/>
      <c r="H177" s="101">
        <v>172</v>
      </c>
      <c r="I177" s="102" t="str">
        <f t="shared" si="11"/>
        <v/>
      </c>
      <c r="J177" s="102">
        <f t="shared" si="14"/>
        <v>-4</v>
      </c>
      <c r="K177" s="101">
        <f t="shared" si="12"/>
        <v>-40</v>
      </c>
      <c r="L177" s="101"/>
      <c r="M177" s="103">
        <f t="shared" si="13"/>
        <v>0</v>
      </c>
    </row>
    <row r="178" spans="1:13" x14ac:dyDescent="0.25">
      <c r="A178" s="117"/>
      <c r="G178" s="84"/>
      <c r="H178" s="101">
        <v>173</v>
      </c>
      <c r="I178" s="102" t="str">
        <f t="shared" si="11"/>
        <v/>
      </c>
      <c r="J178" s="102">
        <f t="shared" si="14"/>
        <v>-4</v>
      </c>
      <c r="K178" s="101">
        <f t="shared" si="12"/>
        <v>-40</v>
      </c>
      <c r="L178" s="101"/>
      <c r="M178" s="103">
        <f t="shared" si="13"/>
        <v>0</v>
      </c>
    </row>
    <row r="179" spans="1:13" x14ac:dyDescent="0.25">
      <c r="A179" s="117"/>
      <c r="G179" s="84"/>
      <c r="H179" s="101">
        <v>174</v>
      </c>
      <c r="I179" s="102" t="str">
        <f t="shared" si="11"/>
        <v/>
      </c>
      <c r="J179" s="102">
        <f t="shared" si="14"/>
        <v>-4</v>
      </c>
      <c r="K179" s="101">
        <f t="shared" si="12"/>
        <v>-40</v>
      </c>
      <c r="L179" s="101"/>
      <c r="M179" s="103">
        <f t="shared" si="13"/>
        <v>0</v>
      </c>
    </row>
    <row r="180" spans="1:13" x14ac:dyDescent="0.25">
      <c r="A180" s="117"/>
      <c r="G180" s="84"/>
      <c r="H180" s="101">
        <v>175</v>
      </c>
      <c r="I180" s="102" t="str">
        <f t="shared" si="11"/>
        <v/>
      </c>
      <c r="J180" s="102">
        <f t="shared" si="14"/>
        <v>-4</v>
      </c>
      <c r="K180" s="101">
        <f t="shared" si="12"/>
        <v>-40</v>
      </c>
      <c r="L180" s="101"/>
      <c r="M180" s="103">
        <f t="shared" si="13"/>
        <v>0</v>
      </c>
    </row>
    <row r="181" spans="1:13" x14ac:dyDescent="0.25">
      <c r="A181" s="117"/>
      <c r="G181" s="84"/>
      <c r="H181" s="101">
        <v>176</v>
      </c>
      <c r="I181" s="102" t="str">
        <f t="shared" si="11"/>
        <v/>
      </c>
      <c r="J181" s="102">
        <f t="shared" si="14"/>
        <v>-4</v>
      </c>
      <c r="K181" s="101">
        <f t="shared" si="12"/>
        <v>-40</v>
      </c>
      <c r="L181" s="101"/>
      <c r="M181" s="103">
        <f t="shared" si="13"/>
        <v>0</v>
      </c>
    </row>
    <row r="182" spans="1:13" x14ac:dyDescent="0.25">
      <c r="A182" s="117"/>
      <c r="G182" s="84"/>
      <c r="H182" s="101">
        <v>177</v>
      </c>
      <c r="I182" s="102" t="str">
        <f t="shared" si="11"/>
        <v/>
      </c>
      <c r="J182" s="102">
        <f t="shared" si="14"/>
        <v>-4</v>
      </c>
      <c r="K182" s="101">
        <f t="shared" si="12"/>
        <v>-40</v>
      </c>
      <c r="L182" s="101"/>
      <c r="M182" s="103">
        <f t="shared" si="13"/>
        <v>0</v>
      </c>
    </row>
    <row r="183" spans="1:13" x14ac:dyDescent="0.25">
      <c r="A183" s="117"/>
      <c r="G183" s="84"/>
      <c r="H183" s="101">
        <v>178</v>
      </c>
      <c r="I183" s="102" t="str">
        <f t="shared" si="11"/>
        <v/>
      </c>
      <c r="J183" s="102">
        <f t="shared" si="14"/>
        <v>-4</v>
      </c>
      <c r="K183" s="101">
        <f t="shared" si="12"/>
        <v>-40</v>
      </c>
      <c r="L183" s="101"/>
      <c r="M183" s="103">
        <f t="shared" si="13"/>
        <v>0</v>
      </c>
    </row>
    <row r="184" spans="1:13" x14ac:dyDescent="0.25">
      <c r="A184" s="117"/>
      <c r="G184" s="84"/>
      <c r="H184" s="101">
        <v>179</v>
      </c>
      <c r="I184" s="102" t="str">
        <f t="shared" si="11"/>
        <v/>
      </c>
      <c r="J184" s="102">
        <f t="shared" si="14"/>
        <v>-4</v>
      </c>
      <c r="K184" s="101">
        <f t="shared" si="12"/>
        <v>-40</v>
      </c>
      <c r="L184" s="101"/>
      <c r="M184" s="103">
        <f t="shared" si="13"/>
        <v>0</v>
      </c>
    </row>
    <row r="185" spans="1:13" x14ac:dyDescent="0.25">
      <c r="A185" s="117"/>
      <c r="G185" s="84"/>
      <c r="H185" s="101">
        <v>180</v>
      </c>
      <c r="I185" s="102" t="str">
        <f t="shared" si="11"/>
        <v/>
      </c>
      <c r="J185" s="102">
        <f t="shared" si="14"/>
        <v>-4</v>
      </c>
      <c r="K185" s="101">
        <f t="shared" si="12"/>
        <v>-40</v>
      </c>
      <c r="L185" s="101"/>
      <c r="M185" s="103">
        <f t="shared" si="13"/>
        <v>0</v>
      </c>
    </row>
    <row r="186" spans="1:13" x14ac:dyDescent="0.25">
      <c r="A186" s="117"/>
      <c r="G186" s="84"/>
      <c r="H186" s="101">
        <v>181</v>
      </c>
      <c r="I186" s="102" t="str">
        <f t="shared" si="11"/>
        <v/>
      </c>
      <c r="J186" s="102">
        <f t="shared" si="14"/>
        <v>-4</v>
      </c>
      <c r="K186" s="101">
        <f t="shared" si="12"/>
        <v>-40</v>
      </c>
      <c r="L186" s="101"/>
      <c r="M186" s="103">
        <f t="shared" si="13"/>
        <v>0</v>
      </c>
    </row>
    <row r="187" spans="1:13" x14ac:dyDescent="0.25">
      <c r="A187" s="117"/>
      <c r="G187" s="84"/>
      <c r="H187" s="101">
        <v>182</v>
      </c>
      <c r="I187" s="102" t="str">
        <f t="shared" si="11"/>
        <v/>
      </c>
      <c r="J187" s="102">
        <f t="shared" si="14"/>
        <v>-4</v>
      </c>
      <c r="K187" s="101">
        <f t="shared" si="12"/>
        <v>-40</v>
      </c>
      <c r="L187" s="101"/>
      <c r="M187" s="103">
        <f t="shared" si="13"/>
        <v>0</v>
      </c>
    </row>
    <row r="188" spans="1:13" x14ac:dyDescent="0.25">
      <c r="A188" s="117"/>
      <c r="G188" s="84"/>
      <c r="H188" s="101">
        <v>183</v>
      </c>
      <c r="I188" s="102" t="str">
        <f t="shared" si="11"/>
        <v/>
      </c>
      <c r="J188" s="102">
        <f t="shared" si="14"/>
        <v>-4</v>
      </c>
      <c r="K188" s="101">
        <f t="shared" si="12"/>
        <v>-40</v>
      </c>
      <c r="L188" s="101"/>
      <c r="M188" s="103">
        <f t="shared" si="13"/>
        <v>0</v>
      </c>
    </row>
    <row r="189" spans="1:13" x14ac:dyDescent="0.25">
      <c r="A189" s="117"/>
      <c r="G189" s="84"/>
      <c r="H189" s="101">
        <v>184</v>
      </c>
      <c r="I189" s="102" t="str">
        <f t="shared" si="11"/>
        <v/>
      </c>
      <c r="J189" s="102">
        <f t="shared" si="14"/>
        <v>-4</v>
      </c>
      <c r="K189" s="101">
        <f t="shared" si="12"/>
        <v>-40</v>
      </c>
      <c r="L189" s="101"/>
      <c r="M189" s="103">
        <f t="shared" si="13"/>
        <v>0</v>
      </c>
    </row>
    <row r="190" spans="1:13" x14ac:dyDescent="0.25">
      <c r="A190" s="117"/>
      <c r="G190" s="84"/>
      <c r="H190" s="101">
        <v>185</v>
      </c>
      <c r="I190" s="102" t="str">
        <f t="shared" si="11"/>
        <v/>
      </c>
      <c r="J190" s="102">
        <f t="shared" si="14"/>
        <v>-4</v>
      </c>
      <c r="K190" s="101">
        <f t="shared" si="12"/>
        <v>-40</v>
      </c>
      <c r="L190" s="101"/>
      <c r="M190" s="103">
        <f t="shared" si="13"/>
        <v>0</v>
      </c>
    </row>
    <row r="191" spans="1:13" x14ac:dyDescent="0.25">
      <c r="A191" s="117"/>
      <c r="G191" s="84"/>
      <c r="H191" s="101">
        <v>186</v>
      </c>
      <c r="I191" s="102" t="str">
        <f t="shared" si="11"/>
        <v/>
      </c>
      <c r="J191" s="102">
        <f t="shared" si="14"/>
        <v>-4</v>
      </c>
      <c r="K191" s="101">
        <f t="shared" si="12"/>
        <v>-40</v>
      </c>
      <c r="L191" s="101"/>
      <c r="M191" s="103">
        <f t="shared" si="13"/>
        <v>0</v>
      </c>
    </row>
    <row r="192" spans="1:13" x14ac:dyDescent="0.25">
      <c r="A192" s="117"/>
      <c r="G192" s="84"/>
      <c r="H192" s="101">
        <v>187</v>
      </c>
      <c r="I192" s="102" t="str">
        <f t="shared" si="11"/>
        <v/>
      </c>
      <c r="J192" s="102">
        <f t="shared" si="14"/>
        <v>-4</v>
      </c>
      <c r="K192" s="101">
        <f t="shared" si="12"/>
        <v>-40</v>
      </c>
      <c r="L192" s="101"/>
      <c r="M192" s="103">
        <f t="shared" si="13"/>
        <v>0</v>
      </c>
    </row>
    <row r="193" spans="1:13" x14ac:dyDescent="0.25">
      <c r="A193" s="117"/>
      <c r="G193" s="84"/>
      <c r="H193" s="101">
        <v>188</v>
      </c>
      <c r="I193" s="102" t="str">
        <f t="shared" si="11"/>
        <v/>
      </c>
      <c r="J193" s="102">
        <f t="shared" si="14"/>
        <v>-4</v>
      </c>
      <c r="K193" s="101">
        <f t="shared" si="12"/>
        <v>-40</v>
      </c>
      <c r="L193" s="101"/>
      <c r="M193" s="103">
        <f t="shared" si="13"/>
        <v>0</v>
      </c>
    </row>
    <row r="194" spans="1:13" x14ac:dyDescent="0.25">
      <c r="A194" s="117"/>
      <c r="G194" s="84"/>
      <c r="H194" s="101">
        <v>189</v>
      </c>
      <c r="I194" s="102" t="str">
        <f t="shared" si="11"/>
        <v/>
      </c>
      <c r="J194" s="102">
        <f t="shared" si="14"/>
        <v>-4</v>
      </c>
      <c r="K194" s="101">
        <f t="shared" si="12"/>
        <v>-40</v>
      </c>
      <c r="L194" s="101"/>
      <c r="M194" s="103">
        <f t="shared" si="13"/>
        <v>0</v>
      </c>
    </row>
    <row r="195" spans="1:13" x14ac:dyDescent="0.25">
      <c r="A195" s="117"/>
      <c r="G195" s="84"/>
      <c r="H195" s="101">
        <v>190</v>
      </c>
      <c r="I195" s="102" t="str">
        <f t="shared" si="11"/>
        <v/>
      </c>
      <c r="J195" s="102">
        <f t="shared" si="14"/>
        <v>-4</v>
      </c>
      <c r="K195" s="101">
        <f t="shared" si="12"/>
        <v>-40</v>
      </c>
      <c r="L195" s="101"/>
      <c r="M195" s="103">
        <f t="shared" si="13"/>
        <v>0</v>
      </c>
    </row>
    <row r="196" spans="1:13" x14ac:dyDescent="0.25">
      <c r="A196" s="117"/>
      <c r="G196" s="84"/>
      <c r="H196" s="101">
        <v>191</v>
      </c>
      <c r="I196" s="102" t="str">
        <f t="shared" si="11"/>
        <v/>
      </c>
      <c r="J196" s="102">
        <f t="shared" si="14"/>
        <v>-4</v>
      </c>
      <c r="K196" s="101">
        <f t="shared" si="12"/>
        <v>-40</v>
      </c>
      <c r="L196" s="101"/>
      <c r="M196" s="103">
        <f t="shared" si="13"/>
        <v>0</v>
      </c>
    </row>
    <row r="197" spans="1:13" x14ac:dyDescent="0.25">
      <c r="A197" s="117"/>
      <c r="G197" s="84"/>
      <c r="H197" s="101">
        <v>192</v>
      </c>
      <c r="I197" s="102" t="str">
        <f t="shared" si="11"/>
        <v/>
      </c>
      <c r="J197" s="102">
        <f t="shared" si="14"/>
        <v>-4</v>
      </c>
      <c r="K197" s="101">
        <f t="shared" si="12"/>
        <v>-40</v>
      </c>
      <c r="L197" s="101"/>
      <c r="M197" s="103">
        <f t="shared" si="13"/>
        <v>0</v>
      </c>
    </row>
    <row r="198" spans="1:13" x14ac:dyDescent="0.25">
      <c r="A198" s="117"/>
      <c r="G198" s="84"/>
      <c r="H198" s="101">
        <v>193</v>
      </c>
      <c r="I198" s="102" t="str">
        <f t="shared" ref="I198:I261" si="15">IF(H198&lt;$H$2+1,($I$2-($I$2-1)*(LOG(H198)/LOG($H$2))),"")</f>
        <v/>
      </c>
      <c r="J198" s="102">
        <f t="shared" si="14"/>
        <v>-4</v>
      </c>
      <c r="K198" s="101">
        <f t="shared" ref="K198:K261" si="16">J198*$J$2</f>
        <v>-40</v>
      </c>
      <c r="L198" s="101"/>
      <c r="M198" s="103">
        <f t="shared" ref="M198:M261" si="17">IF(I198&lt;&gt;"",K198+I198+L198,0)</f>
        <v>0</v>
      </c>
    </row>
    <row r="199" spans="1:13" x14ac:dyDescent="0.25">
      <c r="A199" s="117"/>
      <c r="G199" s="84"/>
      <c r="H199" s="101">
        <v>194</v>
      </c>
      <c r="I199" s="102" t="str">
        <f t="shared" si="15"/>
        <v/>
      </c>
      <c r="J199" s="102">
        <f t="shared" ref="J199:J262" si="18">INT(LOG($H$2,2))-ROUNDUP(LOG(H199,2),0)+IF(OR($H$2=1,$H$2=2,$H$2=4,$H$2=8,$H$2=16,$H$2=32,$H$2=64,$H$2=128,$H$2=256),0,1)</f>
        <v>-4</v>
      </c>
      <c r="K199" s="101">
        <f t="shared" si="16"/>
        <v>-40</v>
      </c>
      <c r="L199" s="101"/>
      <c r="M199" s="103">
        <f t="shared" si="17"/>
        <v>0</v>
      </c>
    </row>
    <row r="200" spans="1:13" x14ac:dyDescent="0.25">
      <c r="A200" s="117"/>
      <c r="G200" s="84"/>
      <c r="H200" s="101">
        <v>195</v>
      </c>
      <c r="I200" s="102" t="str">
        <f t="shared" si="15"/>
        <v/>
      </c>
      <c r="J200" s="102">
        <f t="shared" si="18"/>
        <v>-4</v>
      </c>
      <c r="K200" s="101">
        <f t="shared" si="16"/>
        <v>-40</v>
      </c>
      <c r="L200" s="101"/>
      <c r="M200" s="103">
        <f t="shared" si="17"/>
        <v>0</v>
      </c>
    </row>
    <row r="201" spans="1:13" x14ac:dyDescent="0.25">
      <c r="A201" s="117"/>
      <c r="G201" s="84"/>
      <c r="H201" s="101">
        <v>196</v>
      </c>
      <c r="I201" s="102" t="str">
        <f t="shared" si="15"/>
        <v/>
      </c>
      <c r="J201" s="102">
        <f t="shared" si="18"/>
        <v>-4</v>
      </c>
      <c r="K201" s="101">
        <f t="shared" si="16"/>
        <v>-40</v>
      </c>
      <c r="L201" s="101"/>
      <c r="M201" s="103">
        <f t="shared" si="17"/>
        <v>0</v>
      </c>
    </row>
    <row r="202" spans="1:13" x14ac:dyDescent="0.25">
      <c r="A202" s="117"/>
      <c r="G202" s="84"/>
      <c r="H202" s="101">
        <v>197</v>
      </c>
      <c r="I202" s="102" t="str">
        <f t="shared" si="15"/>
        <v/>
      </c>
      <c r="J202" s="102">
        <f t="shared" si="18"/>
        <v>-4</v>
      </c>
      <c r="K202" s="101">
        <f t="shared" si="16"/>
        <v>-40</v>
      </c>
      <c r="L202" s="101"/>
      <c r="M202" s="103">
        <f t="shared" si="17"/>
        <v>0</v>
      </c>
    </row>
    <row r="203" spans="1:13" x14ac:dyDescent="0.25">
      <c r="A203" s="117"/>
      <c r="G203" s="84"/>
      <c r="H203" s="101">
        <v>198</v>
      </c>
      <c r="I203" s="102" t="str">
        <f t="shared" si="15"/>
        <v/>
      </c>
      <c r="J203" s="102">
        <f t="shared" si="18"/>
        <v>-4</v>
      </c>
      <c r="K203" s="101">
        <f t="shared" si="16"/>
        <v>-40</v>
      </c>
      <c r="L203" s="101"/>
      <c r="M203" s="103">
        <f t="shared" si="17"/>
        <v>0</v>
      </c>
    </row>
    <row r="204" spans="1:13" x14ac:dyDescent="0.25">
      <c r="A204" s="117"/>
      <c r="G204" s="84"/>
      <c r="H204" s="101">
        <v>199</v>
      </c>
      <c r="I204" s="102" t="str">
        <f t="shared" si="15"/>
        <v/>
      </c>
      <c r="J204" s="102">
        <f t="shared" si="18"/>
        <v>-4</v>
      </c>
      <c r="K204" s="101">
        <f t="shared" si="16"/>
        <v>-40</v>
      </c>
      <c r="L204" s="101"/>
      <c r="M204" s="103">
        <f t="shared" si="17"/>
        <v>0</v>
      </c>
    </row>
    <row r="205" spans="1:13" x14ac:dyDescent="0.25">
      <c r="A205" s="117"/>
      <c r="G205" s="84"/>
      <c r="H205" s="101">
        <v>200</v>
      </c>
      <c r="I205" s="102" t="str">
        <f t="shared" si="15"/>
        <v/>
      </c>
      <c r="J205" s="102">
        <f t="shared" si="18"/>
        <v>-4</v>
      </c>
      <c r="K205" s="101">
        <f t="shared" si="16"/>
        <v>-40</v>
      </c>
      <c r="L205" s="101"/>
      <c r="M205" s="103">
        <f t="shared" si="17"/>
        <v>0</v>
      </c>
    </row>
    <row r="206" spans="1:13" x14ac:dyDescent="0.25">
      <c r="A206" s="117"/>
      <c r="G206" s="84"/>
      <c r="H206" s="101">
        <v>201</v>
      </c>
      <c r="I206" s="102" t="str">
        <f t="shared" si="15"/>
        <v/>
      </c>
      <c r="J206" s="102">
        <f t="shared" si="18"/>
        <v>-4</v>
      </c>
      <c r="K206" s="101">
        <f t="shared" si="16"/>
        <v>-40</v>
      </c>
      <c r="L206" s="101"/>
      <c r="M206" s="103">
        <f t="shared" si="17"/>
        <v>0</v>
      </c>
    </row>
    <row r="207" spans="1:13" x14ac:dyDescent="0.25">
      <c r="A207" s="117"/>
      <c r="G207" s="84"/>
      <c r="H207" s="101">
        <v>202</v>
      </c>
      <c r="I207" s="102" t="str">
        <f t="shared" si="15"/>
        <v/>
      </c>
      <c r="J207" s="102">
        <f t="shared" si="18"/>
        <v>-4</v>
      </c>
      <c r="K207" s="101">
        <f t="shared" si="16"/>
        <v>-40</v>
      </c>
      <c r="L207" s="101"/>
      <c r="M207" s="103">
        <f t="shared" si="17"/>
        <v>0</v>
      </c>
    </row>
    <row r="208" spans="1:13" x14ac:dyDescent="0.25">
      <c r="A208" s="117"/>
      <c r="G208" s="84"/>
      <c r="H208" s="101">
        <v>203</v>
      </c>
      <c r="I208" s="102" t="str">
        <f t="shared" si="15"/>
        <v/>
      </c>
      <c r="J208" s="102">
        <f t="shared" si="18"/>
        <v>-4</v>
      </c>
      <c r="K208" s="101">
        <f t="shared" si="16"/>
        <v>-40</v>
      </c>
      <c r="L208" s="101"/>
      <c r="M208" s="103">
        <f t="shared" si="17"/>
        <v>0</v>
      </c>
    </row>
    <row r="209" spans="1:13" x14ac:dyDescent="0.25">
      <c r="A209" s="117"/>
      <c r="G209" s="84"/>
      <c r="H209" s="101">
        <v>204</v>
      </c>
      <c r="I209" s="102" t="str">
        <f t="shared" si="15"/>
        <v/>
      </c>
      <c r="J209" s="102">
        <f t="shared" si="18"/>
        <v>-4</v>
      </c>
      <c r="K209" s="101">
        <f t="shared" si="16"/>
        <v>-40</v>
      </c>
      <c r="L209" s="101"/>
      <c r="M209" s="103">
        <f t="shared" si="17"/>
        <v>0</v>
      </c>
    </row>
    <row r="210" spans="1:13" x14ac:dyDescent="0.25">
      <c r="A210" s="117"/>
      <c r="G210" s="84"/>
      <c r="H210" s="101">
        <v>205</v>
      </c>
      <c r="I210" s="102" t="str">
        <f t="shared" si="15"/>
        <v/>
      </c>
      <c r="J210" s="102">
        <f t="shared" si="18"/>
        <v>-4</v>
      </c>
      <c r="K210" s="101">
        <f t="shared" si="16"/>
        <v>-40</v>
      </c>
      <c r="L210" s="101"/>
      <c r="M210" s="103">
        <f t="shared" si="17"/>
        <v>0</v>
      </c>
    </row>
    <row r="211" spans="1:13" x14ac:dyDescent="0.25">
      <c r="A211" s="117"/>
      <c r="G211" s="84"/>
      <c r="H211" s="101">
        <v>206</v>
      </c>
      <c r="I211" s="102" t="str">
        <f t="shared" si="15"/>
        <v/>
      </c>
      <c r="J211" s="102">
        <f t="shared" si="18"/>
        <v>-4</v>
      </c>
      <c r="K211" s="101">
        <f t="shared" si="16"/>
        <v>-40</v>
      </c>
      <c r="L211" s="101"/>
      <c r="M211" s="103">
        <f t="shared" si="17"/>
        <v>0</v>
      </c>
    </row>
    <row r="212" spans="1:13" x14ac:dyDescent="0.25">
      <c r="A212" s="117"/>
      <c r="G212" s="84"/>
      <c r="H212" s="101">
        <v>207</v>
      </c>
      <c r="I212" s="102" t="str">
        <f t="shared" si="15"/>
        <v/>
      </c>
      <c r="J212" s="102">
        <f t="shared" si="18"/>
        <v>-4</v>
      </c>
      <c r="K212" s="101">
        <f t="shared" si="16"/>
        <v>-40</v>
      </c>
      <c r="L212" s="101"/>
      <c r="M212" s="103">
        <f t="shared" si="17"/>
        <v>0</v>
      </c>
    </row>
    <row r="213" spans="1:13" x14ac:dyDescent="0.25">
      <c r="A213" s="117"/>
      <c r="G213" s="84"/>
      <c r="H213" s="101">
        <v>208</v>
      </c>
      <c r="I213" s="102" t="str">
        <f t="shared" si="15"/>
        <v/>
      </c>
      <c r="J213" s="102">
        <f t="shared" si="18"/>
        <v>-4</v>
      </c>
      <c r="K213" s="101">
        <f t="shared" si="16"/>
        <v>-40</v>
      </c>
      <c r="L213" s="101"/>
      <c r="M213" s="103">
        <f t="shared" si="17"/>
        <v>0</v>
      </c>
    </row>
    <row r="214" spans="1:13" x14ac:dyDescent="0.25">
      <c r="A214" s="117"/>
      <c r="G214" s="84"/>
      <c r="H214" s="101">
        <v>209</v>
      </c>
      <c r="I214" s="102" t="str">
        <f t="shared" si="15"/>
        <v/>
      </c>
      <c r="J214" s="102">
        <f t="shared" si="18"/>
        <v>-4</v>
      </c>
      <c r="K214" s="101">
        <f t="shared" si="16"/>
        <v>-40</v>
      </c>
      <c r="L214" s="101"/>
      <c r="M214" s="103">
        <f t="shared" si="17"/>
        <v>0</v>
      </c>
    </row>
    <row r="215" spans="1:13" x14ac:dyDescent="0.25">
      <c r="A215" s="117"/>
      <c r="G215" s="84"/>
      <c r="H215" s="101">
        <v>210</v>
      </c>
      <c r="I215" s="102" t="str">
        <f t="shared" si="15"/>
        <v/>
      </c>
      <c r="J215" s="102">
        <f t="shared" si="18"/>
        <v>-4</v>
      </c>
      <c r="K215" s="101">
        <f t="shared" si="16"/>
        <v>-40</v>
      </c>
      <c r="L215" s="101"/>
      <c r="M215" s="103">
        <f t="shared" si="17"/>
        <v>0</v>
      </c>
    </row>
    <row r="216" spans="1:13" x14ac:dyDescent="0.25">
      <c r="A216" s="117"/>
      <c r="G216" s="84"/>
      <c r="H216" s="101">
        <v>211</v>
      </c>
      <c r="I216" s="102" t="str">
        <f t="shared" si="15"/>
        <v/>
      </c>
      <c r="J216" s="102">
        <f t="shared" si="18"/>
        <v>-4</v>
      </c>
      <c r="K216" s="101">
        <f t="shared" si="16"/>
        <v>-40</v>
      </c>
      <c r="L216" s="101"/>
      <c r="M216" s="103">
        <f t="shared" si="17"/>
        <v>0</v>
      </c>
    </row>
    <row r="217" spans="1:13" x14ac:dyDescent="0.25">
      <c r="A217" s="117"/>
      <c r="G217" s="84"/>
      <c r="H217" s="101">
        <v>212</v>
      </c>
      <c r="I217" s="102" t="str">
        <f t="shared" si="15"/>
        <v/>
      </c>
      <c r="J217" s="102">
        <f t="shared" si="18"/>
        <v>-4</v>
      </c>
      <c r="K217" s="101">
        <f t="shared" si="16"/>
        <v>-40</v>
      </c>
      <c r="L217" s="101"/>
      <c r="M217" s="103">
        <f t="shared" si="17"/>
        <v>0</v>
      </c>
    </row>
    <row r="218" spans="1:13" x14ac:dyDescent="0.25">
      <c r="A218" s="117"/>
      <c r="G218" s="84"/>
      <c r="H218" s="101">
        <v>213</v>
      </c>
      <c r="I218" s="102" t="str">
        <f t="shared" si="15"/>
        <v/>
      </c>
      <c r="J218" s="102">
        <f t="shared" si="18"/>
        <v>-4</v>
      </c>
      <c r="K218" s="101">
        <f t="shared" si="16"/>
        <v>-40</v>
      </c>
      <c r="L218" s="101"/>
      <c r="M218" s="103">
        <f t="shared" si="17"/>
        <v>0</v>
      </c>
    </row>
    <row r="219" spans="1:13" x14ac:dyDescent="0.25">
      <c r="A219" s="117"/>
      <c r="G219" s="84"/>
      <c r="H219" s="101">
        <v>214</v>
      </c>
      <c r="I219" s="102" t="str">
        <f t="shared" si="15"/>
        <v/>
      </c>
      <c r="J219" s="102">
        <f t="shared" si="18"/>
        <v>-4</v>
      </c>
      <c r="K219" s="101">
        <f t="shared" si="16"/>
        <v>-40</v>
      </c>
      <c r="L219" s="101"/>
      <c r="M219" s="103">
        <f t="shared" si="17"/>
        <v>0</v>
      </c>
    </row>
    <row r="220" spans="1:13" x14ac:dyDescent="0.25">
      <c r="A220" s="117"/>
      <c r="G220" s="84"/>
      <c r="H220" s="101">
        <v>215</v>
      </c>
      <c r="I220" s="102" t="str">
        <f t="shared" si="15"/>
        <v/>
      </c>
      <c r="J220" s="102">
        <f t="shared" si="18"/>
        <v>-4</v>
      </c>
      <c r="K220" s="101">
        <f t="shared" si="16"/>
        <v>-40</v>
      </c>
      <c r="L220" s="101"/>
      <c r="M220" s="103">
        <f t="shared" si="17"/>
        <v>0</v>
      </c>
    </row>
    <row r="221" spans="1:13" x14ac:dyDescent="0.25">
      <c r="A221" s="117"/>
      <c r="G221" s="84"/>
      <c r="H221" s="101">
        <v>216</v>
      </c>
      <c r="I221" s="102" t="str">
        <f t="shared" si="15"/>
        <v/>
      </c>
      <c r="J221" s="102">
        <f t="shared" si="18"/>
        <v>-4</v>
      </c>
      <c r="K221" s="101">
        <f t="shared" si="16"/>
        <v>-40</v>
      </c>
      <c r="L221" s="101"/>
      <c r="M221" s="103">
        <f t="shared" si="17"/>
        <v>0</v>
      </c>
    </row>
    <row r="222" spans="1:13" x14ac:dyDescent="0.25">
      <c r="A222" s="117"/>
      <c r="G222" s="84"/>
      <c r="H222" s="101">
        <v>217</v>
      </c>
      <c r="I222" s="102" t="str">
        <f t="shared" si="15"/>
        <v/>
      </c>
      <c r="J222" s="102">
        <f t="shared" si="18"/>
        <v>-4</v>
      </c>
      <c r="K222" s="101">
        <f t="shared" si="16"/>
        <v>-40</v>
      </c>
      <c r="L222" s="101"/>
      <c r="M222" s="103">
        <f t="shared" si="17"/>
        <v>0</v>
      </c>
    </row>
    <row r="223" spans="1:13" x14ac:dyDescent="0.25">
      <c r="A223" s="117"/>
      <c r="G223" s="84"/>
      <c r="H223" s="101">
        <v>218</v>
      </c>
      <c r="I223" s="102" t="str">
        <f t="shared" si="15"/>
        <v/>
      </c>
      <c r="J223" s="102">
        <f t="shared" si="18"/>
        <v>-4</v>
      </c>
      <c r="K223" s="101">
        <f t="shared" si="16"/>
        <v>-40</v>
      </c>
      <c r="L223" s="101"/>
      <c r="M223" s="103">
        <f t="shared" si="17"/>
        <v>0</v>
      </c>
    </row>
    <row r="224" spans="1:13" x14ac:dyDescent="0.25">
      <c r="A224" s="117"/>
      <c r="G224" s="84"/>
      <c r="H224" s="101">
        <v>219</v>
      </c>
      <c r="I224" s="102" t="str">
        <f t="shared" si="15"/>
        <v/>
      </c>
      <c r="J224" s="102">
        <f t="shared" si="18"/>
        <v>-4</v>
      </c>
      <c r="K224" s="101">
        <f t="shared" si="16"/>
        <v>-40</v>
      </c>
      <c r="L224" s="101"/>
      <c r="M224" s="103">
        <f t="shared" si="17"/>
        <v>0</v>
      </c>
    </row>
    <row r="225" spans="1:13" x14ac:dyDescent="0.25">
      <c r="A225" s="117"/>
      <c r="G225" s="84"/>
      <c r="H225" s="101">
        <v>220</v>
      </c>
      <c r="I225" s="102" t="str">
        <f t="shared" si="15"/>
        <v/>
      </c>
      <c r="J225" s="102">
        <f t="shared" si="18"/>
        <v>-4</v>
      </c>
      <c r="K225" s="101">
        <f t="shared" si="16"/>
        <v>-40</v>
      </c>
      <c r="L225" s="101"/>
      <c r="M225" s="103">
        <f t="shared" si="17"/>
        <v>0</v>
      </c>
    </row>
    <row r="226" spans="1:13" x14ac:dyDescent="0.25">
      <c r="A226" s="117"/>
      <c r="G226" s="84"/>
      <c r="H226" s="101">
        <v>221</v>
      </c>
      <c r="I226" s="102" t="str">
        <f t="shared" si="15"/>
        <v/>
      </c>
      <c r="J226" s="102">
        <f t="shared" si="18"/>
        <v>-4</v>
      </c>
      <c r="K226" s="101">
        <f t="shared" si="16"/>
        <v>-40</v>
      </c>
      <c r="L226" s="101"/>
      <c r="M226" s="103">
        <f t="shared" si="17"/>
        <v>0</v>
      </c>
    </row>
    <row r="227" spans="1:13" x14ac:dyDescent="0.25">
      <c r="A227" s="117"/>
      <c r="G227" s="84"/>
      <c r="H227" s="101">
        <v>222</v>
      </c>
      <c r="I227" s="102" t="str">
        <f t="shared" si="15"/>
        <v/>
      </c>
      <c r="J227" s="102">
        <f t="shared" si="18"/>
        <v>-4</v>
      </c>
      <c r="K227" s="101">
        <f t="shared" si="16"/>
        <v>-40</v>
      </c>
      <c r="L227" s="101"/>
      <c r="M227" s="103">
        <f t="shared" si="17"/>
        <v>0</v>
      </c>
    </row>
    <row r="228" spans="1:13" x14ac:dyDescent="0.25">
      <c r="A228" s="117"/>
      <c r="G228" s="84"/>
      <c r="H228" s="101">
        <v>223</v>
      </c>
      <c r="I228" s="102" t="str">
        <f t="shared" si="15"/>
        <v/>
      </c>
      <c r="J228" s="102">
        <f t="shared" si="18"/>
        <v>-4</v>
      </c>
      <c r="K228" s="101">
        <f t="shared" si="16"/>
        <v>-40</v>
      </c>
      <c r="L228" s="101"/>
      <c r="M228" s="103">
        <f t="shared" si="17"/>
        <v>0</v>
      </c>
    </row>
    <row r="229" spans="1:13" x14ac:dyDescent="0.25">
      <c r="A229" s="117"/>
      <c r="G229" s="84"/>
      <c r="H229" s="101">
        <v>224</v>
      </c>
      <c r="I229" s="102" t="str">
        <f t="shared" si="15"/>
        <v/>
      </c>
      <c r="J229" s="102">
        <f t="shared" si="18"/>
        <v>-4</v>
      </c>
      <c r="K229" s="101">
        <f t="shared" si="16"/>
        <v>-40</v>
      </c>
      <c r="L229" s="101"/>
      <c r="M229" s="103">
        <f t="shared" si="17"/>
        <v>0</v>
      </c>
    </row>
    <row r="230" spans="1:13" x14ac:dyDescent="0.25">
      <c r="A230" s="117"/>
      <c r="G230" s="84"/>
      <c r="H230" s="101">
        <v>225</v>
      </c>
      <c r="I230" s="102" t="str">
        <f t="shared" si="15"/>
        <v/>
      </c>
      <c r="J230" s="102">
        <f t="shared" si="18"/>
        <v>-4</v>
      </c>
      <c r="K230" s="101">
        <f t="shared" si="16"/>
        <v>-40</v>
      </c>
      <c r="L230" s="101"/>
      <c r="M230" s="103">
        <f t="shared" si="17"/>
        <v>0</v>
      </c>
    </row>
    <row r="231" spans="1:13" x14ac:dyDescent="0.25">
      <c r="A231" s="117"/>
      <c r="G231" s="84"/>
      <c r="H231" s="101">
        <v>226</v>
      </c>
      <c r="I231" s="102" t="str">
        <f t="shared" si="15"/>
        <v/>
      </c>
      <c r="J231" s="102">
        <f t="shared" si="18"/>
        <v>-4</v>
      </c>
      <c r="K231" s="101">
        <f t="shared" si="16"/>
        <v>-40</v>
      </c>
      <c r="L231" s="101"/>
      <c r="M231" s="103">
        <f t="shared" si="17"/>
        <v>0</v>
      </c>
    </row>
    <row r="232" spans="1:13" x14ac:dyDescent="0.25">
      <c r="A232" s="117"/>
      <c r="G232" s="84"/>
      <c r="H232" s="101">
        <v>227</v>
      </c>
      <c r="I232" s="102" t="str">
        <f t="shared" si="15"/>
        <v/>
      </c>
      <c r="J232" s="102">
        <f t="shared" si="18"/>
        <v>-4</v>
      </c>
      <c r="K232" s="101">
        <f t="shared" si="16"/>
        <v>-40</v>
      </c>
      <c r="L232" s="101"/>
      <c r="M232" s="103">
        <f t="shared" si="17"/>
        <v>0</v>
      </c>
    </row>
    <row r="233" spans="1:13" x14ac:dyDescent="0.25">
      <c r="A233" s="117"/>
      <c r="G233" s="84"/>
      <c r="H233" s="101">
        <v>228</v>
      </c>
      <c r="I233" s="102" t="str">
        <f t="shared" si="15"/>
        <v/>
      </c>
      <c r="J233" s="102">
        <f t="shared" si="18"/>
        <v>-4</v>
      </c>
      <c r="K233" s="101">
        <f t="shared" si="16"/>
        <v>-40</v>
      </c>
      <c r="L233" s="101"/>
      <c r="M233" s="103">
        <f t="shared" si="17"/>
        <v>0</v>
      </c>
    </row>
    <row r="234" spans="1:13" x14ac:dyDescent="0.25">
      <c r="A234" s="117"/>
      <c r="G234" s="84"/>
      <c r="H234" s="101">
        <v>229</v>
      </c>
      <c r="I234" s="102" t="str">
        <f t="shared" si="15"/>
        <v/>
      </c>
      <c r="J234" s="102">
        <f t="shared" si="18"/>
        <v>-4</v>
      </c>
      <c r="K234" s="101">
        <f t="shared" si="16"/>
        <v>-40</v>
      </c>
      <c r="L234" s="101"/>
      <c r="M234" s="103">
        <f t="shared" si="17"/>
        <v>0</v>
      </c>
    </row>
    <row r="235" spans="1:13" x14ac:dyDescent="0.25">
      <c r="A235" s="117"/>
      <c r="G235" s="84"/>
      <c r="H235" s="101">
        <v>230</v>
      </c>
      <c r="I235" s="102" t="str">
        <f t="shared" si="15"/>
        <v/>
      </c>
      <c r="J235" s="102">
        <f t="shared" si="18"/>
        <v>-4</v>
      </c>
      <c r="K235" s="101">
        <f t="shared" si="16"/>
        <v>-40</v>
      </c>
      <c r="L235" s="101"/>
      <c r="M235" s="103">
        <f t="shared" si="17"/>
        <v>0</v>
      </c>
    </row>
    <row r="236" spans="1:13" x14ac:dyDescent="0.25">
      <c r="A236" s="117"/>
      <c r="G236" s="84"/>
      <c r="H236" s="101">
        <v>231</v>
      </c>
      <c r="I236" s="102" t="str">
        <f t="shared" si="15"/>
        <v/>
      </c>
      <c r="J236" s="102">
        <f t="shared" si="18"/>
        <v>-4</v>
      </c>
      <c r="K236" s="101">
        <f t="shared" si="16"/>
        <v>-40</v>
      </c>
      <c r="L236" s="101"/>
      <c r="M236" s="103">
        <f t="shared" si="17"/>
        <v>0</v>
      </c>
    </row>
    <row r="237" spans="1:13" x14ac:dyDescent="0.25">
      <c r="A237" s="117"/>
      <c r="G237" s="84"/>
      <c r="H237" s="101">
        <v>232</v>
      </c>
      <c r="I237" s="102" t="str">
        <f t="shared" si="15"/>
        <v/>
      </c>
      <c r="J237" s="102">
        <f t="shared" si="18"/>
        <v>-4</v>
      </c>
      <c r="K237" s="101">
        <f t="shared" si="16"/>
        <v>-40</v>
      </c>
      <c r="L237" s="101"/>
      <c r="M237" s="103">
        <f t="shared" si="17"/>
        <v>0</v>
      </c>
    </row>
    <row r="238" spans="1:13" x14ac:dyDescent="0.25">
      <c r="A238" s="117"/>
      <c r="G238" s="84"/>
      <c r="H238" s="101">
        <v>233</v>
      </c>
      <c r="I238" s="102" t="str">
        <f t="shared" si="15"/>
        <v/>
      </c>
      <c r="J238" s="102">
        <f t="shared" si="18"/>
        <v>-4</v>
      </c>
      <c r="K238" s="101">
        <f t="shared" si="16"/>
        <v>-40</v>
      </c>
      <c r="L238" s="101"/>
      <c r="M238" s="103">
        <f t="shared" si="17"/>
        <v>0</v>
      </c>
    </row>
    <row r="239" spans="1:13" x14ac:dyDescent="0.25">
      <c r="A239" s="117"/>
      <c r="G239" s="84"/>
      <c r="H239" s="101">
        <v>234</v>
      </c>
      <c r="I239" s="102" t="str">
        <f t="shared" si="15"/>
        <v/>
      </c>
      <c r="J239" s="102">
        <f t="shared" si="18"/>
        <v>-4</v>
      </c>
      <c r="K239" s="101">
        <f t="shared" si="16"/>
        <v>-40</v>
      </c>
      <c r="L239" s="101"/>
      <c r="M239" s="103">
        <f t="shared" si="17"/>
        <v>0</v>
      </c>
    </row>
    <row r="240" spans="1:13" x14ac:dyDescent="0.25">
      <c r="A240" s="117"/>
      <c r="G240" s="84"/>
      <c r="H240" s="101">
        <v>235</v>
      </c>
      <c r="I240" s="102" t="str">
        <f t="shared" si="15"/>
        <v/>
      </c>
      <c r="J240" s="102">
        <f t="shared" si="18"/>
        <v>-4</v>
      </c>
      <c r="K240" s="101">
        <f t="shared" si="16"/>
        <v>-40</v>
      </c>
      <c r="L240" s="101"/>
      <c r="M240" s="103">
        <f t="shared" si="17"/>
        <v>0</v>
      </c>
    </row>
    <row r="241" spans="1:13" x14ac:dyDescent="0.25">
      <c r="A241" s="117"/>
      <c r="G241" s="84"/>
      <c r="H241" s="101">
        <v>236</v>
      </c>
      <c r="I241" s="102" t="str">
        <f t="shared" si="15"/>
        <v/>
      </c>
      <c r="J241" s="102">
        <f t="shared" si="18"/>
        <v>-4</v>
      </c>
      <c r="K241" s="101">
        <f t="shared" si="16"/>
        <v>-40</v>
      </c>
      <c r="L241" s="101"/>
      <c r="M241" s="103">
        <f t="shared" si="17"/>
        <v>0</v>
      </c>
    </row>
    <row r="242" spans="1:13" x14ac:dyDescent="0.25">
      <c r="A242" s="117"/>
      <c r="G242" s="84"/>
      <c r="H242" s="101">
        <v>237</v>
      </c>
      <c r="I242" s="102" t="str">
        <f t="shared" si="15"/>
        <v/>
      </c>
      <c r="J242" s="102">
        <f t="shared" si="18"/>
        <v>-4</v>
      </c>
      <c r="K242" s="101">
        <f t="shared" si="16"/>
        <v>-40</v>
      </c>
      <c r="L242" s="101"/>
      <c r="M242" s="103">
        <f t="shared" si="17"/>
        <v>0</v>
      </c>
    </row>
    <row r="243" spans="1:13" x14ac:dyDescent="0.25">
      <c r="A243" s="117"/>
      <c r="G243" s="84"/>
      <c r="H243" s="101">
        <v>238</v>
      </c>
      <c r="I243" s="102" t="str">
        <f t="shared" si="15"/>
        <v/>
      </c>
      <c r="J243" s="102">
        <f t="shared" si="18"/>
        <v>-4</v>
      </c>
      <c r="K243" s="101">
        <f t="shared" si="16"/>
        <v>-40</v>
      </c>
      <c r="L243" s="101"/>
      <c r="M243" s="103">
        <f t="shared" si="17"/>
        <v>0</v>
      </c>
    </row>
    <row r="244" spans="1:13" x14ac:dyDescent="0.25">
      <c r="A244" s="117"/>
      <c r="G244" s="84"/>
      <c r="H244" s="101">
        <v>239</v>
      </c>
      <c r="I244" s="102" t="str">
        <f t="shared" si="15"/>
        <v/>
      </c>
      <c r="J244" s="102">
        <f t="shared" si="18"/>
        <v>-4</v>
      </c>
      <c r="K244" s="101">
        <f t="shared" si="16"/>
        <v>-40</v>
      </c>
      <c r="L244" s="101"/>
      <c r="M244" s="103">
        <f t="shared" si="17"/>
        <v>0</v>
      </c>
    </row>
    <row r="245" spans="1:13" x14ac:dyDescent="0.25">
      <c r="A245" s="117"/>
      <c r="G245" s="84"/>
      <c r="H245" s="101">
        <v>240</v>
      </c>
      <c r="I245" s="102" t="str">
        <f t="shared" si="15"/>
        <v/>
      </c>
      <c r="J245" s="102">
        <f t="shared" si="18"/>
        <v>-4</v>
      </c>
      <c r="K245" s="101">
        <f t="shared" si="16"/>
        <v>-40</v>
      </c>
      <c r="L245" s="101"/>
      <c r="M245" s="103">
        <f t="shared" si="17"/>
        <v>0</v>
      </c>
    </row>
    <row r="246" spans="1:13" x14ac:dyDescent="0.25">
      <c r="A246" s="117"/>
      <c r="G246" s="84"/>
      <c r="H246" s="101">
        <v>241</v>
      </c>
      <c r="I246" s="102" t="str">
        <f t="shared" si="15"/>
        <v/>
      </c>
      <c r="J246" s="102">
        <f t="shared" si="18"/>
        <v>-4</v>
      </c>
      <c r="K246" s="101">
        <f t="shared" si="16"/>
        <v>-40</v>
      </c>
      <c r="L246" s="101"/>
      <c r="M246" s="103">
        <f t="shared" si="17"/>
        <v>0</v>
      </c>
    </row>
    <row r="247" spans="1:13" x14ac:dyDescent="0.25">
      <c r="A247" s="117"/>
      <c r="G247" s="84"/>
      <c r="H247" s="101">
        <v>242</v>
      </c>
      <c r="I247" s="102" t="str">
        <f t="shared" si="15"/>
        <v/>
      </c>
      <c r="J247" s="102">
        <f t="shared" si="18"/>
        <v>-4</v>
      </c>
      <c r="K247" s="101">
        <f t="shared" si="16"/>
        <v>-40</v>
      </c>
      <c r="L247" s="101"/>
      <c r="M247" s="103">
        <f t="shared" si="17"/>
        <v>0</v>
      </c>
    </row>
    <row r="248" spans="1:13" x14ac:dyDescent="0.25">
      <c r="A248" s="117"/>
      <c r="G248" s="84"/>
      <c r="H248" s="101">
        <v>243</v>
      </c>
      <c r="I248" s="102" t="str">
        <f t="shared" si="15"/>
        <v/>
      </c>
      <c r="J248" s="102">
        <f t="shared" si="18"/>
        <v>-4</v>
      </c>
      <c r="K248" s="101">
        <f t="shared" si="16"/>
        <v>-40</v>
      </c>
      <c r="L248" s="101"/>
      <c r="M248" s="103">
        <f t="shared" si="17"/>
        <v>0</v>
      </c>
    </row>
    <row r="249" spans="1:13" x14ac:dyDescent="0.25">
      <c r="A249" s="117"/>
      <c r="G249" s="84"/>
      <c r="H249" s="101">
        <v>244</v>
      </c>
      <c r="I249" s="102" t="str">
        <f t="shared" si="15"/>
        <v/>
      </c>
      <c r="J249" s="102">
        <f t="shared" si="18"/>
        <v>-4</v>
      </c>
      <c r="K249" s="101">
        <f t="shared" si="16"/>
        <v>-40</v>
      </c>
      <c r="L249" s="101"/>
      <c r="M249" s="103">
        <f t="shared" si="17"/>
        <v>0</v>
      </c>
    </row>
    <row r="250" spans="1:13" x14ac:dyDescent="0.25">
      <c r="A250" s="117"/>
      <c r="G250" s="84"/>
      <c r="H250" s="101">
        <v>245</v>
      </c>
      <c r="I250" s="102" t="str">
        <f t="shared" si="15"/>
        <v/>
      </c>
      <c r="J250" s="102">
        <f t="shared" si="18"/>
        <v>-4</v>
      </c>
      <c r="K250" s="101">
        <f t="shared" si="16"/>
        <v>-40</v>
      </c>
      <c r="L250" s="101"/>
      <c r="M250" s="103">
        <f t="shared" si="17"/>
        <v>0</v>
      </c>
    </row>
    <row r="251" spans="1:13" x14ac:dyDescent="0.25">
      <c r="A251" s="117"/>
      <c r="G251" s="84"/>
      <c r="H251" s="101">
        <v>246</v>
      </c>
      <c r="I251" s="102" t="str">
        <f t="shared" si="15"/>
        <v/>
      </c>
      <c r="J251" s="102">
        <f t="shared" si="18"/>
        <v>-4</v>
      </c>
      <c r="K251" s="101">
        <f t="shared" si="16"/>
        <v>-40</v>
      </c>
      <c r="L251" s="101"/>
      <c r="M251" s="103">
        <f t="shared" si="17"/>
        <v>0</v>
      </c>
    </row>
    <row r="252" spans="1:13" x14ac:dyDescent="0.25">
      <c r="A252" s="117"/>
      <c r="G252" s="84"/>
      <c r="H252" s="101">
        <v>247</v>
      </c>
      <c r="I252" s="102" t="str">
        <f t="shared" si="15"/>
        <v/>
      </c>
      <c r="J252" s="102">
        <f t="shared" si="18"/>
        <v>-4</v>
      </c>
      <c r="K252" s="101">
        <f t="shared" si="16"/>
        <v>-40</v>
      </c>
      <c r="L252" s="101"/>
      <c r="M252" s="103">
        <f t="shared" si="17"/>
        <v>0</v>
      </c>
    </row>
    <row r="253" spans="1:13" x14ac:dyDescent="0.25">
      <c r="A253" s="117"/>
      <c r="G253" s="84"/>
      <c r="H253" s="101">
        <v>248</v>
      </c>
      <c r="I253" s="102" t="str">
        <f t="shared" si="15"/>
        <v/>
      </c>
      <c r="J253" s="102">
        <f t="shared" si="18"/>
        <v>-4</v>
      </c>
      <c r="K253" s="101">
        <f t="shared" si="16"/>
        <v>-40</v>
      </c>
      <c r="L253" s="101"/>
      <c r="M253" s="103">
        <f t="shared" si="17"/>
        <v>0</v>
      </c>
    </row>
    <row r="254" spans="1:13" x14ac:dyDescent="0.25">
      <c r="A254" s="117"/>
      <c r="G254" s="84"/>
      <c r="H254" s="101">
        <v>249</v>
      </c>
      <c r="I254" s="102" t="str">
        <f t="shared" si="15"/>
        <v/>
      </c>
      <c r="J254" s="102">
        <f t="shared" si="18"/>
        <v>-4</v>
      </c>
      <c r="K254" s="101">
        <f t="shared" si="16"/>
        <v>-40</v>
      </c>
      <c r="L254" s="101"/>
      <c r="M254" s="103">
        <f t="shared" si="17"/>
        <v>0</v>
      </c>
    </row>
    <row r="255" spans="1:13" x14ac:dyDescent="0.25">
      <c r="A255" s="117"/>
      <c r="G255" s="84"/>
      <c r="H255" s="101">
        <v>250</v>
      </c>
      <c r="I255" s="102" t="str">
        <f t="shared" si="15"/>
        <v/>
      </c>
      <c r="J255" s="102">
        <f t="shared" si="18"/>
        <v>-4</v>
      </c>
      <c r="K255" s="101">
        <f t="shared" si="16"/>
        <v>-40</v>
      </c>
      <c r="L255" s="101"/>
      <c r="M255" s="103">
        <f t="shared" si="17"/>
        <v>0</v>
      </c>
    </row>
    <row r="256" spans="1:13" x14ac:dyDescent="0.25">
      <c r="A256" s="117"/>
      <c r="G256" s="84"/>
      <c r="H256" s="101">
        <v>251</v>
      </c>
      <c r="I256" s="102" t="str">
        <f t="shared" si="15"/>
        <v/>
      </c>
      <c r="J256" s="102">
        <f t="shared" si="18"/>
        <v>-4</v>
      </c>
      <c r="K256" s="101">
        <f t="shared" si="16"/>
        <v>-40</v>
      </c>
      <c r="L256" s="101"/>
      <c r="M256" s="103">
        <f t="shared" si="17"/>
        <v>0</v>
      </c>
    </row>
    <row r="257" spans="1:13" x14ac:dyDescent="0.25">
      <c r="A257" s="117"/>
      <c r="G257" s="84"/>
      <c r="H257" s="101">
        <v>252</v>
      </c>
      <c r="I257" s="102" t="str">
        <f t="shared" si="15"/>
        <v/>
      </c>
      <c r="J257" s="102">
        <f t="shared" si="18"/>
        <v>-4</v>
      </c>
      <c r="K257" s="101">
        <f t="shared" si="16"/>
        <v>-40</v>
      </c>
      <c r="L257" s="101"/>
      <c r="M257" s="103">
        <f t="shared" si="17"/>
        <v>0</v>
      </c>
    </row>
    <row r="258" spans="1:13" x14ac:dyDescent="0.25">
      <c r="A258" s="117"/>
      <c r="G258" s="84"/>
      <c r="H258" s="101">
        <v>253</v>
      </c>
      <c r="I258" s="102" t="str">
        <f t="shared" si="15"/>
        <v/>
      </c>
      <c r="J258" s="102">
        <f t="shared" si="18"/>
        <v>-4</v>
      </c>
      <c r="K258" s="101">
        <f t="shared" si="16"/>
        <v>-40</v>
      </c>
      <c r="L258" s="101"/>
      <c r="M258" s="103">
        <f t="shared" si="17"/>
        <v>0</v>
      </c>
    </row>
    <row r="259" spans="1:13" x14ac:dyDescent="0.25">
      <c r="A259" s="117"/>
      <c r="G259" s="84"/>
      <c r="H259" s="101">
        <v>254</v>
      </c>
      <c r="I259" s="102" t="str">
        <f t="shared" si="15"/>
        <v/>
      </c>
      <c r="J259" s="102">
        <f t="shared" si="18"/>
        <v>-4</v>
      </c>
      <c r="K259" s="101">
        <f t="shared" si="16"/>
        <v>-40</v>
      </c>
      <c r="L259" s="101"/>
      <c r="M259" s="103">
        <f t="shared" si="17"/>
        <v>0</v>
      </c>
    </row>
    <row r="260" spans="1:13" x14ac:dyDescent="0.25">
      <c r="A260" s="117"/>
      <c r="G260" s="84"/>
      <c r="H260" s="101">
        <v>255</v>
      </c>
      <c r="I260" s="102" t="str">
        <f t="shared" si="15"/>
        <v/>
      </c>
      <c r="J260" s="102">
        <f t="shared" si="18"/>
        <v>-4</v>
      </c>
      <c r="K260" s="101">
        <f t="shared" si="16"/>
        <v>-40</v>
      </c>
      <c r="L260" s="101"/>
      <c r="M260" s="103">
        <f t="shared" si="17"/>
        <v>0</v>
      </c>
    </row>
    <row r="261" spans="1:13" x14ac:dyDescent="0.25">
      <c r="A261" s="117"/>
      <c r="G261" s="84"/>
      <c r="H261" s="101">
        <v>256</v>
      </c>
      <c r="I261" s="102" t="str">
        <f t="shared" si="15"/>
        <v/>
      </c>
      <c r="J261" s="102">
        <f t="shared" si="18"/>
        <v>-4</v>
      </c>
      <c r="K261" s="101">
        <f t="shared" si="16"/>
        <v>-40</v>
      </c>
      <c r="L261" s="101"/>
      <c r="M261" s="103">
        <f t="shared" si="17"/>
        <v>0</v>
      </c>
    </row>
    <row r="262" spans="1:13" x14ac:dyDescent="0.25">
      <c r="A262" s="117"/>
      <c r="G262" s="84"/>
      <c r="H262" s="101">
        <v>257</v>
      </c>
      <c r="I262" s="102" t="str">
        <f t="shared" ref="I262:I305" si="19">IF(H262&lt;$H$2+1,($I$2-($I$2-1)*(LOG(H262)/LOG($H$2))),"")</f>
        <v/>
      </c>
      <c r="J262" s="102">
        <f t="shared" si="18"/>
        <v>-5</v>
      </c>
      <c r="K262" s="101">
        <f t="shared" ref="K262:K305" si="20">J262*$J$2</f>
        <v>-50</v>
      </c>
      <c r="L262" s="101"/>
      <c r="M262" s="103">
        <f t="shared" ref="M262:M305" si="21">IF(I262&lt;&gt;"",K262+I262+L262,0)</f>
        <v>0</v>
      </c>
    </row>
    <row r="263" spans="1:13" x14ac:dyDescent="0.25">
      <c r="A263" s="117"/>
      <c r="G263" s="84"/>
      <c r="H263" s="101">
        <v>258</v>
      </c>
      <c r="I263" s="102" t="str">
        <f t="shared" si="19"/>
        <v/>
      </c>
      <c r="J263" s="102">
        <f t="shared" ref="J263:J305" si="22">INT(LOG($H$2,2))-ROUNDUP(LOG(H263,2),0)+IF(OR($H$2=1,$H$2=2,$H$2=4,$H$2=8,$H$2=16,$H$2=32,$H$2=64,$H$2=128,$H$2=256),0,1)</f>
        <v>-5</v>
      </c>
      <c r="K263" s="101">
        <f t="shared" si="20"/>
        <v>-50</v>
      </c>
      <c r="L263" s="101"/>
      <c r="M263" s="103">
        <f t="shared" si="21"/>
        <v>0</v>
      </c>
    </row>
    <row r="264" spans="1:13" x14ac:dyDescent="0.25">
      <c r="A264" s="117"/>
      <c r="G264" s="84"/>
      <c r="H264" s="101">
        <v>259</v>
      </c>
      <c r="I264" s="102" t="str">
        <f t="shared" si="19"/>
        <v/>
      </c>
      <c r="J264" s="102">
        <f t="shared" si="22"/>
        <v>-5</v>
      </c>
      <c r="K264" s="101">
        <f t="shared" si="20"/>
        <v>-50</v>
      </c>
      <c r="L264" s="101"/>
      <c r="M264" s="103">
        <f t="shared" si="21"/>
        <v>0</v>
      </c>
    </row>
    <row r="265" spans="1:13" x14ac:dyDescent="0.25">
      <c r="A265" s="117"/>
      <c r="G265" s="84"/>
      <c r="H265" s="101">
        <v>260</v>
      </c>
      <c r="I265" s="102" t="str">
        <f t="shared" si="19"/>
        <v/>
      </c>
      <c r="J265" s="102">
        <f t="shared" si="22"/>
        <v>-5</v>
      </c>
      <c r="K265" s="101">
        <f t="shared" si="20"/>
        <v>-50</v>
      </c>
      <c r="L265" s="101"/>
      <c r="M265" s="103">
        <f t="shared" si="21"/>
        <v>0</v>
      </c>
    </row>
    <row r="266" spans="1:13" x14ac:dyDescent="0.25">
      <c r="A266" s="117"/>
      <c r="G266" s="84"/>
      <c r="H266" s="101">
        <v>261</v>
      </c>
      <c r="I266" s="102" t="str">
        <f t="shared" si="19"/>
        <v/>
      </c>
      <c r="J266" s="102">
        <f t="shared" si="22"/>
        <v>-5</v>
      </c>
      <c r="K266" s="101">
        <f t="shared" si="20"/>
        <v>-50</v>
      </c>
      <c r="L266" s="101"/>
      <c r="M266" s="103">
        <f t="shared" si="21"/>
        <v>0</v>
      </c>
    </row>
    <row r="267" spans="1:13" x14ac:dyDescent="0.25">
      <c r="A267" s="117"/>
      <c r="G267" s="84"/>
      <c r="H267" s="101">
        <v>262</v>
      </c>
      <c r="I267" s="102" t="str">
        <f t="shared" si="19"/>
        <v/>
      </c>
      <c r="J267" s="102">
        <f t="shared" si="22"/>
        <v>-5</v>
      </c>
      <c r="K267" s="101">
        <f t="shared" si="20"/>
        <v>-50</v>
      </c>
      <c r="L267" s="101"/>
      <c r="M267" s="103">
        <f t="shared" si="21"/>
        <v>0</v>
      </c>
    </row>
    <row r="268" spans="1:13" x14ac:dyDescent="0.25">
      <c r="A268" s="117"/>
      <c r="G268" s="84"/>
      <c r="H268" s="101">
        <v>263</v>
      </c>
      <c r="I268" s="102" t="str">
        <f t="shared" si="19"/>
        <v/>
      </c>
      <c r="J268" s="102">
        <f t="shared" si="22"/>
        <v>-5</v>
      </c>
      <c r="K268" s="101">
        <f t="shared" si="20"/>
        <v>-50</v>
      </c>
      <c r="L268" s="101"/>
      <c r="M268" s="103">
        <f t="shared" si="21"/>
        <v>0</v>
      </c>
    </row>
    <row r="269" spans="1:13" x14ac:dyDescent="0.25">
      <c r="A269" s="117"/>
      <c r="G269" s="84"/>
      <c r="H269" s="101">
        <v>264</v>
      </c>
      <c r="I269" s="102" t="str">
        <f t="shared" si="19"/>
        <v/>
      </c>
      <c r="J269" s="102">
        <f t="shared" si="22"/>
        <v>-5</v>
      </c>
      <c r="K269" s="101">
        <f t="shared" si="20"/>
        <v>-50</v>
      </c>
      <c r="L269" s="101"/>
      <c r="M269" s="103">
        <f t="shared" si="21"/>
        <v>0</v>
      </c>
    </row>
    <row r="270" spans="1:13" x14ac:dyDescent="0.25">
      <c r="A270" s="117"/>
      <c r="G270" s="84"/>
      <c r="H270" s="101">
        <v>265</v>
      </c>
      <c r="I270" s="102" t="str">
        <f t="shared" si="19"/>
        <v/>
      </c>
      <c r="J270" s="102">
        <f t="shared" si="22"/>
        <v>-5</v>
      </c>
      <c r="K270" s="101">
        <f t="shared" si="20"/>
        <v>-50</v>
      </c>
      <c r="L270" s="101"/>
      <c r="M270" s="103">
        <f t="shared" si="21"/>
        <v>0</v>
      </c>
    </row>
    <row r="271" spans="1:13" x14ac:dyDescent="0.25">
      <c r="A271" s="117"/>
      <c r="G271" s="84"/>
      <c r="H271" s="101">
        <v>266</v>
      </c>
      <c r="I271" s="102" t="str">
        <f t="shared" si="19"/>
        <v/>
      </c>
      <c r="J271" s="102">
        <f t="shared" si="22"/>
        <v>-5</v>
      </c>
      <c r="K271" s="101">
        <f t="shared" si="20"/>
        <v>-50</v>
      </c>
      <c r="L271" s="101"/>
      <c r="M271" s="103">
        <f t="shared" si="21"/>
        <v>0</v>
      </c>
    </row>
    <row r="272" spans="1:13" x14ac:dyDescent="0.25">
      <c r="A272" s="117"/>
      <c r="G272" s="84"/>
      <c r="H272" s="101">
        <v>267</v>
      </c>
      <c r="I272" s="102" t="str">
        <f t="shared" si="19"/>
        <v/>
      </c>
      <c r="J272" s="102">
        <f t="shared" si="22"/>
        <v>-5</v>
      </c>
      <c r="K272" s="101">
        <f t="shared" si="20"/>
        <v>-50</v>
      </c>
      <c r="L272" s="101"/>
      <c r="M272" s="103">
        <f t="shared" si="21"/>
        <v>0</v>
      </c>
    </row>
    <row r="273" spans="1:13" x14ac:dyDescent="0.25">
      <c r="A273" s="117"/>
      <c r="G273" s="84"/>
      <c r="H273" s="101">
        <v>268</v>
      </c>
      <c r="I273" s="102" t="str">
        <f t="shared" si="19"/>
        <v/>
      </c>
      <c r="J273" s="102">
        <f t="shared" si="22"/>
        <v>-5</v>
      </c>
      <c r="K273" s="101">
        <f t="shared" si="20"/>
        <v>-50</v>
      </c>
      <c r="L273" s="101"/>
      <c r="M273" s="103">
        <f t="shared" si="21"/>
        <v>0</v>
      </c>
    </row>
    <row r="274" spans="1:13" x14ac:dyDescent="0.25">
      <c r="A274" s="117"/>
      <c r="G274" s="84"/>
      <c r="H274" s="101">
        <v>269</v>
      </c>
      <c r="I274" s="102" t="str">
        <f t="shared" si="19"/>
        <v/>
      </c>
      <c r="J274" s="102">
        <f t="shared" si="22"/>
        <v>-5</v>
      </c>
      <c r="K274" s="101">
        <f t="shared" si="20"/>
        <v>-50</v>
      </c>
      <c r="L274" s="101"/>
      <c r="M274" s="103">
        <f t="shared" si="21"/>
        <v>0</v>
      </c>
    </row>
    <row r="275" spans="1:13" x14ac:dyDescent="0.25">
      <c r="A275" s="117"/>
      <c r="G275" s="84"/>
      <c r="H275" s="101">
        <v>270</v>
      </c>
      <c r="I275" s="102" t="str">
        <f t="shared" si="19"/>
        <v/>
      </c>
      <c r="J275" s="102">
        <f t="shared" si="22"/>
        <v>-5</v>
      </c>
      <c r="K275" s="101">
        <f t="shared" si="20"/>
        <v>-50</v>
      </c>
      <c r="L275" s="101"/>
      <c r="M275" s="103">
        <f t="shared" si="21"/>
        <v>0</v>
      </c>
    </row>
    <row r="276" spans="1:13" x14ac:dyDescent="0.25">
      <c r="A276" s="117"/>
      <c r="G276" s="84"/>
      <c r="H276" s="101">
        <v>271</v>
      </c>
      <c r="I276" s="102" t="str">
        <f t="shared" si="19"/>
        <v/>
      </c>
      <c r="J276" s="102">
        <f t="shared" si="22"/>
        <v>-5</v>
      </c>
      <c r="K276" s="101">
        <f t="shared" si="20"/>
        <v>-50</v>
      </c>
      <c r="L276" s="101"/>
      <c r="M276" s="103">
        <f t="shared" si="21"/>
        <v>0</v>
      </c>
    </row>
    <row r="277" spans="1:13" x14ac:dyDescent="0.25">
      <c r="A277" s="117"/>
      <c r="G277" s="84"/>
      <c r="H277" s="101">
        <v>272</v>
      </c>
      <c r="I277" s="102" t="str">
        <f t="shared" si="19"/>
        <v/>
      </c>
      <c r="J277" s="102">
        <f t="shared" si="22"/>
        <v>-5</v>
      </c>
      <c r="K277" s="101">
        <f t="shared" si="20"/>
        <v>-50</v>
      </c>
      <c r="L277" s="101"/>
      <c r="M277" s="103">
        <f t="shared" si="21"/>
        <v>0</v>
      </c>
    </row>
    <row r="278" spans="1:13" x14ac:dyDescent="0.25">
      <c r="A278" s="117"/>
      <c r="G278" s="84"/>
      <c r="H278" s="101">
        <v>273</v>
      </c>
      <c r="I278" s="102" t="str">
        <f t="shared" si="19"/>
        <v/>
      </c>
      <c r="J278" s="102">
        <f t="shared" si="22"/>
        <v>-5</v>
      </c>
      <c r="K278" s="101">
        <f t="shared" si="20"/>
        <v>-50</v>
      </c>
      <c r="L278" s="101"/>
      <c r="M278" s="103">
        <f t="shared" si="21"/>
        <v>0</v>
      </c>
    </row>
    <row r="279" spans="1:13" x14ac:dyDescent="0.25">
      <c r="A279" s="117"/>
      <c r="G279" s="84"/>
      <c r="H279" s="101">
        <v>274</v>
      </c>
      <c r="I279" s="102" t="str">
        <f t="shared" si="19"/>
        <v/>
      </c>
      <c r="J279" s="102">
        <f t="shared" si="22"/>
        <v>-5</v>
      </c>
      <c r="K279" s="101">
        <f t="shared" si="20"/>
        <v>-50</v>
      </c>
      <c r="L279" s="101"/>
      <c r="M279" s="103">
        <f t="shared" si="21"/>
        <v>0</v>
      </c>
    </row>
    <row r="280" spans="1:13" x14ac:dyDescent="0.25">
      <c r="A280" s="117"/>
      <c r="G280" s="84"/>
      <c r="H280" s="101">
        <v>275</v>
      </c>
      <c r="I280" s="102" t="str">
        <f t="shared" si="19"/>
        <v/>
      </c>
      <c r="J280" s="102">
        <f t="shared" si="22"/>
        <v>-5</v>
      </c>
      <c r="K280" s="101">
        <f t="shared" si="20"/>
        <v>-50</v>
      </c>
      <c r="L280" s="101"/>
      <c r="M280" s="103">
        <f t="shared" si="21"/>
        <v>0</v>
      </c>
    </row>
    <row r="281" spans="1:13" x14ac:dyDescent="0.25">
      <c r="A281" s="117"/>
      <c r="G281" s="84"/>
      <c r="H281" s="101">
        <v>276</v>
      </c>
      <c r="I281" s="102" t="str">
        <f t="shared" si="19"/>
        <v/>
      </c>
      <c r="J281" s="102">
        <f t="shared" si="22"/>
        <v>-5</v>
      </c>
      <c r="K281" s="101">
        <f t="shared" si="20"/>
        <v>-50</v>
      </c>
      <c r="L281" s="101"/>
      <c r="M281" s="103">
        <f t="shared" si="21"/>
        <v>0</v>
      </c>
    </row>
    <row r="282" spans="1:13" x14ac:dyDescent="0.25">
      <c r="A282" s="117"/>
      <c r="G282" s="84"/>
      <c r="H282" s="101">
        <v>277</v>
      </c>
      <c r="I282" s="102" t="str">
        <f t="shared" si="19"/>
        <v/>
      </c>
      <c r="J282" s="102">
        <f t="shared" si="22"/>
        <v>-5</v>
      </c>
      <c r="K282" s="101">
        <f t="shared" si="20"/>
        <v>-50</v>
      </c>
      <c r="L282" s="101"/>
      <c r="M282" s="103">
        <f t="shared" si="21"/>
        <v>0</v>
      </c>
    </row>
    <row r="283" spans="1:13" x14ac:dyDescent="0.25">
      <c r="A283" s="117"/>
      <c r="G283" s="84"/>
      <c r="H283" s="101">
        <v>278</v>
      </c>
      <c r="I283" s="102" t="str">
        <f t="shared" si="19"/>
        <v/>
      </c>
      <c r="J283" s="102">
        <f t="shared" si="22"/>
        <v>-5</v>
      </c>
      <c r="K283" s="101">
        <f t="shared" si="20"/>
        <v>-50</v>
      </c>
      <c r="L283" s="101"/>
      <c r="M283" s="103">
        <f t="shared" si="21"/>
        <v>0</v>
      </c>
    </row>
    <row r="284" spans="1:13" x14ac:dyDescent="0.25">
      <c r="A284" s="117"/>
      <c r="G284" s="84"/>
      <c r="H284" s="101">
        <v>279</v>
      </c>
      <c r="I284" s="102" t="str">
        <f t="shared" si="19"/>
        <v/>
      </c>
      <c r="J284" s="102">
        <f t="shared" si="22"/>
        <v>-5</v>
      </c>
      <c r="K284" s="101">
        <f t="shared" si="20"/>
        <v>-50</v>
      </c>
      <c r="L284" s="101"/>
      <c r="M284" s="103">
        <f t="shared" si="21"/>
        <v>0</v>
      </c>
    </row>
    <row r="285" spans="1:13" x14ac:dyDescent="0.25">
      <c r="A285" s="117"/>
      <c r="G285" s="84"/>
      <c r="H285" s="101">
        <v>280</v>
      </c>
      <c r="I285" s="102" t="str">
        <f t="shared" si="19"/>
        <v/>
      </c>
      <c r="J285" s="102">
        <f t="shared" si="22"/>
        <v>-5</v>
      </c>
      <c r="K285" s="101">
        <f t="shared" si="20"/>
        <v>-50</v>
      </c>
      <c r="L285" s="101"/>
      <c r="M285" s="103">
        <f t="shared" si="21"/>
        <v>0</v>
      </c>
    </row>
    <row r="286" spans="1:13" x14ac:dyDescent="0.25">
      <c r="A286" s="117"/>
      <c r="G286" s="84"/>
      <c r="H286" s="101">
        <v>281</v>
      </c>
      <c r="I286" s="102" t="str">
        <f t="shared" si="19"/>
        <v/>
      </c>
      <c r="J286" s="102">
        <f t="shared" si="22"/>
        <v>-5</v>
      </c>
      <c r="K286" s="101">
        <f t="shared" si="20"/>
        <v>-50</v>
      </c>
      <c r="L286" s="101"/>
      <c r="M286" s="103">
        <f t="shared" si="21"/>
        <v>0</v>
      </c>
    </row>
    <row r="287" spans="1:13" x14ac:dyDescent="0.25">
      <c r="A287" s="117"/>
      <c r="G287" s="84"/>
      <c r="H287" s="101">
        <v>282</v>
      </c>
      <c r="I287" s="102" t="str">
        <f t="shared" si="19"/>
        <v/>
      </c>
      <c r="J287" s="102">
        <f t="shared" si="22"/>
        <v>-5</v>
      </c>
      <c r="K287" s="101">
        <f t="shared" si="20"/>
        <v>-50</v>
      </c>
      <c r="L287" s="101"/>
      <c r="M287" s="103">
        <f t="shared" si="21"/>
        <v>0</v>
      </c>
    </row>
    <row r="288" spans="1:13" x14ac:dyDescent="0.25">
      <c r="A288" s="117"/>
      <c r="G288" s="84"/>
      <c r="H288" s="101">
        <v>283</v>
      </c>
      <c r="I288" s="102" t="str">
        <f t="shared" si="19"/>
        <v/>
      </c>
      <c r="J288" s="102">
        <f t="shared" si="22"/>
        <v>-5</v>
      </c>
      <c r="K288" s="101">
        <f t="shared" si="20"/>
        <v>-50</v>
      </c>
      <c r="L288" s="101"/>
      <c r="M288" s="103">
        <f t="shared" si="21"/>
        <v>0</v>
      </c>
    </row>
    <row r="289" spans="1:13" x14ac:dyDescent="0.25">
      <c r="A289" s="117"/>
      <c r="G289" s="84"/>
      <c r="H289" s="101">
        <v>284</v>
      </c>
      <c r="I289" s="102" t="str">
        <f t="shared" si="19"/>
        <v/>
      </c>
      <c r="J289" s="102">
        <f t="shared" si="22"/>
        <v>-5</v>
      </c>
      <c r="K289" s="101">
        <f t="shared" si="20"/>
        <v>-50</v>
      </c>
      <c r="L289" s="101"/>
      <c r="M289" s="103">
        <f t="shared" si="21"/>
        <v>0</v>
      </c>
    </row>
    <row r="290" spans="1:13" x14ac:dyDescent="0.25">
      <c r="A290" s="117"/>
      <c r="G290" s="84"/>
      <c r="H290" s="101">
        <v>285</v>
      </c>
      <c r="I290" s="102" t="str">
        <f t="shared" si="19"/>
        <v/>
      </c>
      <c r="J290" s="102">
        <f t="shared" si="22"/>
        <v>-5</v>
      </c>
      <c r="K290" s="101">
        <f t="shared" si="20"/>
        <v>-50</v>
      </c>
      <c r="L290" s="101"/>
      <c r="M290" s="103">
        <f t="shared" si="21"/>
        <v>0</v>
      </c>
    </row>
    <row r="291" spans="1:13" x14ac:dyDescent="0.25">
      <c r="A291" s="117"/>
      <c r="G291" s="84"/>
      <c r="H291" s="101">
        <v>286</v>
      </c>
      <c r="I291" s="102" t="str">
        <f t="shared" si="19"/>
        <v/>
      </c>
      <c r="J291" s="102">
        <f t="shared" si="22"/>
        <v>-5</v>
      </c>
      <c r="K291" s="101">
        <f t="shared" si="20"/>
        <v>-50</v>
      </c>
      <c r="L291" s="101"/>
      <c r="M291" s="103">
        <f t="shared" si="21"/>
        <v>0</v>
      </c>
    </row>
    <row r="292" spans="1:13" x14ac:dyDescent="0.25">
      <c r="A292" s="117"/>
      <c r="G292" s="84"/>
      <c r="H292" s="101">
        <v>287</v>
      </c>
      <c r="I292" s="102" t="str">
        <f t="shared" si="19"/>
        <v/>
      </c>
      <c r="J292" s="102">
        <f t="shared" si="22"/>
        <v>-5</v>
      </c>
      <c r="K292" s="101">
        <f t="shared" si="20"/>
        <v>-50</v>
      </c>
      <c r="L292" s="101"/>
      <c r="M292" s="103">
        <f t="shared" si="21"/>
        <v>0</v>
      </c>
    </row>
    <row r="293" spans="1:13" x14ac:dyDescent="0.25">
      <c r="A293" s="117"/>
      <c r="G293" s="84"/>
      <c r="H293" s="101">
        <v>288</v>
      </c>
      <c r="I293" s="102" t="str">
        <f t="shared" si="19"/>
        <v/>
      </c>
      <c r="J293" s="102">
        <f t="shared" si="22"/>
        <v>-5</v>
      </c>
      <c r="K293" s="101">
        <f t="shared" si="20"/>
        <v>-50</v>
      </c>
      <c r="L293" s="101"/>
      <c r="M293" s="103">
        <f t="shared" si="21"/>
        <v>0</v>
      </c>
    </row>
    <row r="294" spans="1:13" x14ac:dyDescent="0.25">
      <c r="A294" s="117"/>
      <c r="G294" s="84"/>
      <c r="H294" s="101">
        <v>289</v>
      </c>
      <c r="I294" s="102" t="str">
        <f t="shared" si="19"/>
        <v/>
      </c>
      <c r="J294" s="102">
        <f t="shared" si="22"/>
        <v>-5</v>
      </c>
      <c r="K294" s="101">
        <f t="shared" si="20"/>
        <v>-50</v>
      </c>
      <c r="L294" s="101"/>
      <c r="M294" s="103">
        <f t="shared" si="21"/>
        <v>0</v>
      </c>
    </row>
    <row r="295" spans="1:13" x14ac:dyDescent="0.25">
      <c r="A295" s="117"/>
      <c r="G295" s="84"/>
      <c r="H295" s="101">
        <v>290</v>
      </c>
      <c r="I295" s="102" t="str">
        <f t="shared" si="19"/>
        <v/>
      </c>
      <c r="J295" s="102">
        <f t="shared" si="22"/>
        <v>-5</v>
      </c>
      <c r="K295" s="101">
        <f t="shared" si="20"/>
        <v>-50</v>
      </c>
      <c r="L295" s="101"/>
      <c r="M295" s="103">
        <f t="shared" si="21"/>
        <v>0</v>
      </c>
    </row>
    <row r="296" spans="1:13" x14ac:dyDescent="0.25">
      <c r="A296" s="117"/>
      <c r="G296" s="84"/>
      <c r="H296" s="101">
        <v>291</v>
      </c>
      <c r="I296" s="102" t="str">
        <f t="shared" si="19"/>
        <v/>
      </c>
      <c r="J296" s="102">
        <f t="shared" si="22"/>
        <v>-5</v>
      </c>
      <c r="K296" s="101">
        <f t="shared" si="20"/>
        <v>-50</v>
      </c>
      <c r="L296" s="101"/>
      <c r="M296" s="103">
        <f t="shared" si="21"/>
        <v>0</v>
      </c>
    </row>
    <row r="297" spans="1:13" x14ac:dyDescent="0.25">
      <c r="A297" s="117"/>
      <c r="G297" s="84"/>
      <c r="H297" s="101">
        <v>292</v>
      </c>
      <c r="I297" s="102" t="str">
        <f t="shared" si="19"/>
        <v/>
      </c>
      <c r="J297" s="102">
        <f t="shared" si="22"/>
        <v>-5</v>
      </c>
      <c r="K297" s="101">
        <f t="shared" si="20"/>
        <v>-50</v>
      </c>
      <c r="L297" s="101"/>
      <c r="M297" s="103">
        <f t="shared" si="21"/>
        <v>0</v>
      </c>
    </row>
    <row r="298" spans="1:13" x14ac:dyDescent="0.25">
      <c r="A298" s="117"/>
      <c r="G298" s="84"/>
      <c r="H298" s="101">
        <v>293</v>
      </c>
      <c r="I298" s="102" t="str">
        <f t="shared" si="19"/>
        <v/>
      </c>
      <c r="J298" s="102">
        <f t="shared" si="22"/>
        <v>-5</v>
      </c>
      <c r="K298" s="101">
        <f t="shared" si="20"/>
        <v>-50</v>
      </c>
      <c r="L298" s="101"/>
      <c r="M298" s="103">
        <f t="shared" si="21"/>
        <v>0</v>
      </c>
    </row>
    <row r="299" spans="1:13" x14ac:dyDescent="0.25">
      <c r="A299" s="117"/>
      <c r="G299" s="84"/>
      <c r="H299" s="101">
        <v>294</v>
      </c>
      <c r="I299" s="102" t="str">
        <f t="shared" si="19"/>
        <v/>
      </c>
      <c r="J299" s="102">
        <f t="shared" si="22"/>
        <v>-5</v>
      </c>
      <c r="K299" s="101">
        <f t="shared" si="20"/>
        <v>-50</v>
      </c>
      <c r="L299" s="101"/>
      <c r="M299" s="103">
        <f t="shared" si="21"/>
        <v>0</v>
      </c>
    </row>
    <row r="300" spans="1:13" x14ac:dyDescent="0.25">
      <c r="A300" s="117"/>
      <c r="G300" s="84"/>
      <c r="H300" s="101">
        <v>295</v>
      </c>
      <c r="I300" s="102" t="str">
        <f t="shared" si="19"/>
        <v/>
      </c>
      <c r="J300" s="102">
        <f t="shared" si="22"/>
        <v>-5</v>
      </c>
      <c r="K300" s="101">
        <f t="shared" si="20"/>
        <v>-50</v>
      </c>
      <c r="L300" s="101"/>
      <c r="M300" s="103">
        <f t="shared" si="21"/>
        <v>0</v>
      </c>
    </row>
    <row r="301" spans="1:13" x14ac:dyDescent="0.25">
      <c r="A301" s="117"/>
      <c r="G301" s="84"/>
      <c r="H301" s="101">
        <v>296</v>
      </c>
      <c r="I301" s="102" t="str">
        <f t="shared" si="19"/>
        <v/>
      </c>
      <c r="J301" s="102">
        <f t="shared" si="22"/>
        <v>-5</v>
      </c>
      <c r="K301" s="101">
        <f t="shared" si="20"/>
        <v>-50</v>
      </c>
      <c r="L301" s="101"/>
      <c r="M301" s="103">
        <f t="shared" si="21"/>
        <v>0</v>
      </c>
    </row>
    <row r="302" spans="1:13" x14ac:dyDescent="0.25">
      <c r="A302" s="117"/>
      <c r="G302" s="84"/>
      <c r="H302" s="101">
        <v>297</v>
      </c>
      <c r="I302" s="102" t="str">
        <f t="shared" si="19"/>
        <v/>
      </c>
      <c r="J302" s="102">
        <f t="shared" si="22"/>
        <v>-5</v>
      </c>
      <c r="K302" s="101">
        <f t="shared" si="20"/>
        <v>-50</v>
      </c>
      <c r="L302" s="101"/>
      <c r="M302" s="103">
        <f t="shared" si="21"/>
        <v>0</v>
      </c>
    </row>
    <row r="303" spans="1:13" x14ac:dyDescent="0.25">
      <c r="A303" s="117"/>
      <c r="G303" s="84"/>
      <c r="H303" s="101">
        <v>298</v>
      </c>
      <c r="I303" s="102" t="str">
        <f t="shared" si="19"/>
        <v/>
      </c>
      <c r="J303" s="102">
        <f t="shared" si="22"/>
        <v>-5</v>
      </c>
      <c r="K303" s="101">
        <f t="shared" si="20"/>
        <v>-50</v>
      </c>
      <c r="L303" s="101"/>
      <c r="M303" s="103">
        <f t="shared" si="21"/>
        <v>0</v>
      </c>
    </row>
    <row r="304" spans="1:13" x14ac:dyDescent="0.25">
      <c r="A304" s="117"/>
      <c r="G304" s="84"/>
      <c r="H304" s="101">
        <v>299</v>
      </c>
      <c r="I304" s="102" t="str">
        <f t="shared" si="19"/>
        <v/>
      </c>
      <c r="J304" s="102">
        <f t="shared" si="22"/>
        <v>-5</v>
      </c>
      <c r="K304" s="101">
        <f t="shared" si="20"/>
        <v>-50</v>
      </c>
      <c r="L304" s="101"/>
      <c r="M304" s="103">
        <f t="shared" si="21"/>
        <v>0</v>
      </c>
    </row>
    <row r="305" spans="1:16" x14ac:dyDescent="0.25">
      <c r="A305" s="117"/>
      <c r="G305" s="84"/>
      <c r="H305" s="101">
        <v>300</v>
      </c>
      <c r="I305" s="102" t="str">
        <f t="shared" si="19"/>
        <v/>
      </c>
      <c r="J305" s="102">
        <f t="shared" si="22"/>
        <v>-5</v>
      </c>
      <c r="K305" s="101">
        <f t="shared" si="20"/>
        <v>-50</v>
      </c>
      <c r="L305" s="101"/>
      <c r="M305" s="103">
        <f t="shared" si="21"/>
        <v>0</v>
      </c>
    </row>
    <row r="306" spans="1:16" x14ac:dyDescent="0.25">
      <c r="A306" s="119"/>
    </row>
    <row r="314" spans="1:16" x14ac:dyDescent="0.25">
      <c r="L314" s="122"/>
      <c r="P314" s="112"/>
    </row>
    <row r="315" spans="1:16" x14ac:dyDescent="0.25">
      <c r="L315" s="122"/>
      <c r="P315" s="112"/>
    </row>
    <row r="316" spans="1:16" x14ac:dyDescent="0.25">
      <c r="L316" s="122"/>
      <c r="P316" s="112"/>
    </row>
    <row r="317" spans="1:16" x14ac:dyDescent="0.25">
      <c r="L317" s="122"/>
      <c r="P317" s="112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dataValidations count="1">
    <dataValidation type="list" allowBlank="1" showInputMessage="1" showErrorMessage="1" sqref="C38:C69" xr:uid="{7F32EC53-184C-4F58-A824-4E09E810209F}">
      <formula1>#REF!</formula1>
    </dataValidation>
  </dataValidations>
  <hyperlinks>
    <hyperlink ref="C2:D2" r:id="rId1" display="ŚWIDNICA" xr:uid="{0E98AD9F-859C-43E4-AE75-99D03F26689C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FAF9-A870-49B3-815A-C8CCF782D9FB}">
  <sheetPr>
    <tabColor rgb="FF92D050"/>
  </sheetPr>
  <dimension ref="A1:AM317"/>
  <sheetViews>
    <sheetView workbookViewId="0">
      <selection activeCell="C2" sqref="C2:D3"/>
    </sheetView>
  </sheetViews>
  <sheetFormatPr defaultColWidth="8.85546875" defaultRowHeight="15" x14ac:dyDescent="0.25"/>
  <cols>
    <col min="1" max="1" width="8" style="118" customWidth="1"/>
    <col min="2" max="2" width="8.28515625" style="118" customWidth="1"/>
    <col min="3" max="3" width="34.7109375" style="118" customWidth="1"/>
    <col min="4" max="4" width="11.28515625" style="118" customWidth="1"/>
    <col min="5" max="6" width="8.85546875" style="118"/>
    <col min="7" max="7" width="0.85546875" style="118" customWidth="1"/>
    <col min="8" max="8" width="8.85546875" style="120"/>
    <col min="9" max="9" width="11" style="120" customWidth="1"/>
    <col min="10" max="10" width="15.28515625" style="120" customWidth="1"/>
    <col min="11" max="11" width="8.7109375" style="120" customWidth="1"/>
    <col min="12" max="12" width="11" style="120" customWidth="1"/>
    <col min="13" max="13" width="11.7109375" style="120" customWidth="1"/>
    <col min="14" max="14" width="11.7109375" style="121" customWidth="1"/>
    <col min="15" max="16" width="13.85546875" style="84" customWidth="1"/>
    <col min="17" max="19" width="8.85546875" style="84"/>
    <col min="20" max="21" width="8.85546875" style="91"/>
    <col min="22" max="22" width="12.140625" style="91" customWidth="1"/>
    <col min="23" max="23" width="27.42578125" style="91" customWidth="1"/>
    <col min="24" max="39" width="8.85546875" style="91"/>
    <col min="40" max="16384" width="8.85546875" style="118"/>
  </cols>
  <sheetData>
    <row r="1" spans="1:37" x14ac:dyDescent="0.25">
      <c r="A1" s="84"/>
      <c r="B1" s="84"/>
      <c r="C1" s="84"/>
      <c r="D1" s="84"/>
      <c r="E1" s="84"/>
      <c r="F1" s="84"/>
      <c r="G1" s="84"/>
      <c r="H1" s="85" t="s">
        <v>26</v>
      </c>
      <c r="I1" s="86" t="s">
        <v>27</v>
      </c>
      <c r="J1" s="86" t="s">
        <v>28</v>
      </c>
      <c r="K1" s="87" t="s">
        <v>74</v>
      </c>
      <c r="L1" s="88" t="s">
        <v>75</v>
      </c>
      <c r="M1" s="89"/>
      <c r="N1" s="90"/>
    </row>
    <row r="2" spans="1:37" ht="14.25" customHeight="1" x14ac:dyDescent="0.25">
      <c r="A2" s="84"/>
      <c r="B2" s="24" t="s">
        <v>32</v>
      </c>
      <c r="C2" s="199" t="s">
        <v>103</v>
      </c>
      <c r="D2" s="199"/>
      <c r="E2" s="25"/>
      <c r="F2" s="25"/>
      <c r="G2" s="25"/>
      <c r="H2" s="92">
        <v>105</v>
      </c>
      <c r="I2" s="93">
        <v>50</v>
      </c>
      <c r="J2" s="93">
        <v>10</v>
      </c>
      <c r="K2" s="94">
        <f>3*H2^(1/3)</f>
        <v>14.153081940949598</v>
      </c>
      <c r="L2" s="95">
        <v>1.2</v>
      </c>
      <c r="M2" s="90"/>
      <c r="N2" s="90"/>
    </row>
    <row r="3" spans="1:37" ht="14.25" customHeight="1" x14ac:dyDescent="0.25">
      <c r="A3" s="84"/>
      <c r="B3" s="96" t="s">
        <v>34</v>
      </c>
      <c r="C3" s="200">
        <v>2023</v>
      </c>
      <c r="D3" s="200"/>
      <c r="E3" s="30"/>
      <c r="F3" s="30"/>
      <c r="G3" s="30"/>
      <c r="H3" s="90"/>
      <c r="I3" s="90"/>
      <c r="J3" s="97"/>
      <c r="K3" s="90"/>
      <c r="L3" s="90"/>
      <c r="M3" s="90"/>
      <c r="N3" s="90"/>
    </row>
    <row r="4" spans="1:37" ht="10.15" customHeight="1" x14ac:dyDescent="0.25">
      <c r="A4" s="32"/>
      <c r="B4" s="30"/>
      <c r="C4" s="32"/>
      <c r="D4" s="32"/>
      <c r="E4" s="32"/>
      <c r="F4" s="32"/>
      <c r="G4" s="32"/>
      <c r="H4" s="90"/>
      <c r="I4" s="90"/>
      <c r="J4" s="97"/>
      <c r="K4" s="90"/>
      <c r="L4" s="90"/>
      <c r="M4" s="90"/>
      <c r="N4" s="90"/>
    </row>
    <row r="5" spans="1:37" ht="36" x14ac:dyDescent="0.25">
      <c r="A5" s="1" t="s">
        <v>36</v>
      </c>
      <c r="B5" s="33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32"/>
      <c r="H5" s="98" t="s">
        <v>42</v>
      </c>
      <c r="I5" s="99" t="s">
        <v>43</v>
      </c>
      <c r="J5" s="100" t="s">
        <v>44</v>
      </c>
      <c r="K5" s="99" t="s">
        <v>45</v>
      </c>
      <c r="L5" s="99" t="s">
        <v>46</v>
      </c>
      <c r="M5" s="98" t="s">
        <v>47</v>
      </c>
      <c r="N5" s="98" t="s">
        <v>78</v>
      </c>
    </row>
    <row r="6" spans="1:37" ht="14.45" customHeight="1" x14ac:dyDescent="0.25">
      <c r="A6" s="137">
        <f>N6</f>
        <v>194.95109498741854</v>
      </c>
      <c r="B6" s="38">
        <f t="shared" ref="B6:B69" si="0">IF(H6&gt;$H$2,"",(ROW()-5))</f>
        <v>1</v>
      </c>
      <c r="C6" s="39" t="s">
        <v>104</v>
      </c>
      <c r="D6" s="39" t="s">
        <v>105</v>
      </c>
      <c r="E6" s="39" t="s">
        <v>106</v>
      </c>
      <c r="F6" s="39" t="s">
        <v>107</v>
      </c>
      <c r="G6" s="32"/>
      <c r="H6" s="101">
        <v>1</v>
      </c>
      <c r="I6" s="102">
        <f t="shared" ref="I6:I36" si="1">IF(H6&lt;$H$2+1,($I$2-($I$2-1)*(LOG(H6)/LOG($H$2))),"")</f>
        <v>50</v>
      </c>
      <c r="J6" s="101">
        <f>INT(LOG($H$2,2))-ROUNDUP(LOG(H6,2),0)+IF(OR($H$2=1,$H$2=2,$H$2=4,$H$2=8,$H$2=16,$H$2=32,$H$2=64,$H$2=128,$H$2=256),0,1)</f>
        <v>7</v>
      </c>
      <c r="K6" s="101">
        <f t="shared" ref="K6:K36" si="2">J6*$J$2</f>
        <v>70</v>
      </c>
      <c r="L6" s="103">
        <f>3*K2</f>
        <v>42.459245822848793</v>
      </c>
      <c r="M6" s="103">
        <f t="shared" ref="M6:M36" si="3">IF(I6&lt;&gt;"",K6+I6+L6,0)</f>
        <v>162.4592458228488</v>
      </c>
      <c r="N6" s="103">
        <f t="shared" ref="N6:N36" si="4">IF(I6&lt;&gt;"",M6*L$2,0)</f>
        <v>194.95109498741854</v>
      </c>
    </row>
    <row r="7" spans="1:37" ht="14.45" customHeight="1" x14ac:dyDescent="0.25">
      <c r="A7" s="138">
        <f t="shared" ref="A7:A36" si="5">N7</f>
        <v>157.2098974209799</v>
      </c>
      <c r="B7" s="44">
        <f t="shared" si="0"/>
        <v>2</v>
      </c>
      <c r="C7" s="45" t="s">
        <v>108</v>
      </c>
      <c r="D7" s="45" t="s">
        <v>109</v>
      </c>
      <c r="E7" s="45" t="s">
        <v>110</v>
      </c>
      <c r="F7" s="45" t="s">
        <v>107</v>
      </c>
      <c r="G7" s="32"/>
      <c r="H7" s="104">
        <v>2</v>
      </c>
      <c r="I7" s="105">
        <f t="shared" si="1"/>
        <v>42.702083968917414</v>
      </c>
      <c r="J7" s="104">
        <f t="shared" ref="J7:J36" si="6">INT(LOG($H$2,2))-ROUNDUP(LOG(H7,2),0)+IF(OR($H$2=1,$H$2=2,$H$2=4,$H$2=8,$H$2=16,$H$2=32,$H$2=64,$H$2=128,$H$2=256),0,1)</f>
        <v>6</v>
      </c>
      <c r="K7" s="104">
        <f t="shared" si="2"/>
        <v>60</v>
      </c>
      <c r="L7" s="106">
        <f>2*K2</f>
        <v>28.306163881899195</v>
      </c>
      <c r="M7" s="106">
        <f t="shared" si="3"/>
        <v>131.00824785081659</v>
      </c>
      <c r="N7" s="106">
        <f t="shared" si="4"/>
        <v>157.2098974209799</v>
      </c>
    </row>
    <row r="8" spans="1:37" ht="14.45" customHeight="1" x14ac:dyDescent="0.25">
      <c r="A8" s="137">
        <f t="shared" si="5"/>
        <v>123.10339043792631</v>
      </c>
      <c r="B8" s="38">
        <f t="shared" si="0"/>
        <v>3</v>
      </c>
      <c r="C8" s="39" t="s">
        <v>111</v>
      </c>
      <c r="D8" s="39" t="s">
        <v>112</v>
      </c>
      <c r="E8" s="39" t="s">
        <v>113</v>
      </c>
      <c r="F8" s="39" t="s">
        <v>107</v>
      </c>
      <c r="G8" s="32"/>
      <c r="H8" s="101">
        <v>3</v>
      </c>
      <c r="I8" s="102">
        <f t="shared" si="1"/>
        <v>38.433076757322326</v>
      </c>
      <c r="J8" s="101">
        <f t="shared" si="6"/>
        <v>5</v>
      </c>
      <c r="K8" s="101">
        <f t="shared" si="2"/>
        <v>50</v>
      </c>
      <c r="L8" s="103">
        <f>K2</f>
        <v>14.153081940949598</v>
      </c>
      <c r="M8" s="103">
        <f t="shared" si="3"/>
        <v>102.58615869827193</v>
      </c>
      <c r="N8" s="103">
        <f t="shared" si="4"/>
        <v>123.10339043792631</v>
      </c>
    </row>
    <row r="9" spans="1:37" s="91" customFormat="1" ht="14.45" customHeight="1" x14ac:dyDescent="0.25">
      <c r="A9" s="138">
        <f>N9</f>
        <v>123.10339043792631</v>
      </c>
      <c r="B9" s="44">
        <f t="shared" si="0"/>
        <v>4</v>
      </c>
      <c r="C9" s="45" t="s">
        <v>114</v>
      </c>
      <c r="D9" s="45" t="s">
        <v>115</v>
      </c>
      <c r="E9" s="45" t="s">
        <v>116</v>
      </c>
      <c r="F9" s="45" t="s">
        <v>107</v>
      </c>
      <c r="G9" s="32"/>
      <c r="H9" s="104">
        <v>3</v>
      </c>
      <c r="I9" s="105">
        <f t="shared" si="1"/>
        <v>38.433076757322326</v>
      </c>
      <c r="J9" s="104">
        <f t="shared" si="6"/>
        <v>5</v>
      </c>
      <c r="K9" s="104">
        <f t="shared" si="2"/>
        <v>50</v>
      </c>
      <c r="L9" s="106">
        <f>K2</f>
        <v>14.153081940949598</v>
      </c>
      <c r="M9" s="106">
        <f t="shared" si="3"/>
        <v>102.58615869827193</v>
      </c>
      <c r="N9" s="106">
        <f t="shared" ref="N9" si="7">IF(I9&lt;&gt;"",M9*L$2,0)</f>
        <v>123.10339043792631</v>
      </c>
      <c r="O9" s="84"/>
      <c r="P9" s="84"/>
      <c r="Q9" s="84"/>
      <c r="R9" s="84"/>
      <c r="S9" s="84"/>
      <c r="V9" s="107"/>
      <c r="Z9" s="108"/>
      <c r="AA9" s="108"/>
      <c r="AG9" s="109"/>
      <c r="AH9" s="91" t="s">
        <v>54</v>
      </c>
      <c r="AI9" s="91">
        <v>23</v>
      </c>
    </row>
    <row r="10" spans="1:37" ht="14.45" customHeight="1" x14ac:dyDescent="0.25">
      <c r="A10" s="137">
        <f t="shared" si="5"/>
        <v>87.665716479960551</v>
      </c>
      <c r="B10" s="38">
        <f t="shared" si="0"/>
        <v>5</v>
      </c>
      <c r="C10" s="39" t="s">
        <v>117</v>
      </c>
      <c r="D10" s="39" t="s">
        <v>118</v>
      </c>
      <c r="E10" s="39" t="s">
        <v>113</v>
      </c>
      <c r="F10" s="39" t="s">
        <v>107</v>
      </c>
      <c r="G10" s="32"/>
      <c r="H10" s="101">
        <v>5</v>
      </c>
      <c r="I10" s="102">
        <f t="shared" si="1"/>
        <v>33.054763733300469</v>
      </c>
      <c r="J10" s="101">
        <f t="shared" si="6"/>
        <v>4</v>
      </c>
      <c r="K10" s="101">
        <f t="shared" si="2"/>
        <v>40</v>
      </c>
      <c r="L10" s="101"/>
      <c r="M10" s="103">
        <f t="shared" si="3"/>
        <v>73.054763733300462</v>
      </c>
      <c r="N10" s="103">
        <f t="shared" si="4"/>
        <v>87.665716479960551</v>
      </c>
      <c r="W10" s="107"/>
      <c r="AA10" s="108"/>
      <c r="AB10" s="108"/>
      <c r="AH10" s="109"/>
      <c r="AI10" s="91" t="s">
        <v>55</v>
      </c>
      <c r="AJ10" s="91">
        <v>45</v>
      </c>
    </row>
    <row r="11" spans="1:37" ht="14.45" customHeight="1" x14ac:dyDescent="0.25">
      <c r="A11" s="138">
        <f t="shared" si="5"/>
        <v>85.362192871487693</v>
      </c>
      <c r="B11" s="44">
        <f t="shared" si="0"/>
        <v>6</v>
      </c>
      <c r="C11" s="45" t="s">
        <v>119</v>
      </c>
      <c r="D11" s="45" t="s">
        <v>120</v>
      </c>
      <c r="E11" s="45" t="s">
        <v>113</v>
      </c>
      <c r="F11" s="45" t="s">
        <v>107</v>
      </c>
      <c r="G11" s="32"/>
      <c r="H11" s="104">
        <v>6</v>
      </c>
      <c r="I11" s="105">
        <f t="shared" si="1"/>
        <v>31.135160726239743</v>
      </c>
      <c r="J11" s="104">
        <f t="shared" si="6"/>
        <v>4</v>
      </c>
      <c r="K11" s="104">
        <f t="shared" si="2"/>
        <v>40</v>
      </c>
      <c r="L11" s="104"/>
      <c r="M11" s="106">
        <f t="shared" si="3"/>
        <v>71.135160726239747</v>
      </c>
      <c r="N11" s="106">
        <f t="shared" si="4"/>
        <v>85.362192871487693</v>
      </c>
      <c r="W11" s="110"/>
      <c r="AA11" s="108"/>
      <c r="AB11" s="108"/>
      <c r="AH11" s="109"/>
      <c r="AI11" s="91" t="s">
        <v>56</v>
      </c>
      <c r="AJ11" s="91">
        <v>50</v>
      </c>
    </row>
    <row r="12" spans="1:37" ht="14.45" customHeight="1" x14ac:dyDescent="0.25">
      <c r="A12" s="137">
        <f t="shared" si="5"/>
        <v>83.41459141125263</v>
      </c>
      <c r="B12" s="38">
        <f t="shared" si="0"/>
        <v>7</v>
      </c>
      <c r="C12" s="39" t="s">
        <v>121</v>
      </c>
      <c r="D12" s="39" t="s">
        <v>122</v>
      </c>
      <c r="E12" s="39" t="s">
        <v>113</v>
      </c>
      <c r="F12" s="39" t="s">
        <v>107</v>
      </c>
      <c r="G12" s="32"/>
      <c r="H12" s="101">
        <v>7</v>
      </c>
      <c r="I12" s="102">
        <f t="shared" si="1"/>
        <v>29.512159509377206</v>
      </c>
      <c r="J12" s="101">
        <f t="shared" si="6"/>
        <v>4</v>
      </c>
      <c r="K12" s="101">
        <f t="shared" si="2"/>
        <v>40</v>
      </c>
      <c r="L12" s="101"/>
      <c r="M12" s="103">
        <f t="shared" si="3"/>
        <v>69.512159509377199</v>
      </c>
      <c r="N12" s="103">
        <f t="shared" si="4"/>
        <v>83.41459141125263</v>
      </c>
      <c r="AA12" s="108"/>
      <c r="AB12" s="108"/>
      <c r="AH12" s="109"/>
      <c r="AI12" s="91" t="s">
        <v>57</v>
      </c>
      <c r="AJ12" s="91">
        <f>AJ11-1</f>
        <v>49</v>
      </c>
    </row>
    <row r="13" spans="1:37" ht="14.45" customHeight="1" x14ac:dyDescent="0.25">
      <c r="A13" s="138">
        <f t="shared" si="5"/>
        <v>81.727502288102698</v>
      </c>
      <c r="B13" s="44">
        <f t="shared" si="0"/>
        <v>8</v>
      </c>
      <c r="C13" s="45" t="s">
        <v>123</v>
      </c>
      <c r="D13" s="45" t="s">
        <v>124</v>
      </c>
      <c r="E13" s="45" t="s">
        <v>116</v>
      </c>
      <c r="F13" s="45" t="s">
        <v>107</v>
      </c>
      <c r="G13" s="32"/>
      <c r="H13" s="104">
        <v>8</v>
      </c>
      <c r="I13" s="105">
        <f t="shared" si="1"/>
        <v>28.106251906752242</v>
      </c>
      <c r="J13" s="104">
        <f t="shared" si="6"/>
        <v>4</v>
      </c>
      <c r="K13" s="104">
        <f t="shared" si="2"/>
        <v>40</v>
      </c>
      <c r="L13" s="104"/>
      <c r="M13" s="106">
        <f t="shared" si="3"/>
        <v>68.106251906752249</v>
      </c>
      <c r="N13" s="106">
        <f t="shared" si="4"/>
        <v>81.727502288102698</v>
      </c>
      <c r="Y13" s="107"/>
      <c r="AH13" s="109"/>
      <c r="AI13" s="91" t="s">
        <v>58</v>
      </c>
      <c r="AJ13" s="91" t="e">
        <f>LOG(AJ9)</f>
        <v>#NUM!</v>
      </c>
    </row>
    <row r="14" spans="1:37" x14ac:dyDescent="0.25">
      <c r="A14" s="137">
        <f t="shared" si="5"/>
        <v>68.239384217573587</v>
      </c>
      <c r="B14" s="38">
        <f t="shared" si="0"/>
        <v>9</v>
      </c>
      <c r="C14" s="39" t="s">
        <v>125</v>
      </c>
      <c r="D14" s="39" t="s">
        <v>126</v>
      </c>
      <c r="E14" s="39" t="s">
        <v>127</v>
      </c>
      <c r="F14" s="39" t="s">
        <v>107</v>
      </c>
      <c r="G14" s="32"/>
      <c r="H14" s="101">
        <v>9</v>
      </c>
      <c r="I14" s="102">
        <f t="shared" si="1"/>
        <v>26.866153514644658</v>
      </c>
      <c r="J14" s="101">
        <f t="shared" si="6"/>
        <v>3</v>
      </c>
      <c r="K14" s="101">
        <f t="shared" si="2"/>
        <v>30</v>
      </c>
      <c r="L14" s="101"/>
      <c r="M14" s="103">
        <f t="shared" si="3"/>
        <v>56.866153514644658</v>
      </c>
      <c r="N14" s="103">
        <f t="shared" si="4"/>
        <v>68.239384217573587</v>
      </c>
      <c r="Y14" s="111"/>
      <c r="AA14" s="108"/>
      <c r="AB14" s="108"/>
      <c r="AH14" s="109"/>
      <c r="AI14" s="91" t="s">
        <v>59</v>
      </c>
      <c r="AJ14" s="91">
        <f>LOG(AJ10)</f>
        <v>1.6532125137753437</v>
      </c>
    </row>
    <row r="15" spans="1:37" x14ac:dyDescent="0.25">
      <c r="A15" s="138">
        <f t="shared" si="5"/>
        <v>66.908217242661451</v>
      </c>
      <c r="B15" s="44">
        <f t="shared" si="0"/>
        <v>10</v>
      </c>
      <c r="C15" s="45" t="s">
        <v>128</v>
      </c>
      <c r="D15" s="45" t="s">
        <v>129</v>
      </c>
      <c r="E15" s="45" t="s">
        <v>113</v>
      </c>
      <c r="F15" s="45" t="s">
        <v>107</v>
      </c>
      <c r="G15" s="32"/>
      <c r="H15" s="104">
        <v>10</v>
      </c>
      <c r="I15" s="105">
        <f t="shared" si="1"/>
        <v>25.756847702217883</v>
      </c>
      <c r="J15" s="104">
        <f t="shared" si="6"/>
        <v>3</v>
      </c>
      <c r="K15" s="104">
        <f t="shared" si="2"/>
        <v>30</v>
      </c>
      <c r="L15" s="104"/>
      <c r="M15" s="106">
        <f t="shared" si="3"/>
        <v>55.756847702217883</v>
      </c>
      <c r="N15" s="106">
        <f t="shared" si="4"/>
        <v>66.908217242661451</v>
      </c>
      <c r="Y15" s="107"/>
      <c r="AA15" s="108"/>
      <c r="AB15" s="108"/>
    </row>
    <row r="16" spans="1:37" x14ac:dyDescent="0.25">
      <c r="A16" s="137">
        <f t="shared" si="5"/>
        <v>65.704030238295459</v>
      </c>
      <c r="B16" s="38">
        <f t="shared" si="0"/>
        <v>11</v>
      </c>
      <c r="C16" s="39" t="s">
        <v>130</v>
      </c>
      <c r="D16" s="39" t="s">
        <v>131</v>
      </c>
      <c r="E16" s="39" t="s">
        <v>113</v>
      </c>
      <c r="F16" s="39" t="s">
        <v>107</v>
      </c>
      <c r="G16" s="32"/>
      <c r="H16" s="101">
        <v>11</v>
      </c>
      <c r="I16" s="102">
        <f t="shared" si="1"/>
        <v>24.753358531912887</v>
      </c>
      <c r="J16" s="101">
        <f t="shared" si="6"/>
        <v>3</v>
      </c>
      <c r="K16" s="101">
        <f t="shared" si="2"/>
        <v>30</v>
      </c>
      <c r="L16" s="101"/>
      <c r="M16" s="103">
        <f t="shared" si="3"/>
        <v>54.753358531912887</v>
      </c>
      <c r="N16" s="103">
        <f t="shared" si="4"/>
        <v>65.704030238295459</v>
      </c>
      <c r="S16" s="112"/>
      <c r="AA16" s="108"/>
      <c r="AB16" s="108"/>
      <c r="AI16" s="113" t="s">
        <v>60</v>
      </c>
      <c r="AJ16" s="91" t="e">
        <f>AJ11-AJ12*AJ13/AJ14</f>
        <v>#NUM!</v>
      </c>
      <c r="AK16" s="91" t="s">
        <v>61</v>
      </c>
    </row>
    <row r="17" spans="1:20" x14ac:dyDescent="0.25">
      <c r="A17" s="138">
        <f t="shared" si="5"/>
        <v>64.604693634188578</v>
      </c>
      <c r="B17" s="44">
        <f t="shared" si="0"/>
        <v>12</v>
      </c>
      <c r="C17" s="45" t="s">
        <v>132</v>
      </c>
      <c r="D17" s="45" t="s">
        <v>133</v>
      </c>
      <c r="E17" s="45" t="s">
        <v>113</v>
      </c>
      <c r="F17" s="45" t="s">
        <v>107</v>
      </c>
      <c r="G17" s="32"/>
      <c r="H17" s="104">
        <v>12</v>
      </c>
      <c r="I17" s="105">
        <f t="shared" si="1"/>
        <v>23.837244695157153</v>
      </c>
      <c r="J17" s="104">
        <f t="shared" si="6"/>
        <v>3</v>
      </c>
      <c r="K17" s="104">
        <f t="shared" si="2"/>
        <v>30</v>
      </c>
      <c r="L17" s="104"/>
      <c r="M17" s="106">
        <f t="shared" si="3"/>
        <v>53.837244695157153</v>
      </c>
      <c r="N17" s="106">
        <f t="shared" si="4"/>
        <v>64.604693634188578</v>
      </c>
    </row>
    <row r="18" spans="1:20" x14ac:dyDescent="0.25">
      <c r="A18" s="137">
        <f t="shared" si="5"/>
        <v>63.593401990708074</v>
      </c>
      <c r="B18" s="38">
        <f t="shared" si="0"/>
        <v>13</v>
      </c>
      <c r="C18" s="39" t="s">
        <v>134</v>
      </c>
      <c r="D18" s="39" t="s">
        <v>135</v>
      </c>
      <c r="E18" s="39" t="s">
        <v>136</v>
      </c>
      <c r="F18" s="39" t="s">
        <v>107</v>
      </c>
      <c r="G18" s="32"/>
      <c r="H18" s="101">
        <v>13</v>
      </c>
      <c r="I18" s="102">
        <f t="shared" si="1"/>
        <v>22.994501658923397</v>
      </c>
      <c r="J18" s="101">
        <f t="shared" si="6"/>
        <v>3</v>
      </c>
      <c r="K18" s="101">
        <f t="shared" si="2"/>
        <v>30</v>
      </c>
      <c r="L18" s="101"/>
      <c r="M18" s="103">
        <f t="shared" si="3"/>
        <v>52.994501658923397</v>
      </c>
      <c r="N18" s="103">
        <f t="shared" si="4"/>
        <v>63.593401990708074</v>
      </c>
    </row>
    <row r="19" spans="1:20" x14ac:dyDescent="0.25">
      <c r="A19" s="138">
        <f t="shared" si="5"/>
        <v>62.657092173953544</v>
      </c>
      <c r="B19" s="44">
        <f t="shared" si="0"/>
        <v>14</v>
      </c>
      <c r="C19" s="45" t="s">
        <v>137</v>
      </c>
      <c r="D19" s="45" t="s">
        <v>138</v>
      </c>
      <c r="E19" s="45" t="s">
        <v>139</v>
      </c>
      <c r="F19" s="45" t="s">
        <v>107</v>
      </c>
      <c r="G19" s="32"/>
      <c r="H19" s="104">
        <v>14</v>
      </c>
      <c r="I19" s="105">
        <f t="shared" si="1"/>
        <v>22.214243478294623</v>
      </c>
      <c r="J19" s="104">
        <f t="shared" si="6"/>
        <v>3</v>
      </c>
      <c r="K19" s="104">
        <f t="shared" si="2"/>
        <v>30</v>
      </c>
      <c r="L19" s="104"/>
      <c r="M19" s="106">
        <f t="shared" si="3"/>
        <v>52.21424347829462</v>
      </c>
      <c r="N19" s="106">
        <f t="shared" si="4"/>
        <v>62.657092173953544</v>
      </c>
    </row>
    <row r="20" spans="1:20" x14ac:dyDescent="0.25">
      <c r="A20" s="137">
        <f t="shared" si="5"/>
        <v>61.785408588747359</v>
      </c>
      <c r="B20" s="38">
        <f t="shared" si="0"/>
        <v>15</v>
      </c>
      <c r="C20" s="39" t="s">
        <v>140</v>
      </c>
      <c r="D20" s="39" t="s">
        <v>141</v>
      </c>
      <c r="E20" s="39" t="s">
        <v>106</v>
      </c>
      <c r="F20" s="39" t="s">
        <v>107</v>
      </c>
      <c r="G20" s="32"/>
      <c r="H20" s="101">
        <v>15</v>
      </c>
      <c r="I20" s="102">
        <f t="shared" si="1"/>
        <v>21.487840490622798</v>
      </c>
      <c r="J20" s="101">
        <f t="shared" si="6"/>
        <v>3</v>
      </c>
      <c r="K20" s="101">
        <f t="shared" si="2"/>
        <v>30</v>
      </c>
      <c r="L20" s="101"/>
      <c r="M20" s="103">
        <f t="shared" si="3"/>
        <v>51.487840490622801</v>
      </c>
      <c r="N20" s="103">
        <f t="shared" si="4"/>
        <v>61.785408588747359</v>
      </c>
      <c r="S20" s="114"/>
      <c r="T20" s="115"/>
    </row>
    <row r="21" spans="1:20" ht="25.5" x14ac:dyDescent="0.25">
      <c r="A21" s="138">
        <f t="shared" si="5"/>
        <v>60.970003050803584</v>
      </c>
      <c r="B21" s="44">
        <f t="shared" si="0"/>
        <v>16</v>
      </c>
      <c r="C21" s="45" t="s">
        <v>142</v>
      </c>
      <c r="D21" s="45" t="s">
        <v>143</v>
      </c>
      <c r="E21" s="45" t="s">
        <v>110</v>
      </c>
      <c r="F21" s="45" t="s">
        <v>107</v>
      </c>
      <c r="G21" s="32"/>
      <c r="H21" s="104">
        <v>16</v>
      </c>
      <c r="I21" s="105">
        <f t="shared" si="1"/>
        <v>20.808335875669655</v>
      </c>
      <c r="J21" s="104">
        <f t="shared" si="6"/>
        <v>3</v>
      </c>
      <c r="K21" s="104">
        <f t="shared" si="2"/>
        <v>30</v>
      </c>
      <c r="L21" s="104"/>
      <c r="M21" s="106">
        <f t="shared" si="3"/>
        <v>50.808335875669655</v>
      </c>
      <c r="N21" s="106">
        <f t="shared" si="4"/>
        <v>60.970003050803584</v>
      </c>
    </row>
    <row r="22" spans="1:20" x14ac:dyDescent="0.25">
      <c r="A22" s="137">
        <f t="shared" si="5"/>
        <v>48.20404728526173</v>
      </c>
      <c r="B22" s="38">
        <f t="shared" si="0"/>
        <v>17</v>
      </c>
      <c r="C22" s="39" t="s">
        <v>144</v>
      </c>
      <c r="D22" s="39" t="s">
        <v>145</v>
      </c>
      <c r="E22" s="39" t="s">
        <v>139</v>
      </c>
      <c r="F22" s="39" t="s">
        <v>107</v>
      </c>
      <c r="G22" s="32"/>
      <c r="H22" s="101">
        <v>17</v>
      </c>
      <c r="I22" s="102">
        <f t="shared" si="1"/>
        <v>20.170039404384774</v>
      </c>
      <c r="J22" s="101">
        <f t="shared" si="6"/>
        <v>2</v>
      </c>
      <c r="K22" s="101">
        <f t="shared" si="2"/>
        <v>20</v>
      </c>
      <c r="L22" s="101"/>
      <c r="M22" s="103">
        <f t="shared" si="3"/>
        <v>40.170039404384774</v>
      </c>
      <c r="N22" s="103">
        <f t="shared" si="4"/>
        <v>48.20404728526173</v>
      </c>
    </row>
    <row r="23" spans="1:20" x14ac:dyDescent="0.25">
      <c r="A23" s="138">
        <f t="shared" si="5"/>
        <v>47.481884980274486</v>
      </c>
      <c r="B23" s="44">
        <f t="shared" si="0"/>
        <v>18</v>
      </c>
      <c r="C23" s="45" t="s">
        <v>146</v>
      </c>
      <c r="D23" s="45" t="s">
        <v>147</v>
      </c>
      <c r="E23" s="45" t="s">
        <v>148</v>
      </c>
      <c r="F23" s="45" t="s">
        <v>107</v>
      </c>
      <c r="G23" s="32"/>
      <c r="H23" s="104">
        <v>18</v>
      </c>
      <c r="I23" s="105">
        <f t="shared" si="1"/>
        <v>19.568237483562076</v>
      </c>
      <c r="J23" s="104">
        <f t="shared" si="6"/>
        <v>2</v>
      </c>
      <c r="K23" s="104">
        <f t="shared" si="2"/>
        <v>20</v>
      </c>
      <c r="L23" s="104"/>
      <c r="M23" s="106">
        <f t="shared" si="3"/>
        <v>39.568237483562072</v>
      </c>
      <c r="N23" s="106">
        <f t="shared" si="4"/>
        <v>47.481884980274486</v>
      </c>
    </row>
    <row r="24" spans="1:20" x14ac:dyDescent="0.25">
      <c r="A24" s="137">
        <f t="shared" si="5"/>
        <v>46.79877804091592</v>
      </c>
      <c r="B24" s="38">
        <f t="shared" si="0"/>
        <v>19</v>
      </c>
      <c r="C24" s="39" t="s">
        <v>149</v>
      </c>
      <c r="D24" s="39" t="s">
        <v>150</v>
      </c>
      <c r="E24" s="39" t="s">
        <v>113</v>
      </c>
      <c r="F24" s="39" t="s">
        <v>107</v>
      </c>
      <c r="G24" s="32"/>
      <c r="H24" s="101">
        <v>19</v>
      </c>
      <c r="I24" s="102">
        <f t="shared" si="1"/>
        <v>18.99898170076327</v>
      </c>
      <c r="J24" s="101">
        <f t="shared" si="6"/>
        <v>2</v>
      </c>
      <c r="K24" s="101">
        <f t="shared" si="2"/>
        <v>20</v>
      </c>
      <c r="L24" s="101"/>
      <c r="M24" s="103">
        <f t="shared" si="3"/>
        <v>38.998981700763267</v>
      </c>
      <c r="N24" s="103">
        <f t="shared" si="4"/>
        <v>46.79877804091592</v>
      </c>
      <c r="S24" s="114"/>
      <c r="T24" s="115"/>
    </row>
    <row r="25" spans="1:20" x14ac:dyDescent="0.25">
      <c r="A25" s="138">
        <f t="shared" si="5"/>
        <v>46.150718005362357</v>
      </c>
      <c r="B25" s="44">
        <f t="shared" si="0"/>
        <v>20</v>
      </c>
      <c r="C25" s="45" t="s">
        <v>151</v>
      </c>
      <c r="D25" s="45" t="s">
        <v>152</v>
      </c>
      <c r="E25" s="45" t="s">
        <v>110</v>
      </c>
      <c r="F25" s="45" t="s">
        <v>107</v>
      </c>
      <c r="G25" s="32"/>
      <c r="H25" s="104">
        <v>20</v>
      </c>
      <c r="I25" s="105">
        <f t="shared" si="1"/>
        <v>18.458931671135296</v>
      </c>
      <c r="J25" s="104">
        <f t="shared" si="6"/>
        <v>2</v>
      </c>
      <c r="K25" s="104">
        <f t="shared" si="2"/>
        <v>20</v>
      </c>
      <c r="L25" s="104"/>
      <c r="M25" s="106">
        <f t="shared" si="3"/>
        <v>38.458931671135296</v>
      </c>
      <c r="N25" s="106">
        <f t="shared" si="4"/>
        <v>46.150718005362357</v>
      </c>
    </row>
    <row r="26" spans="1:20" x14ac:dyDescent="0.25">
      <c r="A26" s="137">
        <f t="shared" si="5"/>
        <v>45.534283520039438</v>
      </c>
      <c r="B26" s="38">
        <f t="shared" si="0"/>
        <v>21</v>
      </c>
      <c r="C26" s="39" t="s">
        <v>153</v>
      </c>
      <c r="D26" s="39" t="s">
        <v>154</v>
      </c>
      <c r="E26" s="39" t="s">
        <v>139</v>
      </c>
      <c r="F26" s="39" t="s">
        <v>107</v>
      </c>
      <c r="G26" s="32"/>
      <c r="H26" s="101">
        <v>21</v>
      </c>
      <c r="I26" s="102">
        <f t="shared" si="1"/>
        <v>17.945236266699531</v>
      </c>
      <c r="J26" s="101">
        <f t="shared" si="6"/>
        <v>2</v>
      </c>
      <c r="K26" s="101">
        <f t="shared" si="2"/>
        <v>20</v>
      </c>
      <c r="L26" s="101"/>
      <c r="M26" s="103">
        <f t="shared" si="3"/>
        <v>37.945236266699531</v>
      </c>
      <c r="N26" s="103">
        <f t="shared" si="4"/>
        <v>45.534283520039438</v>
      </c>
    </row>
    <row r="27" spans="1:20" ht="38.25" x14ac:dyDescent="0.25">
      <c r="A27" s="138">
        <f t="shared" si="5"/>
        <v>44.946531000996359</v>
      </c>
      <c r="B27" s="44">
        <f t="shared" si="0"/>
        <v>22</v>
      </c>
      <c r="C27" s="45" t="s">
        <v>155</v>
      </c>
      <c r="D27" s="45" t="s">
        <v>156</v>
      </c>
      <c r="E27" s="45" t="s">
        <v>116</v>
      </c>
      <c r="F27" s="45" t="s">
        <v>107</v>
      </c>
      <c r="G27" s="32"/>
      <c r="H27" s="104">
        <v>22</v>
      </c>
      <c r="I27" s="105">
        <f t="shared" si="1"/>
        <v>17.455442500830301</v>
      </c>
      <c r="J27" s="104">
        <f t="shared" si="6"/>
        <v>2</v>
      </c>
      <c r="K27" s="104">
        <f t="shared" si="2"/>
        <v>20</v>
      </c>
      <c r="L27" s="104"/>
      <c r="M27" s="106">
        <f t="shared" si="3"/>
        <v>37.455442500830301</v>
      </c>
      <c r="N27" s="106">
        <f t="shared" si="4"/>
        <v>44.946531000996359</v>
      </c>
    </row>
    <row r="28" spans="1:20" x14ac:dyDescent="0.25">
      <c r="A28" s="137">
        <f t="shared" si="5"/>
        <v>44.384909619955472</v>
      </c>
      <c r="B28" s="38">
        <f t="shared" si="0"/>
        <v>23</v>
      </c>
      <c r="C28" s="39" t="s">
        <v>157</v>
      </c>
      <c r="D28" s="39" t="s">
        <v>158</v>
      </c>
      <c r="E28" s="39" t="s">
        <v>139</v>
      </c>
      <c r="F28" s="39" t="s">
        <v>107</v>
      </c>
      <c r="G28" s="32"/>
      <c r="H28" s="101">
        <v>23</v>
      </c>
      <c r="I28" s="102">
        <f t="shared" si="1"/>
        <v>16.987424683296226</v>
      </c>
      <c r="J28" s="101">
        <f t="shared" si="6"/>
        <v>2</v>
      </c>
      <c r="K28" s="101">
        <f t="shared" si="2"/>
        <v>20</v>
      </c>
      <c r="L28" s="101"/>
      <c r="M28" s="103">
        <f t="shared" si="3"/>
        <v>36.987424683296226</v>
      </c>
      <c r="N28" s="103">
        <f t="shared" si="4"/>
        <v>44.384909619955472</v>
      </c>
      <c r="S28" s="114"/>
      <c r="T28" s="115"/>
    </row>
    <row r="29" spans="1:20" x14ac:dyDescent="0.25">
      <c r="A29" s="138">
        <f t="shared" si="5"/>
        <v>43.847194396889485</v>
      </c>
      <c r="B29" s="44">
        <f t="shared" si="0"/>
        <v>24</v>
      </c>
      <c r="C29" s="45" t="s">
        <v>159</v>
      </c>
      <c r="D29" s="45" t="s">
        <v>160</v>
      </c>
      <c r="E29" s="45" t="s">
        <v>161</v>
      </c>
      <c r="F29" s="45" t="s">
        <v>107</v>
      </c>
      <c r="G29" s="84"/>
      <c r="H29" s="104">
        <v>24</v>
      </c>
      <c r="I29" s="105">
        <f t="shared" si="1"/>
        <v>16.539328664074574</v>
      </c>
      <c r="J29" s="104">
        <f t="shared" si="6"/>
        <v>2</v>
      </c>
      <c r="K29" s="104">
        <f t="shared" si="2"/>
        <v>20</v>
      </c>
      <c r="L29" s="104"/>
      <c r="M29" s="106">
        <f t="shared" si="3"/>
        <v>36.539328664074574</v>
      </c>
      <c r="N29" s="106">
        <f t="shared" si="4"/>
        <v>43.847194396889485</v>
      </c>
    </row>
    <row r="30" spans="1:20" x14ac:dyDescent="0.25">
      <c r="A30" s="137">
        <f t="shared" si="5"/>
        <v>43.331432959921123</v>
      </c>
      <c r="B30" s="38">
        <f t="shared" si="0"/>
        <v>25</v>
      </c>
      <c r="C30" s="39" t="s">
        <v>162</v>
      </c>
      <c r="D30" s="39" t="s">
        <v>163</v>
      </c>
      <c r="E30" s="39" t="s">
        <v>113</v>
      </c>
      <c r="F30" s="39" t="s">
        <v>107</v>
      </c>
      <c r="G30" s="84"/>
      <c r="H30" s="101">
        <v>25</v>
      </c>
      <c r="I30" s="102">
        <f t="shared" si="1"/>
        <v>16.109527466600937</v>
      </c>
      <c r="J30" s="101">
        <f t="shared" si="6"/>
        <v>2</v>
      </c>
      <c r="K30" s="101">
        <f t="shared" si="2"/>
        <v>20</v>
      </c>
      <c r="L30" s="101"/>
      <c r="M30" s="103">
        <f t="shared" si="3"/>
        <v>36.109527466600937</v>
      </c>
      <c r="N30" s="103">
        <f t="shared" si="4"/>
        <v>43.331432959921123</v>
      </c>
    </row>
    <row r="31" spans="1:20" x14ac:dyDescent="0.25">
      <c r="A31" s="138">
        <f t="shared" si="5"/>
        <v>42.835902753408966</v>
      </c>
      <c r="B31" s="44">
        <f t="shared" si="0"/>
        <v>26</v>
      </c>
      <c r="C31" s="45" t="s">
        <v>164</v>
      </c>
      <c r="D31" s="45" t="s">
        <v>145</v>
      </c>
      <c r="E31" s="45" t="s">
        <v>139</v>
      </c>
      <c r="F31" s="45" t="s">
        <v>107</v>
      </c>
      <c r="G31" s="84"/>
      <c r="H31" s="104">
        <v>26</v>
      </c>
      <c r="I31" s="105">
        <f t="shared" si="1"/>
        <v>15.696585627840804</v>
      </c>
      <c r="J31" s="104">
        <f t="shared" si="6"/>
        <v>2</v>
      </c>
      <c r="K31" s="104">
        <f t="shared" si="2"/>
        <v>20</v>
      </c>
      <c r="L31" s="104"/>
      <c r="M31" s="106">
        <f t="shared" si="3"/>
        <v>35.696585627840804</v>
      </c>
      <c r="N31" s="106">
        <f t="shared" si="4"/>
        <v>42.835902753408966</v>
      </c>
    </row>
    <row r="32" spans="1:20" x14ac:dyDescent="0.25">
      <c r="A32" s="137">
        <f t="shared" si="5"/>
        <v>42.35907632636038</v>
      </c>
      <c r="B32" s="38">
        <f t="shared" si="0"/>
        <v>27</v>
      </c>
      <c r="C32" s="39" t="s">
        <v>165</v>
      </c>
      <c r="D32" s="39" t="s">
        <v>166</v>
      </c>
      <c r="E32" s="39" t="s">
        <v>139</v>
      </c>
      <c r="F32" s="39" t="s">
        <v>107</v>
      </c>
      <c r="G32" s="84"/>
      <c r="H32" s="101">
        <v>27</v>
      </c>
      <c r="I32" s="102">
        <f t="shared" si="1"/>
        <v>15.299230271966984</v>
      </c>
      <c r="J32" s="101">
        <f t="shared" si="6"/>
        <v>2</v>
      </c>
      <c r="K32" s="101">
        <f t="shared" si="2"/>
        <v>20</v>
      </c>
      <c r="L32" s="101"/>
      <c r="M32" s="103">
        <f t="shared" si="3"/>
        <v>35.299230271966984</v>
      </c>
      <c r="N32" s="103">
        <f t="shared" si="4"/>
        <v>42.35907632636038</v>
      </c>
      <c r="S32" s="114"/>
      <c r="T32" s="115"/>
    </row>
    <row r="33" spans="1:20" ht="25.5" x14ac:dyDescent="0.25">
      <c r="A33" s="138">
        <f t="shared" si="5"/>
        <v>41.899592936654436</v>
      </c>
      <c r="B33" s="44">
        <f t="shared" si="0"/>
        <v>28</v>
      </c>
      <c r="C33" s="45" t="s">
        <v>167</v>
      </c>
      <c r="D33" s="45" t="s">
        <v>168</v>
      </c>
      <c r="E33" s="45" t="s">
        <v>113</v>
      </c>
      <c r="F33" s="45" t="s">
        <v>107</v>
      </c>
      <c r="G33" s="84"/>
      <c r="H33" s="104">
        <v>28</v>
      </c>
      <c r="I33" s="105">
        <f t="shared" si="1"/>
        <v>14.916327447212034</v>
      </c>
      <c r="J33" s="104">
        <f t="shared" si="6"/>
        <v>2</v>
      </c>
      <c r="K33" s="104">
        <f t="shared" si="2"/>
        <v>20</v>
      </c>
      <c r="L33" s="104"/>
      <c r="M33" s="106">
        <f t="shared" si="3"/>
        <v>34.916327447212034</v>
      </c>
      <c r="N33" s="106">
        <f t="shared" si="4"/>
        <v>41.899592936654436</v>
      </c>
    </row>
    <row r="34" spans="1:20" ht="38.25" x14ac:dyDescent="0.25">
      <c r="A34" s="137">
        <f t="shared" si="5"/>
        <v>41.456235140356746</v>
      </c>
      <c r="B34" s="38">
        <f t="shared" si="0"/>
        <v>29</v>
      </c>
      <c r="C34" s="39" t="s">
        <v>169</v>
      </c>
      <c r="D34" s="39" t="s">
        <v>170</v>
      </c>
      <c r="E34" s="39" t="s">
        <v>106</v>
      </c>
      <c r="F34" s="39" t="s">
        <v>107</v>
      </c>
      <c r="G34" s="84"/>
      <c r="H34" s="101">
        <v>29</v>
      </c>
      <c r="I34" s="102">
        <f t="shared" si="1"/>
        <v>14.546862616963956</v>
      </c>
      <c r="J34" s="101">
        <f t="shared" si="6"/>
        <v>2</v>
      </c>
      <c r="K34" s="101">
        <f t="shared" si="2"/>
        <v>20</v>
      </c>
      <c r="L34" s="101"/>
      <c r="M34" s="103">
        <f t="shared" si="3"/>
        <v>34.546862616963956</v>
      </c>
      <c r="N34" s="103">
        <f t="shared" si="4"/>
        <v>41.456235140356746</v>
      </c>
    </row>
    <row r="35" spans="1:20" s="91" customFormat="1" x14ac:dyDescent="0.25">
      <c r="A35" s="138">
        <f t="shared" si="5"/>
        <v>41.027909351448258</v>
      </c>
      <c r="B35" s="44">
        <f t="shared" si="0"/>
        <v>30</v>
      </c>
      <c r="C35" s="45" t="s">
        <v>171</v>
      </c>
      <c r="D35" s="45" t="s">
        <v>172</v>
      </c>
      <c r="E35" s="45" t="s">
        <v>136</v>
      </c>
      <c r="F35" s="45" t="s">
        <v>107</v>
      </c>
      <c r="G35" s="84"/>
      <c r="H35" s="104">
        <v>30</v>
      </c>
      <c r="I35" s="105">
        <f t="shared" si="1"/>
        <v>14.189924459540215</v>
      </c>
      <c r="J35" s="104">
        <f t="shared" si="6"/>
        <v>2</v>
      </c>
      <c r="K35" s="104">
        <f t="shared" si="2"/>
        <v>20</v>
      </c>
      <c r="L35" s="104"/>
      <c r="M35" s="106">
        <f t="shared" si="3"/>
        <v>34.189924459540215</v>
      </c>
      <c r="N35" s="106">
        <f t="shared" si="4"/>
        <v>41.027909351448258</v>
      </c>
      <c r="O35" s="84"/>
      <c r="P35" s="84"/>
      <c r="Q35" s="84"/>
      <c r="R35" s="84"/>
      <c r="S35" s="84"/>
    </row>
    <row r="36" spans="1:20" s="91" customFormat="1" x14ac:dyDescent="0.25">
      <c r="A36" s="137">
        <f t="shared" si="5"/>
        <v>40.613629590356908</v>
      </c>
      <c r="B36" s="38">
        <f t="shared" si="0"/>
        <v>31</v>
      </c>
      <c r="C36" s="39" t="s">
        <v>173</v>
      </c>
      <c r="D36" s="39" t="s">
        <v>174</v>
      </c>
      <c r="E36" s="39" t="s">
        <v>148</v>
      </c>
      <c r="F36" s="39" t="s">
        <v>107</v>
      </c>
      <c r="G36" s="84"/>
      <c r="H36" s="101">
        <v>31</v>
      </c>
      <c r="I36" s="102">
        <f t="shared" si="1"/>
        <v>13.844691325297426</v>
      </c>
      <c r="J36" s="101">
        <f t="shared" si="6"/>
        <v>2</v>
      </c>
      <c r="K36" s="101">
        <f t="shared" si="2"/>
        <v>20</v>
      </c>
      <c r="L36" s="101"/>
      <c r="M36" s="103">
        <f t="shared" si="3"/>
        <v>33.844691325297426</v>
      </c>
      <c r="N36" s="103">
        <f t="shared" si="4"/>
        <v>40.613629590356908</v>
      </c>
      <c r="O36" s="84"/>
      <c r="P36" s="84"/>
      <c r="Q36" s="84"/>
      <c r="R36" s="84"/>
      <c r="S36" s="114"/>
      <c r="T36" s="115"/>
    </row>
    <row r="37" spans="1:20" s="91" customFormat="1" x14ac:dyDescent="0.25">
      <c r="A37" s="138">
        <f t="shared" ref="A37:A100" si="8">N37</f>
        <v>40.212503813504483</v>
      </c>
      <c r="B37" s="44">
        <f t="shared" si="0"/>
        <v>32</v>
      </c>
      <c r="C37" s="45" t="s">
        <v>175</v>
      </c>
      <c r="D37" s="45" t="s">
        <v>176</v>
      </c>
      <c r="E37" s="45" t="s">
        <v>139</v>
      </c>
      <c r="F37" s="45" t="s">
        <v>107</v>
      </c>
      <c r="G37" s="84"/>
      <c r="H37" s="104">
        <v>32</v>
      </c>
      <c r="I37" s="105">
        <f t="shared" ref="I37:I100" si="9">IF(H37&lt;$H$2+1,($I$2-($I$2-1)*(LOG(H37)/LOG($H$2))),"")</f>
        <v>13.510419844587069</v>
      </c>
      <c r="J37" s="104">
        <f t="shared" ref="J37:J100" si="10">INT(LOG($H$2,2))-ROUNDUP(LOG(H37,2),0)+IF(OR($H$2=1,$H$2=2,$H$2=4,$H$2=8,$H$2=16,$H$2=32,$H$2=64,$H$2=128,$H$2=256),0,1)</f>
        <v>2</v>
      </c>
      <c r="K37" s="104">
        <f t="shared" ref="K37:K100" si="11">J37*$J$2</f>
        <v>20</v>
      </c>
      <c r="L37" s="104"/>
      <c r="M37" s="106">
        <f t="shared" ref="M37:M100" si="12">IF(I37&lt;&gt;"",K37+I37+L37,0)</f>
        <v>33.510419844587069</v>
      </c>
      <c r="N37" s="106">
        <f t="shared" ref="N37:N100" si="13">IF(I37&lt;&gt;"",M37*L$2,0)</f>
        <v>40.212503813504483</v>
      </c>
      <c r="O37" s="84"/>
      <c r="P37" s="84"/>
      <c r="Q37" s="84"/>
      <c r="R37" s="84"/>
      <c r="S37" s="84"/>
    </row>
    <row r="38" spans="1:20" s="91" customFormat="1" ht="38.25" x14ac:dyDescent="0.25">
      <c r="A38" s="137">
        <f t="shared" si="8"/>
        <v>27.823722347082263</v>
      </c>
      <c r="B38" s="38">
        <f t="shared" si="0"/>
        <v>33</v>
      </c>
      <c r="C38" s="39" t="s">
        <v>177</v>
      </c>
      <c r="D38" s="39" t="s">
        <v>178</v>
      </c>
      <c r="E38" s="39" t="s">
        <v>110</v>
      </c>
      <c r="F38" s="39" t="s">
        <v>107</v>
      </c>
      <c r="G38" s="84"/>
      <c r="H38" s="101">
        <v>33</v>
      </c>
      <c r="I38" s="102">
        <f t="shared" si="9"/>
        <v>13.18643528923522</v>
      </c>
      <c r="J38" s="101">
        <f t="shared" si="10"/>
        <v>1</v>
      </c>
      <c r="K38" s="101">
        <f t="shared" si="11"/>
        <v>10</v>
      </c>
      <c r="L38" s="101"/>
      <c r="M38" s="103">
        <f t="shared" si="12"/>
        <v>23.18643528923522</v>
      </c>
      <c r="N38" s="103">
        <f t="shared" si="13"/>
        <v>27.823722347082263</v>
      </c>
      <c r="O38" s="84"/>
      <c r="P38" s="84"/>
      <c r="Q38" s="84"/>
      <c r="R38" s="84"/>
      <c r="S38" s="114"/>
      <c r="T38" s="115"/>
    </row>
    <row r="39" spans="1:20" s="91" customFormat="1" x14ac:dyDescent="0.25">
      <c r="A39" s="138">
        <f t="shared" si="8"/>
        <v>27.446548047962615</v>
      </c>
      <c r="B39" s="44">
        <f t="shared" si="0"/>
        <v>34</v>
      </c>
      <c r="C39" s="45" t="s">
        <v>179</v>
      </c>
      <c r="D39" s="45" t="s">
        <v>180</v>
      </c>
      <c r="E39" s="45" t="s">
        <v>136</v>
      </c>
      <c r="F39" s="45" t="s">
        <v>107</v>
      </c>
      <c r="G39" s="84"/>
      <c r="H39" s="104">
        <v>34</v>
      </c>
      <c r="I39" s="105">
        <f t="shared" si="9"/>
        <v>12.87212337330218</v>
      </c>
      <c r="J39" s="104">
        <f t="shared" si="10"/>
        <v>1</v>
      </c>
      <c r="K39" s="104">
        <f t="shared" si="11"/>
        <v>10</v>
      </c>
      <c r="L39" s="104"/>
      <c r="M39" s="106">
        <f t="shared" si="12"/>
        <v>22.87212337330218</v>
      </c>
      <c r="N39" s="106">
        <f t="shared" si="13"/>
        <v>27.446548047962615</v>
      </c>
      <c r="O39" s="84"/>
      <c r="P39" s="84"/>
      <c r="Q39" s="84"/>
      <c r="R39" s="84"/>
      <c r="S39" s="84"/>
    </row>
    <row r="40" spans="1:20" s="91" customFormat="1" x14ac:dyDescent="0.25">
      <c r="A40" s="137">
        <f t="shared" si="8"/>
        <v>27.080307891213209</v>
      </c>
      <c r="B40" s="38">
        <f t="shared" si="0"/>
        <v>35</v>
      </c>
      <c r="C40" s="39" t="s">
        <v>181</v>
      </c>
      <c r="D40" s="39" t="s">
        <v>182</v>
      </c>
      <c r="E40" s="39" t="s">
        <v>183</v>
      </c>
      <c r="F40" s="39" t="s">
        <v>107</v>
      </c>
      <c r="G40" s="84"/>
      <c r="H40" s="101">
        <v>35</v>
      </c>
      <c r="I40" s="102">
        <f t="shared" si="9"/>
        <v>12.566923242677674</v>
      </c>
      <c r="J40" s="101">
        <f t="shared" si="10"/>
        <v>1</v>
      </c>
      <c r="K40" s="101">
        <f t="shared" si="11"/>
        <v>10</v>
      </c>
      <c r="L40" s="101"/>
      <c r="M40" s="103">
        <f t="shared" si="12"/>
        <v>22.566923242677674</v>
      </c>
      <c r="N40" s="103">
        <f t="shared" si="13"/>
        <v>27.080307891213209</v>
      </c>
      <c r="O40" s="84"/>
      <c r="P40" s="84"/>
      <c r="Q40" s="84"/>
      <c r="R40" s="84"/>
      <c r="S40" s="114"/>
      <c r="T40" s="115"/>
    </row>
    <row r="41" spans="1:20" s="91" customFormat="1" x14ac:dyDescent="0.25">
      <c r="A41" s="138">
        <f t="shared" si="8"/>
        <v>26.724385742975382</v>
      </c>
      <c r="B41" s="44">
        <f t="shared" si="0"/>
        <v>36</v>
      </c>
      <c r="C41" s="45" t="s">
        <v>184</v>
      </c>
      <c r="D41" s="45" t="s">
        <v>185</v>
      </c>
      <c r="E41" s="45" t="s">
        <v>127</v>
      </c>
      <c r="F41" s="45" t="s">
        <v>107</v>
      </c>
      <c r="G41" s="84"/>
      <c r="H41" s="104">
        <v>36</v>
      </c>
      <c r="I41" s="105">
        <f t="shared" si="9"/>
        <v>12.270321452479486</v>
      </c>
      <c r="J41" s="104">
        <f t="shared" si="10"/>
        <v>1</v>
      </c>
      <c r="K41" s="104">
        <f t="shared" si="11"/>
        <v>10</v>
      </c>
      <c r="L41" s="104"/>
      <c r="M41" s="106">
        <f t="shared" si="12"/>
        <v>22.270321452479486</v>
      </c>
      <c r="N41" s="106">
        <f t="shared" si="13"/>
        <v>26.724385742975382</v>
      </c>
      <c r="O41" s="84"/>
      <c r="P41" s="84"/>
      <c r="Q41" s="84"/>
      <c r="R41" s="84"/>
      <c r="S41" s="84"/>
    </row>
    <row r="42" spans="1:20" s="91" customFormat="1" x14ac:dyDescent="0.25">
      <c r="A42" s="137">
        <f t="shared" si="8"/>
        <v>26.378216123759223</v>
      </c>
      <c r="B42" s="38">
        <f t="shared" si="0"/>
        <v>37</v>
      </c>
      <c r="C42" s="39" t="s">
        <v>186</v>
      </c>
      <c r="D42" s="39" t="s">
        <v>187</v>
      </c>
      <c r="E42" s="39" t="s">
        <v>188</v>
      </c>
      <c r="F42" s="39" t="s">
        <v>107</v>
      </c>
      <c r="G42" s="84"/>
      <c r="H42" s="101">
        <v>37</v>
      </c>
      <c r="I42" s="102">
        <f t="shared" si="9"/>
        <v>11.981846769799354</v>
      </c>
      <c r="J42" s="101">
        <f t="shared" si="10"/>
        <v>1</v>
      </c>
      <c r="K42" s="101">
        <f t="shared" si="11"/>
        <v>10</v>
      </c>
      <c r="L42" s="101"/>
      <c r="M42" s="103">
        <f t="shared" si="12"/>
        <v>21.981846769799354</v>
      </c>
      <c r="N42" s="103">
        <f t="shared" si="13"/>
        <v>26.378216123759223</v>
      </c>
      <c r="O42" s="84"/>
      <c r="P42" s="84"/>
      <c r="Q42" s="84"/>
      <c r="R42" s="84"/>
      <c r="S42" s="114"/>
      <c r="T42" s="115"/>
    </row>
    <row r="43" spans="1:20" s="91" customFormat="1" x14ac:dyDescent="0.25">
      <c r="A43" s="138">
        <f t="shared" si="8"/>
        <v>26.041278803616823</v>
      </c>
      <c r="B43" s="44">
        <f t="shared" si="0"/>
        <v>38</v>
      </c>
      <c r="C43" s="45" t="s">
        <v>189</v>
      </c>
      <c r="D43" s="45" t="s">
        <v>190</v>
      </c>
      <c r="E43" s="45" t="s">
        <v>191</v>
      </c>
      <c r="F43" s="45" t="s">
        <v>107</v>
      </c>
      <c r="G43" s="84"/>
      <c r="H43" s="104">
        <v>38</v>
      </c>
      <c r="I43" s="105">
        <f t="shared" si="9"/>
        <v>11.701065669680688</v>
      </c>
      <c r="J43" s="104">
        <f t="shared" si="10"/>
        <v>1</v>
      </c>
      <c r="K43" s="104">
        <f t="shared" si="11"/>
        <v>10</v>
      </c>
      <c r="L43" s="104"/>
      <c r="M43" s="106">
        <f t="shared" si="12"/>
        <v>21.701065669680688</v>
      </c>
      <c r="N43" s="106">
        <f t="shared" si="13"/>
        <v>26.041278803616823</v>
      </c>
      <c r="O43" s="84"/>
      <c r="P43" s="84"/>
      <c r="Q43" s="84"/>
      <c r="R43" s="84"/>
      <c r="S43" s="84"/>
    </row>
    <row r="44" spans="1:20" s="91" customFormat="1" ht="25.5" x14ac:dyDescent="0.25">
      <c r="A44" s="137">
        <f t="shared" si="8"/>
        <v>25.713094099494874</v>
      </c>
      <c r="B44" s="38">
        <f t="shared" si="0"/>
        <v>39</v>
      </c>
      <c r="C44" s="39" t="s">
        <v>192</v>
      </c>
      <c r="D44" s="39" t="s">
        <v>193</v>
      </c>
      <c r="E44" s="39" t="s">
        <v>194</v>
      </c>
      <c r="F44" s="39" t="s">
        <v>107</v>
      </c>
      <c r="G44" s="84"/>
      <c r="H44" s="101">
        <v>39</v>
      </c>
      <c r="I44" s="102">
        <f t="shared" si="9"/>
        <v>11.42757841624573</v>
      </c>
      <c r="J44" s="101">
        <f t="shared" si="10"/>
        <v>1</v>
      </c>
      <c r="K44" s="101">
        <f t="shared" si="11"/>
        <v>10</v>
      </c>
      <c r="L44" s="101"/>
      <c r="M44" s="103">
        <f t="shared" si="12"/>
        <v>21.42757841624573</v>
      </c>
      <c r="N44" s="103">
        <f t="shared" si="13"/>
        <v>25.713094099494874</v>
      </c>
      <c r="O44" s="84"/>
      <c r="P44" s="84"/>
      <c r="Q44" s="84"/>
      <c r="R44" s="84"/>
      <c r="S44" s="114"/>
      <c r="T44" s="115"/>
    </row>
    <row r="45" spans="1:20" s="91" customFormat="1" x14ac:dyDescent="0.25">
      <c r="A45" s="138">
        <f t="shared" si="8"/>
        <v>25.393218768063253</v>
      </c>
      <c r="B45" s="44">
        <f t="shared" si="0"/>
        <v>40</v>
      </c>
      <c r="C45" s="45" t="s">
        <v>195</v>
      </c>
      <c r="D45" s="45" t="s">
        <v>196</v>
      </c>
      <c r="E45" s="45" t="s">
        <v>197</v>
      </c>
      <c r="F45" s="45" t="s">
        <v>107</v>
      </c>
      <c r="G45" s="84"/>
      <c r="H45" s="104">
        <v>40</v>
      </c>
      <c r="I45" s="105">
        <f t="shared" si="9"/>
        <v>11.16101564005271</v>
      </c>
      <c r="J45" s="104">
        <f t="shared" si="10"/>
        <v>1</v>
      </c>
      <c r="K45" s="104">
        <f t="shared" si="11"/>
        <v>10</v>
      </c>
      <c r="L45" s="104"/>
      <c r="M45" s="106">
        <f t="shared" si="12"/>
        <v>21.16101564005271</v>
      </c>
      <c r="N45" s="106">
        <f t="shared" si="13"/>
        <v>25.393218768063253</v>
      </c>
      <c r="O45" s="84"/>
      <c r="P45" s="84"/>
      <c r="Q45" s="84"/>
      <c r="R45" s="84"/>
      <c r="S45" s="84"/>
    </row>
    <row r="46" spans="1:20" s="91" customFormat="1" x14ac:dyDescent="0.25">
      <c r="A46" s="137">
        <f t="shared" si="8"/>
        <v>25.081242405766847</v>
      </c>
      <c r="B46" s="38">
        <f t="shared" si="0"/>
        <v>41</v>
      </c>
      <c r="C46" s="39" t="s">
        <v>198</v>
      </c>
      <c r="D46" s="39" t="s">
        <v>199</v>
      </c>
      <c r="E46" s="39" t="s">
        <v>139</v>
      </c>
      <c r="F46" s="39" t="s">
        <v>107</v>
      </c>
      <c r="G46" s="84"/>
      <c r="H46" s="101">
        <v>41</v>
      </c>
      <c r="I46" s="102">
        <f t="shared" si="9"/>
        <v>10.901035338139039</v>
      </c>
      <c r="J46" s="101">
        <f t="shared" si="10"/>
        <v>1</v>
      </c>
      <c r="K46" s="101">
        <f t="shared" si="11"/>
        <v>10</v>
      </c>
      <c r="L46" s="101"/>
      <c r="M46" s="103">
        <f t="shared" si="12"/>
        <v>20.901035338139039</v>
      </c>
      <c r="N46" s="103">
        <f t="shared" si="13"/>
        <v>25.081242405766847</v>
      </c>
      <c r="O46" s="84"/>
      <c r="P46" s="84"/>
      <c r="Q46" s="84"/>
      <c r="R46" s="84"/>
      <c r="S46" s="114"/>
      <c r="T46" s="115"/>
    </row>
    <row r="47" spans="1:20" s="91" customFormat="1" x14ac:dyDescent="0.25">
      <c r="A47" s="138">
        <f t="shared" si="8"/>
        <v>24.776784282740334</v>
      </c>
      <c r="B47" s="44">
        <f t="shared" si="0"/>
        <v>42</v>
      </c>
      <c r="C47" s="45" t="s">
        <v>200</v>
      </c>
      <c r="D47" s="45" t="s">
        <v>201</v>
      </c>
      <c r="E47" s="45" t="s">
        <v>106</v>
      </c>
      <c r="F47" s="45" t="s">
        <v>107</v>
      </c>
      <c r="G47" s="84"/>
      <c r="H47" s="104">
        <v>42</v>
      </c>
      <c r="I47" s="105">
        <f t="shared" si="9"/>
        <v>10.647320235616945</v>
      </c>
      <c r="J47" s="104">
        <f t="shared" si="10"/>
        <v>1</v>
      </c>
      <c r="K47" s="104">
        <f t="shared" si="11"/>
        <v>10</v>
      </c>
      <c r="L47" s="104"/>
      <c r="M47" s="106">
        <f t="shared" si="12"/>
        <v>20.647320235616945</v>
      </c>
      <c r="N47" s="106">
        <f t="shared" si="13"/>
        <v>24.776784282740334</v>
      </c>
      <c r="O47" s="84"/>
      <c r="P47" s="84"/>
      <c r="Q47" s="84"/>
      <c r="R47" s="84"/>
      <c r="S47" s="84"/>
    </row>
    <row r="48" spans="1:20" s="91" customFormat="1" x14ac:dyDescent="0.25">
      <c r="A48" s="137">
        <f t="shared" si="8"/>
        <v>24.479490549313372</v>
      </c>
      <c r="B48" s="38">
        <f t="shared" si="0"/>
        <v>43</v>
      </c>
      <c r="C48" s="39" t="s">
        <v>202</v>
      </c>
      <c r="D48" s="39" t="s">
        <v>203</v>
      </c>
      <c r="E48" s="39" t="s">
        <v>197</v>
      </c>
      <c r="F48" s="39" t="s">
        <v>107</v>
      </c>
      <c r="G48" s="84"/>
      <c r="H48" s="101">
        <v>43</v>
      </c>
      <c r="I48" s="102">
        <f t="shared" si="9"/>
        <v>10.399575457761145</v>
      </c>
      <c r="J48" s="101">
        <f t="shared" si="10"/>
        <v>1</v>
      </c>
      <c r="K48" s="101">
        <f t="shared" si="11"/>
        <v>10</v>
      </c>
      <c r="L48" s="101"/>
      <c r="M48" s="103">
        <f t="shared" si="12"/>
        <v>20.399575457761145</v>
      </c>
      <c r="N48" s="103">
        <f t="shared" si="13"/>
        <v>24.479490549313372</v>
      </c>
      <c r="O48" s="84"/>
      <c r="P48" s="84"/>
      <c r="Q48" s="84"/>
      <c r="R48" s="84"/>
      <c r="S48" s="114"/>
      <c r="T48" s="115"/>
    </row>
    <row r="49" spans="1:20" s="91" customFormat="1" x14ac:dyDescent="0.25">
      <c r="A49" s="138">
        <f t="shared" si="8"/>
        <v>24.189031763697258</v>
      </c>
      <c r="B49" s="44">
        <f t="shared" si="0"/>
        <v>44</v>
      </c>
      <c r="C49" s="45" t="s">
        <v>204</v>
      </c>
      <c r="D49" s="45" t="s">
        <v>205</v>
      </c>
      <c r="E49" s="45" t="s">
        <v>139</v>
      </c>
      <c r="F49" s="45" t="s">
        <v>107</v>
      </c>
      <c r="G49" s="84"/>
      <c r="H49" s="104">
        <v>44</v>
      </c>
      <c r="I49" s="105">
        <f t="shared" si="9"/>
        <v>10.157526469747715</v>
      </c>
      <c r="J49" s="104">
        <f t="shared" si="10"/>
        <v>1</v>
      </c>
      <c r="K49" s="104">
        <f t="shared" si="11"/>
        <v>10</v>
      </c>
      <c r="L49" s="104"/>
      <c r="M49" s="106">
        <f t="shared" si="12"/>
        <v>20.157526469747715</v>
      </c>
      <c r="N49" s="106">
        <f t="shared" si="13"/>
        <v>24.189031763697258</v>
      </c>
      <c r="O49" s="84"/>
      <c r="P49" s="84"/>
      <c r="Q49" s="84"/>
      <c r="R49" s="84"/>
      <c r="S49" s="84"/>
    </row>
    <row r="50" spans="1:20" s="91" customFormat="1" x14ac:dyDescent="0.25">
      <c r="A50" s="137">
        <f t="shared" si="8"/>
        <v>23.905100697534152</v>
      </c>
      <c r="B50" s="38">
        <f t="shared" si="0"/>
        <v>45</v>
      </c>
      <c r="C50" s="39" t="s">
        <v>16</v>
      </c>
      <c r="D50" s="39" t="s">
        <v>206</v>
      </c>
      <c r="E50" s="39" t="s">
        <v>207</v>
      </c>
      <c r="F50" s="39" t="s">
        <v>107</v>
      </c>
      <c r="G50" s="84"/>
      <c r="H50" s="101">
        <v>45</v>
      </c>
      <c r="I50" s="102">
        <f t="shared" si="9"/>
        <v>9.9209172479451269</v>
      </c>
      <c r="J50" s="101">
        <f t="shared" si="10"/>
        <v>1</v>
      </c>
      <c r="K50" s="101">
        <f t="shared" si="11"/>
        <v>10</v>
      </c>
      <c r="L50" s="101"/>
      <c r="M50" s="103">
        <f t="shared" si="12"/>
        <v>19.920917247945127</v>
      </c>
      <c r="N50" s="103">
        <f t="shared" si="13"/>
        <v>23.905100697534152</v>
      </c>
      <c r="O50" s="84"/>
      <c r="P50" s="84"/>
      <c r="Q50" s="84"/>
      <c r="R50" s="84"/>
      <c r="S50" s="114"/>
      <c r="T50" s="115"/>
    </row>
    <row r="51" spans="1:20" s="91" customFormat="1" x14ac:dyDescent="0.25">
      <c r="A51" s="138">
        <f t="shared" si="8"/>
        <v>23.627410382656368</v>
      </c>
      <c r="B51" s="44">
        <f t="shared" si="0"/>
        <v>46</v>
      </c>
      <c r="C51" s="45" t="s">
        <v>208</v>
      </c>
      <c r="D51" s="45" t="s">
        <v>209</v>
      </c>
      <c r="E51" s="45" t="s">
        <v>113</v>
      </c>
      <c r="F51" s="45" t="s">
        <v>107</v>
      </c>
      <c r="G51" s="84"/>
      <c r="H51" s="104">
        <v>46</v>
      </c>
      <c r="I51" s="105">
        <f t="shared" si="9"/>
        <v>9.6895086522136396</v>
      </c>
      <c r="J51" s="104">
        <f t="shared" si="10"/>
        <v>1</v>
      </c>
      <c r="K51" s="104">
        <f t="shared" si="11"/>
        <v>10</v>
      </c>
      <c r="L51" s="104"/>
      <c r="M51" s="106">
        <f t="shared" si="12"/>
        <v>19.68950865221364</v>
      </c>
      <c r="N51" s="106">
        <f t="shared" si="13"/>
        <v>23.627410382656368</v>
      </c>
      <c r="O51" s="84"/>
      <c r="P51" s="84"/>
      <c r="Q51" s="84"/>
      <c r="R51" s="84"/>
      <c r="S51" s="84"/>
    </row>
    <row r="52" spans="1:20" s="91" customFormat="1" x14ac:dyDescent="0.25">
      <c r="A52" s="137">
        <f t="shared" si="8"/>
        <v>23.355692367922984</v>
      </c>
      <c r="B52" s="38">
        <f t="shared" si="0"/>
        <v>47</v>
      </c>
      <c r="C52" s="39" t="s">
        <v>210</v>
      </c>
      <c r="D52" s="39" t="s">
        <v>211</v>
      </c>
      <c r="E52" s="39" t="s">
        <v>139</v>
      </c>
      <c r="F52" s="39" t="s">
        <v>107</v>
      </c>
      <c r="G52" s="84"/>
      <c r="H52" s="101">
        <v>47</v>
      </c>
      <c r="I52" s="102">
        <f t="shared" si="9"/>
        <v>9.4630769732691533</v>
      </c>
      <c r="J52" s="101">
        <f t="shared" si="10"/>
        <v>1</v>
      </c>
      <c r="K52" s="101">
        <f t="shared" si="11"/>
        <v>10</v>
      </c>
      <c r="L52" s="101"/>
      <c r="M52" s="103">
        <f t="shared" si="12"/>
        <v>19.463076973269153</v>
      </c>
      <c r="N52" s="103">
        <f t="shared" si="13"/>
        <v>23.355692367922984</v>
      </c>
      <c r="O52" s="84"/>
      <c r="P52" s="84"/>
      <c r="Q52" s="84"/>
      <c r="R52" s="84"/>
      <c r="S52" s="114"/>
      <c r="T52" s="115"/>
    </row>
    <row r="53" spans="1:20" s="91" customFormat="1" x14ac:dyDescent="0.25">
      <c r="A53" s="138">
        <f t="shared" si="8"/>
        <v>23.089695159590377</v>
      </c>
      <c r="B53" s="44">
        <f t="shared" si="0"/>
        <v>48</v>
      </c>
      <c r="C53" s="45" t="s">
        <v>212</v>
      </c>
      <c r="D53" s="45" t="s">
        <v>213</v>
      </c>
      <c r="E53" s="45" t="s">
        <v>214</v>
      </c>
      <c r="F53" s="45" t="s">
        <v>107</v>
      </c>
      <c r="G53" s="84"/>
      <c r="H53" s="104">
        <v>48</v>
      </c>
      <c r="I53" s="105">
        <f t="shared" si="9"/>
        <v>9.241412632991981</v>
      </c>
      <c r="J53" s="104">
        <f t="shared" si="10"/>
        <v>1</v>
      </c>
      <c r="K53" s="104">
        <f t="shared" si="11"/>
        <v>10</v>
      </c>
      <c r="L53" s="104"/>
      <c r="M53" s="106">
        <f t="shared" si="12"/>
        <v>19.241412632991981</v>
      </c>
      <c r="N53" s="106">
        <f t="shared" si="13"/>
        <v>23.089695159590377</v>
      </c>
      <c r="O53" s="84"/>
      <c r="P53" s="84"/>
      <c r="Q53" s="84"/>
      <c r="R53" s="84"/>
      <c r="S53" s="84"/>
    </row>
    <row r="54" spans="1:20" s="91" customFormat="1" x14ac:dyDescent="0.25">
      <c r="A54" s="137">
        <f t="shared" si="8"/>
        <v>22.829182822505292</v>
      </c>
      <c r="B54" s="38">
        <f t="shared" si="0"/>
        <v>49</v>
      </c>
      <c r="C54" s="39" t="s">
        <v>215</v>
      </c>
      <c r="D54" s="39" t="s">
        <v>216</v>
      </c>
      <c r="E54" s="39" t="s">
        <v>161</v>
      </c>
      <c r="F54" s="39" t="s">
        <v>107</v>
      </c>
      <c r="G54" s="84"/>
      <c r="H54" s="101">
        <v>49</v>
      </c>
      <c r="I54" s="102">
        <f t="shared" si="9"/>
        <v>9.0243190187544116</v>
      </c>
      <c r="J54" s="101">
        <f t="shared" si="10"/>
        <v>1</v>
      </c>
      <c r="K54" s="101">
        <f t="shared" si="11"/>
        <v>10</v>
      </c>
      <c r="L54" s="101"/>
      <c r="M54" s="103">
        <f t="shared" si="12"/>
        <v>19.024319018754412</v>
      </c>
      <c r="N54" s="103">
        <f t="shared" si="13"/>
        <v>22.829182822505292</v>
      </c>
      <c r="O54" s="84"/>
      <c r="P54" s="84"/>
      <c r="Q54" s="84"/>
      <c r="R54" s="84"/>
      <c r="S54" s="114"/>
      <c r="T54" s="115"/>
    </row>
    <row r="55" spans="1:20" s="91" customFormat="1" x14ac:dyDescent="0.25">
      <c r="A55" s="138">
        <f t="shared" si="8"/>
        <v>22.57393372262203</v>
      </c>
      <c r="B55" s="44">
        <f t="shared" si="0"/>
        <v>50</v>
      </c>
      <c r="C55" s="45" t="s">
        <v>217</v>
      </c>
      <c r="D55" s="45" t="s">
        <v>218</v>
      </c>
      <c r="E55" s="45" t="s">
        <v>106</v>
      </c>
      <c r="F55" s="45" t="s">
        <v>107</v>
      </c>
      <c r="G55" s="84"/>
      <c r="H55" s="104">
        <v>50</v>
      </c>
      <c r="I55" s="105">
        <f t="shared" si="9"/>
        <v>8.8116114355183583</v>
      </c>
      <c r="J55" s="104">
        <f t="shared" si="10"/>
        <v>1</v>
      </c>
      <c r="K55" s="104">
        <f t="shared" si="11"/>
        <v>10</v>
      </c>
      <c r="L55" s="104"/>
      <c r="M55" s="106">
        <f t="shared" si="12"/>
        <v>18.811611435518358</v>
      </c>
      <c r="N55" s="106">
        <f t="shared" si="13"/>
        <v>22.57393372262203</v>
      </c>
      <c r="O55" s="84"/>
      <c r="P55" s="84"/>
      <c r="Q55" s="84"/>
      <c r="R55" s="84"/>
      <c r="S55" s="84"/>
    </row>
    <row r="56" spans="1:20" s="91" customFormat="1" x14ac:dyDescent="0.25">
      <c r="A56" s="137">
        <f t="shared" si="8"/>
        <v>22.323739394048527</v>
      </c>
      <c r="B56" s="38">
        <f t="shared" si="0"/>
        <v>51</v>
      </c>
      <c r="C56" s="39" t="s">
        <v>219</v>
      </c>
      <c r="D56" s="39" t="s">
        <v>205</v>
      </c>
      <c r="E56" s="39" t="s">
        <v>136</v>
      </c>
      <c r="F56" s="39" t="s">
        <v>107</v>
      </c>
      <c r="G56" s="84"/>
      <c r="H56" s="101">
        <v>51</v>
      </c>
      <c r="I56" s="102">
        <f t="shared" si="9"/>
        <v>8.6031161617071064</v>
      </c>
      <c r="J56" s="101">
        <f t="shared" si="10"/>
        <v>1</v>
      </c>
      <c r="K56" s="101">
        <f t="shared" si="11"/>
        <v>10</v>
      </c>
      <c r="L56" s="101"/>
      <c r="M56" s="103">
        <f t="shared" si="12"/>
        <v>18.603116161707106</v>
      </c>
      <c r="N56" s="103">
        <f t="shared" si="13"/>
        <v>22.323739394048527</v>
      </c>
      <c r="O56" s="84"/>
      <c r="P56" s="84"/>
      <c r="Q56" s="84"/>
      <c r="R56" s="84"/>
      <c r="S56" s="114"/>
      <c r="T56" s="115"/>
    </row>
    <row r="57" spans="1:20" s="91" customFormat="1" x14ac:dyDescent="0.25">
      <c r="A57" s="138">
        <f t="shared" si="8"/>
        <v>22.078403516109869</v>
      </c>
      <c r="B57" s="44">
        <f t="shared" si="0"/>
        <v>52</v>
      </c>
      <c r="C57" s="45" t="s">
        <v>220</v>
      </c>
      <c r="D57" s="45" t="s">
        <v>221</v>
      </c>
      <c r="E57" s="45" t="s">
        <v>113</v>
      </c>
      <c r="F57" s="45" t="s">
        <v>107</v>
      </c>
      <c r="G57" s="84"/>
      <c r="H57" s="104">
        <v>52</v>
      </c>
      <c r="I57" s="105">
        <f t="shared" si="9"/>
        <v>8.398669596758225</v>
      </c>
      <c r="J57" s="104">
        <f t="shared" si="10"/>
        <v>1</v>
      </c>
      <c r="K57" s="104">
        <f t="shared" si="11"/>
        <v>10</v>
      </c>
      <c r="L57" s="104"/>
      <c r="M57" s="106">
        <f t="shared" si="12"/>
        <v>18.398669596758225</v>
      </c>
      <c r="N57" s="106">
        <f t="shared" si="13"/>
        <v>22.078403516109869</v>
      </c>
      <c r="O57" s="84"/>
      <c r="P57" s="84"/>
      <c r="Q57" s="84"/>
      <c r="R57" s="84"/>
      <c r="S57" s="84"/>
    </row>
    <row r="58" spans="1:20" s="91" customFormat="1" x14ac:dyDescent="0.25">
      <c r="A58" s="137">
        <f t="shared" si="8"/>
        <v>21.83774098785285</v>
      </c>
      <c r="B58" s="38">
        <f t="shared" si="0"/>
        <v>53</v>
      </c>
      <c r="C58" s="39" t="s">
        <v>222</v>
      </c>
      <c r="D58" s="39" t="s">
        <v>185</v>
      </c>
      <c r="E58" s="39" t="s">
        <v>127</v>
      </c>
      <c r="F58" s="39" t="s">
        <v>107</v>
      </c>
      <c r="G58" s="84"/>
      <c r="H58" s="101">
        <v>53</v>
      </c>
      <c r="I58" s="102">
        <f t="shared" si="9"/>
        <v>8.1981174898773759</v>
      </c>
      <c r="J58" s="101">
        <f t="shared" si="10"/>
        <v>1</v>
      </c>
      <c r="K58" s="101">
        <f t="shared" si="11"/>
        <v>10</v>
      </c>
      <c r="L58" s="101"/>
      <c r="M58" s="103">
        <f t="shared" si="12"/>
        <v>18.198117489877376</v>
      </c>
      <c r="N58" s="103">
        <f t="shared" si="13"/>
        <v>21.83774098785285</v>
      </c>
      <c r="O58" s="84"/>
      <c r="P58" s="84"/>
      <c r="Q58" s="84"/>
      <c r="R58" s="84"/>
      <c r="S58" s="114"/>
      <c r="T58" s="115"/>
    </row>
    <row r="59" spans="1:20" s="91" customFormat="1" ht="25.5" x14ac:dyDescent="0.25">
      <c r="A59" s="138">
        <f t="shared" si="8"/>
        <v>21.601577089061276</v>
      </c>
      <c r="B59" s="44">
        <f t="shared" si="0"/>
        <v>54</v>
      </c>
      <c r="C59" s="45" t="s">
        <v>223</v>
      </c>
      <c r="D59" s="45" t="s">
        <v>224</v>
      </c>
      <c r="E59" s="45" t="s">
        <v>110</v>
      </c>
      <c r="F59" s="45" t="s">
        <v>107</v>
      </c>
      <c r="G59" s="84"/>
      <c r="H59" s="104">
        <v>54</v>
      </c>
      <c r="I59" s="105">
        <f t="shared" si="9"/>
        <v>8.0013142408843976</v>
      </c>
      <c r="J59" s="104">
        <f t="shared" si="10"/>
        <v>1</v>
      </c>
      <c r="K59" s="104">
        <f t="shared" si="11"/>
        <v>10</v>
      </c>
      <c r="L59" s="104"/>
      <c r="M59" s="106">
        <f t="shared" si="12"/>
        <v>18.001314240884398</v>
      </c>
      <c r="N59" s="106">
        <f t="shared" si="13"/>
        <v>21.601577089061276</v>
      </c>
      <c r="O59" s="84"/>
      <c r="P59" s="84"/>
      <c r="Q59" s="84"/>
      <c r="R59" s="84"/>
      <c r="S59" s="84"/>
    </row>
    <row r="60" spans="1:20" s="91" customFormat="1" x14ac:dyDescent="0.25">
      <c r="A60" s="137">
        <f t="shared" si="8"/>
        <v>21.369746718256028</v>
      </c>
      <c r="B60" s="38">
        <f t="shared" si="0"/>
        <v>55</v>
      </c>
      <c r="C60" s="39" t="s">
        <v>225</v>
      </c>
      <c r="D60" s="39" t="s">
        <v>226</v>
      </c>
      <c r="E60" s="39" t="s">
        <v>106</v>
      </c>
      <c r="F60" s="39" t="s">
        <v>107</v>
      </c>
      <c r="G60" s="84"/>
      <c r="H60" s="101">
        <v>55</v>
      </c>
      <c r="I60" s="102">
        <f t="shared" si="9"/>
        <v>7.8081222652133562</v>
      </c>
      <c r="J60" s="101">
        <f t="shared" si="10"/>
        <v>1</v>
      </c>
      <c r="K60" s="101">
        <f t="shared" si="11"/>
        <v>10</v>
      </c>
      <c r="L60" s="101"/>
      <c r="M60" s="103">
        <f t="shared" si="12"/>
        <v>17.808122265213356</v>
      </c>
      <c r="N60" s="103">
        <f t="shared" si="13"/>
        <v>21.369746718256028</v>
      </c>
      <c r="O60" s="84"/>
      <c r="P60" s="84"/>
      <c r="Q60" s="84"/>
      <c r="R60" s="84"/>
      <c r="S60" s="114"/>
      <c r="T60" s="115"/>
    </row>
    <row r="61" spans="1:20" s="91" customFormat="1" x14ac:dyDescent="0.25">
      <c r="A61" s="138">
        <f t="shared" si="8"/>
        <v>21.142093699355335</v>
      </c>
      <c r="B61" s="44">
        <f t="shared" si="0"/>
        <v>56</v>
      </c>
      <c r="C61" s="45" t="s">
        <v>227</v>
      </c>
      <c r="D61" s="45" t="s">
        <v>228</v>
      </c>
      <c r="E61" s="45" t="s">
        <v>113</v>
      </c>
      <c r="F61" s="45" t="s">
        <v>107</v>
      </c>
      <c r="G61" s="84"/>
      <c r="H61" s="104">
        <v>56</v>
      </c>
      <c r="I61" s="105">
        <f t="shared" si="9"/>
        <v>7.6184114161294474</v>
      </c>
      <c r="J61" s="104">
        <f t="shared" si="10"/>
        <v>1</v>
      </c>
      <c r="K61" s="104">
        <f t="shared" si="11"/>
        <v>10</v>
      </c>
      <c r="L61" s="104"/>
      <c r="M61" s="106">
        <f t="shared" si="12"/>
        <v>17.618411416129447</v>
      </c>
      <c r="N61" s="106">
        <f t="shared" si="13"/>
        <v>21.142093699355335</v>
      </c>
      <c r="O61" s="84"/>
      <c r="P61" s="84"/>
      <c r="Q61" s="84"/>
      <c r="R61" s="84"/>
      <c r="S61" s="84"/>
    </row>
    <row r="62" spans="1:20" s="91" customFormat="1" x14ac:dyDescent="0.25">
      <c r="A62" s="137">
        <f t="shared" si="8"/>
        <v>20.91847014970271</v>
      </c>
      <c r="B62" s="38">
        <f t="shared" si="0"/>
        <v>57</v>
      </c>
      <c r="C62" s="39" t="s">
        <v>219</v>
      </c>
      <c r="D62" s="39" t="s">
        <v>229</v>
      </c>
      <c r="E62" s="39" t="s">
        <v>139</v>
      </c>
      <c r="F62" s="39" t="s">
        <v>107</v>
      </c>
      <c r="G62" s="84"/>
      <c r="H62" s="101">
        <v>57</v>
      </c>
      <c r="I62" s="102">
        <f t="shared" si="9"/>
        <v>7.4320584580855922</v>
      </c>
      <c r="J62" s="101">
        <f t="shared" si="10"/>
        <v>1</v>
      </c>
      <c r="K62" s="101">
        <f t="shared" si="11"/>
        <v>10</v>
      </c>
      <c r="L62" s="101"/>
      <c r="M62" s="103">
        <f t="shared" si="12"/>
        <v>17.432058458085592</v>
      </c>
      <c r="N62" s="103">
        <f t="shared" si="13"/>
        <v>20.91847014970271</v>
      </c>
      <c r="O62" s="84"/>
      <c r="P62" s="84"/>
      <c r="Q62" s="84"/>
      <c r="R62" s="84"/>
      <c r="S62" s="114"/>
      <c r="T62" s="115"/>
    </row>
    <row r="63" spans="1:20" s="91" customFormat="1" ht="38.25" x14ac:dyDescent="0.25">
      <c r="A63" s="138">
        <f t="shared" si="8"/>
        <v>20.698735903057642</v>
      </c>
      <c r="B63" s="44">
        <f t="shared" si="0"/>
        <v>58</v>
      </c>
      <c r="C63" s="45" t="s">
        <v>230</v>
      </c>
      <c r="D63" s="45" t="s">
        <v>231</v>
      </c>
      <c r="E63" s="45" t="s">
        <v>113</v>
      </c>
      <c r="F63" s="45" t="s">
        <v>107</v>
      </c>
      <c r="G63" s="84"/>
      <c r="H63" s="104">
        <v>58</v>
      </c>
      <c r="I63" s="105">
        <f t="shared" si="9"/>
        <v>7.2489465858813702</v>
      </c>
      <c r="J63" s="104">
        <f t="shared" si="10"/>
        <v>1</v>
      </c>
      <c r="K63" s="104">
        <f t="shared" si="11"/>
        <v>10</v>
      </c>
      <c r="L63" s="104"/>
      <c r="M63" s="106">
        <f t="shared" si="12"/>
        <v>17.24894658588137</v>
      </c>
      <c r="N63" s="106">
        <f t="shared" si="13"/>
        <v>20.698735903057642</v>
      </c>
      <c r="O63" s="84"/>
      <c r="P63" s="84"/>
      <c r="Q63" s="84"/>
      <c r="R63" s="84"/>
      <c r="S63" s="84"/>
    </row>
    <row r="64" spans="1:20" s="91" customFormat="1" x14ac:dyDescent="0.25">
      <c r="A64" s="137">
        <f t="shared" si="8"/>
        <v>20.482757981910805</v>
      </c>
      <c r="B64" s="38">
        <f t="shared" si="0"/>
        <v>59</v>
      </c>
      <c r="C64" s="39" t="s">
        <v>232</v>
      </c>
      <c r="D64" s="39" t="s">
        <v>233</v>
      </c>
      <c r="E64" s="39" t="s">
        <v>106</v>
      </c>
      <c r="F64" s="39" t="s">
        <v>107</v>
      </c>
      <c r="G64" s="84"/>
      <c r="H64" s="101">
        <v>59</v>
      </c>
      <c r="I64" s="102">
        <f t="shared" si="9"/>
        <v>7.068964984925671</v>
      </c>
      <c r="J64" s="101">
        <f t="shared" si="10"/>
        <v>1</v>
      </c>
      <c r="K64" s="101">
        <f t="shared" si="11"/>
        <v>10</v>
      </c>
      <c r="L64" s="101"/>
      <c r="M64" s="103">
        <f t="shared" si="12"/>
        <v>17.068964984925671</v>
      </c>
      <c r="N64" s="103">
        <f t="shared" si="13"/>
        <v>20.482757981910805</v>
      </c>
      <c r="O64" s="84"/>
      <c r="P64" s="84"/>
      <c r="Q64" s="84"/>
      <c r="R64" s="84"/>
      <c r="S64" s="114"/>
      <c r="T64" s="115"/>
    </row>
    <row r="65" spans="1:20" s="91" customFormat="1" x14ac:dyDescent="0.25">
      <c r="A65" s="138">
        <f t="shared" si="8"/>
        <v>20.270410114149154</v>
      </c>
      <c r="B65" s="44">
        <f t="shared" si="0"/>
        <v>60</v>
      </c>
      <c r="C65" s="45" t="s">
        <v>234</v>
      </c>
      <c r="D65" s="45" t="s">
        <v>235</v>
      </c>
      <c r="E65" s="45" t="s">
        <v>236</v>
      </c>
      <c r="F65" s="45" t="s">
        <v>107</v>
      </c>
      <c r="G65" s="84"/>
      <c r="H65" s="104">
        <v>60</v>
      </c>
      <c r="I65" s="105">
        <f t="shared" si="9"/>
        <v>6.8920084284576291</v>
      </c>
      <c r="J65" s="104">
        <f t="shared" si="10"/>
        <v>1</v>
      </c>
      <c r="K65" s="104">
        <f t="shared" si="11"/>
        <v>10</v>
      </c>
      <c r="L65" s="104"/>
      <c r="M65" s="106">
        <f t="shared" si="12"/>
        <v>16.892008428457629</v>
      </c>
      <c r="N65" s="106">
        <f t="shared" si="13"/>
        <v>20.270410114149154</v>
      </c>
      <c r="O65" s="84"/>
      <c r="P65" s="84"/>
      <c r="Q65" s="84"/>
      <c r="R65" s="84"/>
      <c r="S65" s="84"/>
    </row>
    <row r="66" spans="1:20" s="91" customFormat="1" x14ac:dyDescent="0.25">
      <c r="A66" s="137">
        <f t="shared" si="8"/>
        <v>20.061572289671705</v>
      </c>
      <c r="B66" s="38">
        <f t="shared" si="0"/>
        <v>61</v>
      </c>
      <c r="C66" s="39" t="s">
        <v>237</v>
      </c>
      <c r="D66" s="39" t="s">
        <v>238</v>
      </c>
      <c r="E66" s="39" t="s">
        <v>139</v>
      </c>
      <c r="F66" s="39" t="s">
        <v>107</v>
      </c>
      <c r="G66" s="84"/>
      <c r="H66" s="101">
        <v>61</v>
      </c>
      <c r="I66" s="102">
        <f t="shared" si="9"/>
        <v>6.7179769080597538</v>
      </c>
      <c r="J66" s="101">
        <f t="shared" si="10"/>
        <v>1</v>
      </c>
      <c r="K66" s="101">
        <f t="shared" si="11"/>
        <v>10</v>
      </c>
      <c r="L66" s="101"/>
      <c r="M66" s="103">
        <f t="shared" si="12"/>
        <v>16.717976908059754</v>
      </c>
      <c r="N66" s="103">
        <f t="shared" si="13"/>
        <v>20.061572289671705</v>
      </c>
      <c r="O66" s="84"/>
      <c r="P66" s="84"/>
      <c r="Q66" s="84"/>
      <c r="R66" s="84"/>
      <c r="S66" s="114"/>
      <c r="T66" s="115"/>
    </row>
    <row r="67" spans="1:20" s="91" customFormat="1" ht="38.25" x14ac:dyDescent="0.25">
      <c r="A67" s="138">
        <f t="shared" si="8"/>
        <v>19.856130353057797</v>
      </c>
      <c r="B67" s="44">
        <f t="shared" si="0"/>
        <v>62</v>
      </c>
      <c r="C67" s="45" t="s">
        <v>239</v>
      </c>
      <c r="D67" s="45" t="s">
        <v>231</v>
      </c>
      <c r="E67" s="45" t="s">
        <v>113</v>
      </c>
      <c r="F67" s="45" t="s">
        <v>107</v>
      </c>
      <c r="G67" s="84"/>
      <c r="H67" s="104">
        <v>62</v>
      </c>
      <c r="I67" s="105">
        <f t="shared" si="9"/>
        <v>6.5467752942148323</v>
      </c>
      <c r="J67" s="104">
        <f t="shared" si="10"/>
        <v>1</v>
      </c>
      <c r="K67" s="104">
        <f t="shared" si="11"/>
        <v>10</v>
      </c>
      <c r="L67" s="104"/>
      <c r="M67" s="106">
        <f t="shared" si="12"/>
        <v>16.546775294214832</v>
      </c>
      <c r="N67" s="106">
        <f t="shared" si="13"/>
        <v>19.856130353057797</v>
      </c>
      <c r="O67" s="84"/>
      <c r="P67" s="84"/>
      <c r="Q67" s="84"/>
      <c r="R67" s="84"/>
      <c r="S67" s="84"/>
    </row>
    <row r="68" spans="1:20" s="91" customFormat="1" x14ac:dyDescent="0.25">
      <c r="A68" s="137">
        <f t="shared" si="8"/>
        <v>19.653975628826235</v>
      </c>
      <c r="B68" s="38">
        <f t="shared" si="0"/>
        <v>63</v>
      </c>
      <c r="C68" s="39" t="s">
        <v>240</v>
      </c>
      <c r="D68" s="39" t="s">
        <v>241</v>
      </c>
      <c r="E68" s="39" t="s">
        <v>139</v>
      </c>
      <c r="F68" s="39" t="s">
        <v>107</v>
      </c>
      <c r="G68" s="84"/>
      <c r="H68" s="101">
        <v>63</v>
      </c>
      <c r="I68" s="102">
        <f t="shared" si="9"/>
        <v>6.378313024021864</v>
      </c>
      <c r="J68" s="101">
        <f t="shared" si="10"/>
        <v>1</v>
      </c>
      <c r="K68" s="101">
        <f t="shared" si="11"/>
        <v>10</v>
      </c>
      <c r="L68" s="101"/>
      <c r="M68" s="103">
        <f t="shared" si="12"/>
        <v>16.378313024021864</v>
      </c>
      <c r="N68" s="103">
        <f t="shared" si="13"/>
        <v>19.653975628826235</v>
      </c>
      <c r="O68" s="84"/>
      <c r="P68" s="84"/>
      <c r="Q68" s="84"/>
      <c r="R68" s="84"/>
      <c r="S68" s="114"/>
      <c r="T68" s="115"/>
    </row>
    <row r="69" spans="1:20" s="91" customFormat="1" ht="38.25" x14ac:dyDescent="0.25">
      <c r="A69" s="138">
        <f t="shared" si="8"/>
        <v>19.455004576205379</v>
      </c>
      <c r="B69" s="44">
        <f t="shared" si="0"/>
        <v>64</v>
      </c>
      <c r="C69" s="45" t="s">
        <v>242</v>
      </c>
      <c r="D69" s="45" t="s">
        <v>243</v>
      </c>
      <c r="E69" s="45" t="s">
        <v>113</v>
      </c>
      <c r="F69" s="45" t="s">
        <v>107</v>
      </c>
      <c r="G69" s="84"/>
      <c r="H69" s="104">
        <v>64</v>
      </c>
      <c r="I69" s="105">
        <f t="shared" si="9"/>
        <v>6.2125038135044832</v>
      </c>
      <c r="J69" s="104">
        <f t="shared" si="10"/>
        <v>1</v>
      </c>
      <c r="K69" s="104">
        <f t="shared" si="11"/>
        <v>10</v>
      </c>
      <c r="L69" s="104"/>
      <c r="M69" s="106">
        <f t="shared" si="12"/>
        <v>16.212503813504483</v>
      </c>
      <c r="N69" s="106">
        <f t="shared" si="13"/>
        <v>19.455004576205379</v>
      </c>
      <c r="O69" s="84"/>
      <c r="P69" s="84"/>
      <c r="Q69" s="84"/>
      <c r="R69" s="84"/>
      <c r="S69" s="84"/>
    </row>
    <row r="70" spans="1:20" s="91" customFormat="1" x14ac:dyDescent="0.25">
      <c r="A70" s="137">
        <f t="shared" si="8"/>
        <v>7.2591184706686391</v>
      </c>
      <c r="B70" s="38">
        <f t="shared" ref="B70:B110" si="14">IF(H70&gt;$H$2,"",(ROW()-5))</f>
        <v>65</v>
      </c>
      <c r="C70" s="39" t="s">
        <v>244</v>
      </c>
      <c r="D70" s="39" t="s">
        <v>245</v>
      </c>
      <c r="E70" s="39" t="s">
        <v>113</v>
      </c>
      <c r="F70" s="39" t="s">
        <v>107</v>
      </c>
      <c r="G70" s="84"/>
      <c r="H70" s="101">
        <v>65</v>
      </c>
      <c r="I70" s="102">
        <f t="shared" si="9"/>
        <v>6.0492653922238659</v>
      </c>
      <c r="J70" s="101">
        <f t="shared" si="10"/>
        <v>0</v>
      </c>
      <c r="K70" s="101">
        <f t="shared" si="11"/>
        <v>0</v>
      </c>
      <c r="L70" s="101"/>
      <c r="M70" s="103">
        <f t="shared" si="12"/>
        <v>6.0492653922238659</v>
      </c>
      <c r="N70" s="103">
        <f t="shared" si="13"/>
        <v>7.2591184706686391</v>
      </c>
      <c r="O70" s="84"/>
      <c r="P70" s="84"/>
      <c r="Q70" s="84"/>
      <c r="R70" s="84"/>
      <c r="S70" s="114"/>
      <c r="T70" s="115"/>
    </row>
    <row r="71" spans="1:20" s="91" customFormat="1" ht="38.25" x14ac:dyDescent="0.25">
      <c r="A71" s="138">
        <f t="shared" si="8"/>
        <v>7.0662231097831523</v>
      </c>
      <c r="B71" s="44">
        <f t="shared" si="14"/>
        <v>66</v>
      </c>
      <c r="C71" s="45" t="s">
        <v>246</v>
      </c>
      <c r="D71" s="45" t="s">
        <v>247</v>
      </c>
      <c r="E71" s="45" t="s">
        <v>248</v>
      </c>
      <c r="F71" s="45" t="s">
        <v>107</v>
      </c>
      <c r="G71" s="84"/>
      <c r="H71" s="104">
        <v>66</v>
      </c>
      <c r="I71" s="105">
        <f t="shared" si="9"/>
        <v>5.8885192581526269</v>
      </c>
      <c r="J71" s="104">
        <f t="shared" si="10"/>
        <v>0</v>
      </c>
      <c r="K71" s="104">
        <f t="shared" si="11"/>
        <v>0</v>
      </c>
      <c r="L71" s="104"/>
      <c r="M71" s="106">
        <f t="shared" si="12"/>
        <v>5.8885192581526269</v>
      </c>
      <c r="N71" s="106">
        <f t="shared" si="13"/>
        <v>7.0662231097831523</v>
      </c>
      <c r="O71" s="84"/>
      <c r="P71" s="84"/>
      <c r="Q71" s="84"/>
      <c r="R71" s="84"/>
      <c r="S71" s="84"/>
    </row>
    <row r="72" spans="1:20" s="91" customFormat="1" x14ac:dyDescent="0.25">
      <c r="A72" s="137">
        <f t="shared" si="8"/>
        <v>6.876228541177718</v>
      </c>
      <c r="B72" s="38">
        <f t="shared" si="14"/>
        <v>67</v>
      </c>
      <c r="C72" s="39" t="s">
        <v>249</v>
      </c>
      <c r="D72" s="39" t="s">
        <v>250</v>
      </c>
      <c r="E72" s="39" t="s">
        <v>251</v>
      </c>
      <c r="F72" s="39" t="s">
        <v>107</v>
      </c>
      <c r="G72" s="84"/>
      <c r="H72" s="101">
        <v>67</v>
      </c>
      <c r="I72" s="102">
        <f t="shared" si="9"/>
        <v>5.7301904509814321</v>
      </c>
      <c r="J72" s="101">
        <f t="shared" si="10"/>
        <v>0</v>
      </c>
      <c r="K72" s="101">
        <f t="shared" si="11"/>
        <v>0</v>
      </c>
      <c r="L72" s="101"/>
      <c r="M72" s="103">
        <f t="shared" si="12"/>
        <v>5.7301904509814321</v>
      </c>
      <c r="N72" s="103">
        <f t="shared" si="13"/>
        <v>6.876228541177718</v>
      </c>
      <c r="O72" s="84"/>
      <c r="P72" s="84"/>
      <c r="Q72" s="84"/>
      <c r="R72" s="84"/>
      <c r="S72" s="114"/>
      <c r="T72" s="115"/>
    </row>
    <row r="73" spans="1:20" s="91" customFormat="1" x14ac:dyDescent="0.25">
      <c r="A73" s="138">
        <f t="shared" si="8"/>
        <v>6.6890488106635217</v>
      </c>
      <c r="B73" s="44">
        <f t="shared" si="14"/>
        <v>68</v>
      </c>
      <c r="C73" s="45" t="s">
        <v>252</v>
      </c>
      <c r="D73" s="45" t="s">
        <v>172</v>
      </c>
      <c r="E73" s="45" t="s">
        <v>139</v>
      </c>
      <c r="F73" s="45" t="s">
        <v>107</v>
      </c>
      <c r="G73" s="84"/>
      <c r="H73" s="104">
        <v>68</v>
      </c>
      <c r="I73" s="105">
        <f t="shared" si="9"/>
        <v>5.5742073422196015</v>
      </c>
      <c r="J73" s="104">
        <f t="shared" si="10"/>
        <v>0</v>
      </c>
      <c r="K73" s="104">
        <f t="shared" si="11"/>
        <v>0</v>
      </c>
      <c r="L73" s="104"/>
      <c r="M73" s="106">
        <f t="shared" si="12"/>
        <v>5.5742073422196015</v>
      </c>
      <c r="N73" s="106">
        <f t="shared" si="13"/>
        <v>6.6890488106635217</v>
      </c>
      <c r="O73" s="84"/>
      <c r="P73" s="84"/>
      <c r="Q73" s="84"/>
      <c r="R73" s="84"/>
      <c r="S73" s="84"/>
    </row>
    <row r="74" spans="1:20" s="91" customFormat="1" x14ac:dyDescent="0.25">
      <c r="A74" s="137">
        <f t="shared" si="8"/>
        <v>6.5046017287422613</v>
      </c>
      <c r="B74" s="38">
        <f t="shared" si="14"/>
        <v>69</v>
      </c>
      <c r="C74" s="39" t="s">
        <v>253</v>
      </c>
      <c r="D74" s="39" t="s">
        <v>254</v>
      </c>
      <c r="E74" s="39" t="s">
        <v>255</v>
      </c>
      <c r="F74" s="39" t="s">
        <v>107</v>
      </c>
      <c r="G74" s="84"/>
      <c r="H74" s="101">
        <v>69</v>
      </c>
      <c r="I74" s="102">
        <f t="shared" si="9"/>
        <v>5.4205014406185512</v>
      </c>
      <c r="J74" s="101">
        <f t="shared" si="10"/>
        <v>0</v>
      </c>
      <c r="K74" s="101">
        <f t="shared" si="11"/>
        <v>0</v>
      </c>
      <c r="L74" s="101"/>
      <c r="M74" s="103">
        <f t="shared" si="12"/>
        <v>5.4205014406185512</v>
      </c>
      <c r="N74" s="103">
        <f t="shared" si="13"/>
        <v>6.5046017287422613</v>
      </c>
      <c r="O74" s="84"/>
      <c r="P74" s="84"/>
      <c r="Q74" s="84"/>
      <c r="R74" s="84"/>
      <c r="S74" s="114"/>
      <c r="T74" s="115"/>
    </row>
    <row r="75" spans="1:20" s="91" customFormat="1" ht="25.5" x14ac:dyDescent="0.25">
      <c r="A75" s="138">
        <f t="shared" si="8"/>
        <v>6.3228086539140973</v>
      </c>
      <c r="B75" s="44">
        <f t="shared" si="14"/>
        <v>70</v>
      </c>
      <c r="C75" s="45" t="s">
        <v>256</v>
      </c>
      <c r="D75" s="45" t="s">
        <v>257</v>
      </c>
      <c r="E75" s="45" t="s">
        <v>191</v>
      </c>
      <c r="F75" s="45" t="s">
        <v>107</v>
      </c>
      <c r="G75" s="84"/>
      <c r="H75" s="104">
        <v>70</v>
      </c>
      <c r="I75" s="105">
        <f t="shared" si="9"/>
        <v>5.2690072115950812</v>
      </c>
      <c r="J75" s="104">
        <f t="shared" si="10"/>
        <v>0</v>
      </c>
      <c r="K75" s="104">
        <f t="shared" si="11"/>
        <v>0</v>
      </c>
      <c r="L75" s="104"/>
      <c r="M75" s="106">
        <f t="shared" si="12"/>
        <v>5.2690072115950812</v>
      </c>
      <c r="N75" s="106">
        <f t="shared" si="13"/>
        <v>6.3228086539140973</v>
      </c>
      <c r="O75" s="84"/>
      <c r="P75" s="84"/>
      <c r="Q75" s="84"/>
      <c r="R75" s="84"/>
      <c r="S75" s="84"/>
    </row>
    <row r="76" spans="1:20" s="91" customFormat="1" ht="38.25" x14ac:dyDescent="0.25">
      <c r="A76" s="137">
        <f t="shared" si="8"/>
        <v>6.1435942913553845</v>
      </c>
      <c r="B76" s="38">
        <f t="shared" si="14"/>
        <v>71</v>
      </c>
      <c r="C76" s="39" t="s">
        <v>258</v>
      </c>
      <c r="D76" s="39" t="s">
        <v>259</v>
      </c>
      <c r="E76" s="39" t="s">
        <v>194</v>
      </c>
      <c r="F76" s="39" t="s">
        <v>107</v>
      </c>
      <c r="G76" s="84"/>
      <c r="H76" s="101">
        <v>71</v>
      </c>
      <c r="I76" s="102">
        <f t="shared" si="9"/>
        <v>5.1196619094628204</v>
      </c>
      <c r="J76" s="101">
        <f t="shared" si="10"/>
        <v>0</v>
      </c>
      <c r="K76" s="101">
        <f t="shared" si="11"/>
        <v>0</v>
      </c>
      <c r="L76" s="101"/>
      <c r="M76" s="103">
        <f t="shared" si="12"/>
        <v>5.1196619094628204</v>
      </c>
      <c r="N76" s="103">
        <f t="shared" si="13"/>
        <v>6.1435942913553845</v>
      </c>
      <c r="O76" s="84"/>
      <c r="P76" s="84"/>
      <c r="Q76" s="84"/>
      <c r="R76" s="84"/>
      <c r="S76" s="114"/>
      <c r="T76" s="115"/>
    </row>
    <row r="77" spans="1:20" s="91" customFormat="1" x14ac:dyDescent="0.25">
      <c r="A77" s="138">
        <f t="shared" si="8"/>
        <v>5.9668865056762792</v>
      </c>
      <c r="B77" s="44">
        <f t="shared" si="14"/>
        <v>72</v>
      </c>
      <c r="C77" s="45" t="s">
        <v>260</v>
      </c>
      <c r="D77" s="45" t="s">
        <v>261</v>
      </c>
      <c r="E77" s="45" t="s">
        <v>262</v>
      </c>
      <c r="F77" s="45" t="s">
        <v>107</v>
      </c>
      <c r="G77" s="84"/>
      <c r="H77" s="104">
        <v>72</v>
      </c>
      <c r="I77" s="105">
        <f t="shared" si="9"/>
        <v>4.9724054213968998</v>
      </c>
      <c r="J77" s="104">
        <f t="shared" si="10"/>
        <v>0</v>
      </c>
      <c r="K77" s="104">
        <f t="shared" si="11"/>
        <v>0</v>
      </c>
      <c r="L77" s="104"/>
      <c r="M77" s="106">
        <f t="shared" si="12"/>
        <v>4.9724054213968998</v>
      </c>
      <c r="N77" s="106">
        <f t="shared" si="13"/>
        <v>5.9668865056762792</v>
      </c>
      <c r="O77" s="84"/>
      <c r="P77" s="84"/>
      <c r="Q77" s="84"/>
      <c r="R77" s="84"/>
      <c r="S77" s="84"/>
    </row>
    <row r="78" spans="1:20" s="91" customFormat="1" x14ac:dyDescent="0.25">
      <c r="A78" s="137">
        <f t="shared" si="8"/>
        <v>5.7926161465929908</v>
      </c>
      <c r="B78" s="38">
        <f t="shared" si="14"/>
        <v>73</v>
      </c>
      <c r="C78" s="39" t="s">
        <v>263</v>
      </c>
      <c r="D78" s="39" t="s">
        <v>264</v>
      </c>
      <c r="E78" s="39" t="s">
        <v>148</v>
      </c>
      <c r="F78" s="39" t="s">
        <v>107</v>
      </c>
      <c r="G78" s="84"/>
      <c r="H78" s="101">
        <v>73</v>
      </c>
      <c r="I78" s="102">
        <f t="shared" si="9"/>
        <v>4.8271801221608257</v>
      </c>
      <c r="J78" s="101">
        <f t="shared" si="10"/>
        <v>0</v>
      </c>
      <c r="K78" s="101">
        <f t="shared" si="11"/>
        <v>0</v>
      </c>
      <c r="L78" s="101"/>
      <c r="M78" s="103">
        <f t="shared" si="12"/>
        <v>4.8271801221608257</v>
      </c>
      <c r="N78" s="103">
        <f t="shared" si="13"/>
        <v>5.7926161465929908</v>
      </c>
      <c r="O78" s="84"/>
      <c r="P78" s="84"/>
      <c r="Q78" s="84"/>
      <c r="R78" s="84"/>
      <c r="S78" s="114"/>
      <c r="T78" s="115"/>
    </row>
    <row r="79" spans="1:20" s="91" customFormat="1" x14ac:dyDescent="0.25">
      <c r="A79" s="138">
        <f t="shared" si="8"/>
        <v>5.6207168864601211</v>
      </c>
      <c r="B79" s="44">
        <f t="shared" si="14"/>
        <v>74</v>
      </c>
      <c r="C79" s="45" t="s">
        <v>265</v>
      </c>
      <c r="D79" s="45" t="s">
        <v>266</v>
      </c>
      <c r="E79" s="45" t="s">
        <v>113</v>
      </c>
      <c r="F79" s="45" t="s">
        <v>107</v>
      </c>
      <c r="G79" s="84"/>
      <c r="H79" s="104">
        <v>74</v>
      </c>
      <c r="I79" s="105">
        <f t="shared" si="9"/>
        <v>4.6839307387167679</v>
      </c>
      <c r="J79" s="104">
        <f t="shared" si="10"/>
        <v>0</v>
      </c>
      <c r="K79" s="104">
        <f t="shared" si="11"/>
        <v>0</v>
      </c>
      <c r="L79" s="104"/>
      <c r="M79" s="106">
        <f t="shared" si="12"/>
        <v>4.6839307387167679</v>
      </c>
      <c r="N79" s="106">
        <f t="shared" si="13"/>
        <v>5.6207168864601211</v>
      </c>
      <c r="O79" s="84"/>
      <c r="P79" s="84"/>
      <c r="Q79" s="84"/>
      <c r="R79" s="84"/>
      <c r="S79" s="84"/>
    </row>
    <row r="80" spans="1:20" s="91" customFormat="1" x14ac:dyDescent="0.25">
      <c r="A80" s="137">
        <f t="shared" si="8"/>
        <v>5.451125068707924</v>
      </c>
      <c r="B80" s="38">
        <f t="shared" si="14"/>
        <v>75</v>
      </c>
      <c r="C80" s="39" t="s">
        <v>267</v>
      </c>
      <c r="D80" s="39" t="s">
        <v>115</v>
      </c>
      <c r="E80" s="39" t="s">
        <v>113</v>
      </c>
      <c r="F80" s="39" t="s">
        <v>107</v>
      </c>
      <c r="G80" s="84"/>
      <c r="H80" s="101">
        <v>75</v>
      </c>
      <c r="I80" s="102">
        <f t="shared" si="9"/>
        <v>4.54260422392327</v>
      </c>
      <c r="J80" s="101">
        <f t="shared" si="10"/>
        <v>0</v>
      </c>
      <c r="K80" s="101">
        <f t="shared" si="11"/>
        <v>0</v>
      </c>
      <c r="L80" s="101"/>
      <c r="M80" s="103">
        <f t="shared" si="12"/>
        <v>4.54260422392327</v>
      </c>
      <c r="N80" s="103">
        <f t="shared" si="13"/>
        <v>5.451125068707924</v>
      </c>
      <c r="O80" s="84"/>
      <c r="P80" s="84"/>
      <c r="Q80" s="84"/>
      <c r="R80" s="84"/>
      <c r="S80" s="114"/>
      <c r="T80" s="115"/>
    </row>
    <row r="81" spans="1:20" s="91" customFormat="1" x14ac:dyDescent="0.25">
      <c r="A81" s="138">
        <f t="shared" si="8"/>
        <v>5.2837795663177127</v>
      </c>
      <c r="B81" s="44">
        <f t="shared" si="14"/>
        <v>76</v>
      </c>
      <c r="C81" s="45" t="s">
        <v>268</v>
      </c>
      <c r="D81" s="45" t="s">
        <v>269</v>
      </c>
      <c r="E81" s="45" t="s">
        <v>191</v>
      </c>
      <c r="F81" s="45" t="s">
        <v>107</v>
      </c>
      <c r="G81" s="84"/>
      <c r="H81" s="104">
        <v>76</v>
      </c>
      <c r="I81" s="105">
        <f t="shared" si="9"/>
        <v>4.4031496385980944</v>
      </c>
      <c r="J81" s="104">
        <f t="shared" si="10"/>
        <v>0</v>
      </c>
      <c r="K81" s="104">
        <f t="shared" si="11"/>
        <v>0</v>
      </c>
      <c r="L81" s="104"/>
      <c r="M81" s="106">
        <f t="shared" si="12"/>
        <v>4.4031496385980944</v>
      </c>
      <c r="N81" s="106">
        <f t="shared" si="13"/>
        <v>5.2837795663177127</v>
      </c>
      <c r="O81" s="84"/>
      <c r="P81" s="84"/>
      <c r="Q81" s="84"/>
      <c r="R81" s="84"/>
      <c r="S81" s="84"/>
    </row>
    <row r="82" spans="1:20" s="91" customFormat="1" x14ac:dyDescent="0.25">
      <c r="A82" s="137">
        <f t="shared" si="8"/>
        <v>5.1186216495481114</v>
      </c>
      <c r="B82" s="38">
        <f t="shared" si="14"/>
        <v>77</v>
      </c>
      <c r="C82" s="39" t="s">
        <v>270</v>
      </c>
      <c r="D82" s="39" t="s">
        <v>271</v>
      </c>
      <c r="E82" s="39" t="s">
        <v>139</v>
      </c>
      <c r="F82" s="39" t="s">
        <v>107</v>
      </c>
      <c r="G82" s="84"/>
      <c r="H82" s="101">
        <v>77</v>
      </c>
      <c r="I82" s="102">
        <f t="shared" si="9"/>
        <v>4.2655180412900933</v>
      </c>
      <c r="J82" s="101">
        <f t="shared" si="10"/>
        <v>0</v>
      </c>
      <c r="K82" s="101">
        <f t="shared" si="11"/>
        <v>0</v>
      </c>
      <c r="L82" s="101"/>
      <c r="M82" s="103">
        <f t="shared" si="12"/>
        <v>4.2655180412900933</v>
      </c>
      <c r="N82" s="103">
        <f t="shared" si="13"/>
        <v>5.1186216495481114</v>
      </c>
      <c r="O82" s="84"/>
      <c r="P82" s="84"/>
      <c r="Q82" s="84"/>
      <c r="R82" s="84"/>
      <c r="S82" s="114"/>
      <c r="T82" s="115"/>
    </row>
    <row r="83" spans="1:20" s="91" customFormat="1" x14ac:dyDescent="0.25">
      <c r="A83" s="138">
        <f t="shared" si="8"/>
        <v>4.9555948621957642</v>
      </c>
      <c r="B83" s="44">
        <f t="shared" si="14"/>
        <v>78</v>
      </c>
      <c r="C83" s="45" t="s">
        <v>272</v>
      </c>
      <c r="D83" s="45" t="s">
        <v>199</v>
      </c>
      <c r="E83" s="45" t="s">
        <v>136</v>
      </c>
      <c r="F83" s="45" t="s">
        <v>107</v>
      </c>
      <c r="G83" s="84"/>
      <c r="H83" s="104">
        <v>78</v>
      </c>
      <c r="I83" s="105">
        <f t="shared" si="9"/>
        <v>4.1296623851631367</v>
      </c>
      <c r="J83" s="104">
        <f t="shared" si="10"/>
        <v>0</v>
      </c>
      <c r="K83" s="104">
        <f t="shared" si="11"/>
        <v>0</v>
      </c>
      <c r="L83" s="104"/>
      <c r="M83" s="106">
        <f t="shared" si="12"/>
        <v>4.1296623851631367</v>
      </c>
      <c r="N83" s="106">
        <f t="shared" si="13"/>
        <v>4.9555948621957642</v>
      </c>
      <c r="O83" s="84"/>
      <c r="P83" s="84"/>
      <c r="Q83" s="84"/>
      <c r="R83" s="84"/>
      <c r="S83" s="84"/>
    </row>
    <row r="84" spans="1:20" s="91" customFormat="1" x14ac:dyDescent="0.25">
      <c r="A84" s="137">
        <f t="shared" si="8"/>
        <v>4.794644905738255</v>
      </c>
      <c r="B84" s="38">
        <f t="shared" si="14"/>
        <v>79</v>
      </c>
      <c r="C84" s="39" t="s">
        <v>273</v>
      </c>
      <c r="D84" s="39" t="s">
        <v>274</v>
      </c>
      <c r="E84" s="39" t="s">
        <v>255</v>
      </c>
      <c r="F84" s="39" t="s">
        <v>107</v>
      </c>
      <c r="G84" s="84"/>
      <c r="H84" s="101">
        <v>79</v>
      </c>
      <c r="I84" s="102">
        <f t="shared" si="9"/>
        <v>3.995537421448546</v>
      </c>
      <c r="J84" s="101">
        <f t="shared" si="10"/>
        <v>0</v>
      </c>
      <c r="K84" s="101">
        <f t="shared" si="11"/>
        <v>0</v>
      </c>
      <c r="L84" s="101"/>
      <c r="M84" s="103">
        <f t="shared" si="12"/>
        <v>3.995537421448546</v>
      </c>
      <c r="N84" s="103">
        <f t="shared" si="13"/>
        <v>4.794644905738255</v>
      </c>
      <c r="O84" s="84"/>
      <c r="P84" s="84"/>
      <c r="Q84" s="84"/>
      <c r="R84" s="84"/>
      <c r="S84" s="114"/>
      <c r="T84" s="115"/>
    </row>
    <row r="85" spans="1:20" s="91" customFormat="1" x14ac:dyDescent="0.25">
      <c r="A85" s="138">
        <f t="shared" si="8"/>
        <v>4.635719530764157</v>
      </c>
      <c r="B85" s="44">
        <f t="shared" si="14"/>
        <v>80</v>
      </c>
      <c r="C85" s="45" t="s">
        <v>275</v>
      </c>
      <c r="D85" s="45" t="s">
        <v>229</v>
      </c>
      <c r="E85" s="45" t="s">
        <v>139</v>
      </c>
      <c r="F85" s="45" t="s">
        <v>107</v>
      </c>
      <c r="G85" s="84"/>
      <c r="H85" s="104">
        <v>80</v>
      </c>
      <c r="I85" s="105">
        <f t="shared" si="9"/>
        <v>3.8630996089701313</v>
      </c>
      <c r="J85" s="104">
        <f t="shared" si="10"/>
        <v>0</v>
      </c>
      <c r="K85" s="104">
        <f t="shared" si="11"/>
        <v>0</v>
      </c>
      <c r="L85" s="104"/>
      <c r="M85" s="106">
        <f t="shared" si="12"/>
        <v>3.8630996089701313</v>
      </c>
      <c r="N85" s="106">
        <f t="shared" si="13"/>
        <v>4.635719530764157</v>
      </c>
      <c r="O85" s="84"/>
      <c r="P85" s="84"/>
      <c r="Q85" s="84"/>
      <c r="R85" s="84"/>
      <c r="S85" s="84"/>
    </row>
    <row r="86" spans="1:20" s="91" customFormat="1" x14ac:dyDescent="0.25">
      <c r="A86" s="137">
        <f t="shared" si="8"/>
        <v>4.4787684351471793</v>
      </c>
      <c r="B86" s="38">
        <f t="shared" si="14"/>
        <v>81</v>
      </c>
      <c r="C86" s="39" t="s">
        <v>276</v>
      </c>
      <c r="D86" s="39" t="s">
        <v>277</v>
      </c>
      <c r="E86" s="39" t="s">
        <v>255</v>
      </c>
      <c r="F86" s="39" t="s">
        <v>107</v>
      </c>
      <c r="G86" s="84"/>
      <c r="H86" s="101">
        <v>81</v>
      </c>
      <c r="I86" s="102">
        <f t="shared" si="9"/>
        <v>3.7323070292893163</v>
      </c>
      <c r="J86" s="101">
        <f t="shared" si="10"/>
        <v>0</v>
      </c>
      <c r="K86" s="101">
        <f t="shared" si="11"/>
        <v>0</v>
      </c>
      <c r="L86" s="101"/>
      <c r="M86" s="103">
        <f t="shared" si="12"/>
        <v>3.7323070292893163</v>
      </c>
      <c r="N86" s="103">
        <f t="shared" si="13"/>
        <v>4.4787684351471793</v>
      </c>
      <c r="O86" s="84"/>
      <c r="P86" s="84"/>
      <c r="Q86" s="84"/>
      <c r="R86" s="84"/>
      <c r="S86" s="114"/>
      <c r="T86" s="115"/>
    </row>
    <row r="87" spans="1:20" s="91" customFormat="1" ht="38.25" x14ac:dyDescent="0.25">
      <c r="A87" s="138">
        <f t="shared" si="8"/>
        <v>4.3237431684677432</v>
      </c>
      <c r="B87" s="44">
        <f t="shared" si="14"/>
        <v>82</v>
      </c>
      <c r="C87" s="45" t="s">
        <v>278</v>
      </c>
      <c r="D87" s="45" t="s">
        <v>279</v>
      </c>
      <c r="E87" s="45" t="s">
        <v>194</v>
      </c>
      <c r="F87" s="45" t="s">
        <v>107</v>
      </c>
      <c r="G87" s="84"/>
      <c r="H87" s="104">
        <v>82</v>
      </c>
      <c r="I87" s="105">
        <f t="shared" si="9"/>
        <v>3.6031193070564527</v>
      </c>
      <c r="J87" s="104">
        <f t="shared" si="10"/>
        <v>0</v>
      </c>
      <c r="K87" s="104">
        <f t="shared" si="11"/>
        <v>0</v>
      </c>
      <c r="L87" s="104"/>
      <c r="M87" s="106">
        <f t="shared" si="12"/>
        <v>3.6031193070564527</v>
      </c>
      <c r="N87" s="106">
        <f t="shared" si="13"/>
        <v>4.3237431684677432</v>
      </c>
      <c r="O87" s="84"/>
      <c r="P87" s="84"/>
      <c r="Q87" s="84"/>
      <c r="R87" s="84"/>
      <c r="S87" s="84"/>
    </row>
    <row r="88" spans="1:20" s="91" customFormat="1" x14ac:dyDescent="0.25">
      <c r="A88" s="137">
        <f t="shared" si="8"/>
        <v>4.170597042227592</v>
      </c>
      <c r="B88" s="38">
        <f t="shared" si="14"/>
        <v>83</v>
      </c>
      <c r="C88" s="39" t="s">
        <v>280</v>
      </c>
      <c r="D88" s="39" t="s">
        <v>281</v>
      </c>
      <c r="E88" s="39" t="s">
        <v>113</v>
      </c>
      <c r="F88" s="39" t="s">
        <v>107</v>
      </c>
      <c r="G88" s="84"/>
      <c r="H88" s="101">
        <v>83</v>
      </c>
      <c r="I88" s="102">
        <f t="shared" si="9"/>
        <v>3.4754975351896604</v>
      </c>
      <c r="J88" s="101">
        <f t="shared" si="10"/>
        <v>0</v>
      </c>
      <c r="K88" s="101">
        <f t="shared" si="11"/>
        <v>0</v>
      </c>
      <c r="L88" s="101"/>
      <c r="M88" s="103">
        <f t="shared" si="12"/>
        <v>3.4754975351896604</v>
      </c>
      <c r="N88" s="103">
        <f t="shared" si="13"/>
        <v>4.170597042227592</v>
      </c>
      <c r="O88" s="84"/>
      <c r="P88" s="84"/>
      <c r="Q88" s="84"/>
      <c r="R88" s="84"/>
      <c r="S88" s="114"/>
      <c r="T88" s="115"/>
    </row>
    <row r="89" spans="1:20" s="91" customFormat="1" ht="25.5" x14ac:dyDescent="0.25">
      <c r="A89" s="138">
        <f t="shared" si="8"/>
        <v>4.0192850454412303</v>
      </c>
      <c r="B89" s="44">
        <f t="shared" si="14"/>
        <v>84</v>
      </c>
      <c r="C89" s="45" t="s">
        <v>282</v>
      </c>
      <c r="D89" s="45" t="s">
        <v>283</v>
      </c>
      <c r="E89" s="45" t="s">
        <v>188</v>
      </c>
      <c r="F89" s="45" t="s">
        <v>107</v>
      </c>
      <c r="G89" s="84"/>
      <c r="H89" s="104">
        <v>84</v>
      </c>
      <c r="I89" s="105">
        <f t="shared" si="9"/>
        <v>3.3494042045343591</v>
      </c>
      <c r="J89" s="104">
        <f t="shared" si="10"/>
        <v>0</v>
      </c>
      <c r="K89" s="104">
        <f t="shared" si="11"/>
        <v>0</v>
      </c>
      <c r="L89" s="104"/>
      <c r="M89" s="106">
        <f t="shared" si="12"/>
        <v>3.3494042045343591</v>
      </c>
      <c r="N89" s="106">
        <f t="shared" si="13"/>
        <v>4.0192850454412303</v>
      </c>
      <c r="O89" s="84"/>
      <c r="P89" s="84"/>
      <c r="Q89" s="84"/>
      <c r="R89" s="84"/>
      <c r="S89" s="84"/>
    </row>
    <row r="90" spans="1:20" s="91" customFormat="1" x14ac:dyDescent="0.25">
      <c r="A90" s="137">
        <f t="shared" si="8"/>
        <v>3.8697637652222907</v>
      </c>
      <c r="B90" s="38">
        <f t="shared" si="14"/>
        <v>85</v>
      </c>
      <c r="C90" s="39" t="s">
        <v>284</v>
      </c>
      <c r="D90" s="39" t="s">
        <v>285</v>
      </c>
      <c r="E90" s="39" t="s">
        <v>139</v>
      </c>
      <c r="F90" s="39" t="s">
        <v>107</v>
      </c>
      <c r="G90" s="84"/>
      <c r="H90" s="101">
        <v>85</v>
      </c>
      <c r="I90" s="102">
        <f t="shared" si="9"/>
        <v>3.2248031376852424</v>
      </c>
      <c r="J90" s="101">
        <f t="shared" si="10"/>
        <v>0</v>
      </c>
      <c r="K90" s="101">
        <f t="shared" si="11"/>
        <v>0</v>
      </c>
      <c r="L90" s="101"/>
      <c r="M90" s="103">
        <f t="shared" si="12"/>
        <v>3.2248031376852424</v>
      </c>
      <c r="N90" s="103">
        <f t="shared" si="13"/>
        <v>3.8697637652222907</v>
      </c>
      <c r="O90" s="84"/>
      <c r="P90" s="84"/>
      <c r="Q90" s="84"/>
      <c r="R90" s="84"/>
      <c r="S90" s="114"/>
      <c r="T90" s="115"/>
    </row>
    <row r="91" spans="1:20" s="91" customFormat="1" x14ac:dyDescent="0.25">
      <c r="A91" s="138">
        <f t="shared" si="8"/>
        <v>3.7219913120142705</v>
      </c>
      <c r="B91" s="44">
        <f t="shared" si="14"/>
        <v>86</v>
      </c>
      <c r="C91" s="45" t="s">
        <v>286</v>
      </c>
      <c r="D91" s="45" t="s">
        <v>287</v>
      </c>
      <c r="E91" s="45" t="s">
        <v>139</v>
      </c>
      <c r="F91" s="45" t="s">
        <v>107</v>
      </c>
      <c r="G91" s="84"/>
      <c r="H91" s="104">
        <v>86</v>
      </c>
      <c r="I91" s="105">
        <f t="shared" si="9"/>
        <v>3.1016594266785589</v>
      </c>
      <c r="J91" s="104">
        <f t="shared" si="10"/>
        <v>0</v>
      </c>
      <c r="K91" s="104">
        <f t="shared" si="11"/>
        <v>0</v>
      </c>
      <c r="L91" s="104"/>
      <c r="M91" s="106">
        <f t="shared" si="12"/>
        <v>3.1016594266785589</v>
      </c>
      <c r="N91" s="106">
        <f t="shared" si="13"/>
        <v>3.7219913120142705</v>
      </c>
      <c r="O91" s="84"/>
      <c r="P91" s="84"/>
      <c r="Q91" s="84"/>
      <c r="R91" s="84"/>
      <c r="S91" s="84"/>
    </row>
    <row r="92" spans="1:20" s="91" customFormat="1" x14ac:dyDescent="0.25">
      <c r="A92" s="137">
        <f t="shared" si="8"/>
        <v>3.5759272491435468</v>
      </c>
      <c r="B92" s="38">
        <f t="shared" si="14"/>
        <v>87</v>
      </c>
      <c r="C92" s="39" t="s">
        <v>288</v>
      </c>
      <c r="D92" s="39" t="s">
        <v>233</v>
      </c>
      <c r="E92" s="39" t="s">
        <v>139</v>
      </c>
      <c r="F92" s="39" t="s">
        <v>107</v>
      </c>
      <c r="G92" s="84"/>
      <c r="H92" s="101">
        <v>87</v>
      </c>
      <c r="I92" s="102">
        <f t="shared" si="9"/>
        <v>2.979939374286289</v>
      </c>
      <c r="J92" s="101">
        <f t="shared" si="10"/>
        <v>0</v>
      </c>
      <c r="K92" s="101">
        <f t="shared" si="11"/>
        <v>0</v>
      </c>
      <c r="L92" s="101"/>
      <c r="M92" s="103">
        <f t="shared" si="12"/>
        <v>2.979939374286289</v>
      </c>
      <c r="N92" s="103">
        <f t="shared" si="13"/>
        <v>3.5759272491435468</v>
      </c>
      <c r="O92" s="84"/>
      <c r="P92" s="84"/>
      <c r="Q92" s="84"/>
      <c r="R92" s="84"/>
      <c r="S92" s="114"/>
      <c r="T92" s="115"/>
    </row>
    <row r="93" spans="1:20" s="91" customFormat="1" x14ac:dyDescent="0.25">
      <c r="A93" s="138">
        <f t="shared" si="8"/>
        <v>3.4315325263981546</v>
      </c>
      <c r="B93" s="44">
        <f t="shared" si="14"/>
        <v>88</v>
      </c>
      <c r="C93" s="45" t="s">
        <v>289</v>
      </c>
      <c r="D93" s="45" t="s">
        <v>290</v>
      </c>
      <c r="E93" s="45" t="s">
        <v>116</v>
      </c>
      <c r="F93" s="45" t="s">
        <v>107</v>
      </c>
      <c r="G93" s="84"/>
      <c r="H93" s="104">
        <v>88</v>
      </c>
      <c r="I93" s="105">
        <f t="shared" si="9"/>
        <v>2.8596104386651291</v>
      </c>
      <c r="J93" s="104">
        <f t="shared" si="10"/>
        <v>0</v>
      </c>
      <c r="K93" s="104">
        <f t="shared" si="11"/>
        <v>0</v>
      </c>
      <c r="L93" s="104"/>
      <c r="M93" s="106">
        <f t="shared" si="12"/>
        <v>2.8596104386651291</v>
      </c>
      <c r="N93" s="106">
        <f t="shared" si="13"/>
        <v>3.4315325263981546</v>
      </c>
      <c r="O93" s="84"/>
      <c r="P93" s="84"/>
      <c r="Q93" s="84"/>
      <c r="R93" s="84"/>
      <c r="S93" s="84"/>
    </row>
    <row r="94" spans="1:20" s="91" customFormat="1" ht="25.5" x14ac:dyDescent="0.25">
      <c r="A94" s="137">
        <f t="shared" si="8"/>
        <v>3.2887694173594637</v>
      </c>
      <c r="B94" s="38">
        <f t="shared" si="14"/>
        <v>89</v>
      </c>
      <c r="C94" s="39" t="s">
        <v>291</v>
      </c>
      <c r="D94" s="39" t="s">
        <v>292</v>
      </c>
      <c r="E94" s="39" t="s">
        <v>255</v>
      </c>
      <c r="F94" s="39" t="s">
        <v>107</v>
      </c>
      <c r="G94" s="84"/>
      <c r="H94" s="101">
        <v>89</v>
      </c>
      <c r="I94" s="102">
        <f t="shared" si="9"/>
        <v>2.7406411811328866</v>
      </c>
      <c r="J94" s="101">
        <f t="shared" si="10"/>
        <v>0</v>
      </c>
      <c r="K94" s="101">
        <f t="shared" si="11"/>
        <v>0</v>
      </c>
      <c r="L94" s="101"/>
      <c r="M94" s="103">
        <f t="shared" si="12"/>
        <v>2.7406411811328866</v>
      </c>
      <c r="N94" s="103">
        <f t="shared" si="13"/>
        <v>3.2887694173594637</v>
      </c>
      <c r="O94" s="84"/>
      <c r="P94" s="84"/>
      <c r="Q94" s="84"/>
      <c r="R94" s="84"/>
      <c r="S94" s="114"/>
      <c r="T94" s="115"/>
    </row>
    <row r="95" spans="1:20" s="91" customFormat="1" x14ac:dyDescent="0.25">
      <c r="A95" s="138">
        <f t="shared" si="8"/>
        <v>3.1476014602350486</v>
      </c>
      <c r="B95" s="44">
        <f t="shared" si="14"/>
        <v>90</v>
      </c>
      <c r="C95" s="45" t="s">
        <v>293</v>
      </c>
      <c r="D95" s="45" t="s">
        <v>294</v>
      </c>
      <c r="E95" s="45" t="s">
        <v>139</v>
      </c>
      <c r="F95" s="45" t="s">
        <v>107</v>
      </c>
      <c r="G95" s="84"/>
      <c r="H95" s="104">
        <v>90</v>
      </c>
      <c r="I95" s="105">
        <f t="shared" si="9"/>
        <v>2.6230012168625407</v>
      </c>
      <c r="J95" s="104">
        <f t="shared" si="10"/>
        <v>0</v>
      </c>
      <c r="K95" s="104">
        <f t="shared" si="11"/>
        <v>0</v>
      </c>
      <c r="L95" s="104"/>
      <c r="M95" s="106">
        <f t="shared" si="12"/>
        <v>2.6230012168625407</v>
      </c>
      <c r="N95" s="106">
        <f t="shared" si="13"/>
        <v>3.1476014602350486</v>
      </c>
      <c r="O95" s="84"/>
      <c r="P95" s="84"/>
      <c r="Q95" s="84"/>
      <c r="R95" s="84"/>
      <c r="S95" s="84"/>
    </row>
    <row r="96" spans="1:20" s="91" customFormat="1" x14ac:dyDescent="0.25">
      <c r="A96" s="137">
        <f t="shared" si="8"/>
        <v>3.0079934019607237</v>
      </c>
      <c r="B96" s="38">
        <f t="shared" si="14"/>
        <v>91</v>
      </c>
      <c r="C96" s="39" t="s">
        <v>295</v>
      </c>
      <c r="D96" s="39" t="s">
        <v>296</v>
      </c>
      <c r="E96" s="39" t="s">
        <v>197</v>
      </c>
      <c r="F96" s="39" t="s">
        <v>107</v>
      </c>
      <c r="G96" s="84"/>
      <c r="H96" s="101">
        <v>91</v>
      </c>
      <c r="I96" s="102">
        <f t="shared" si="9"/>
        <v>2.506661168300603</v>
      </c>
      <c r="J96" s="101">
        <f t="shared" si="10"/>
        <v>0</v>
      </c>
      <c r="K96" s="101">
        <f t="shared" si="11"/>
        <v>0</v>
      </c>
      <c r="L96" s="101"/>
      <c r="M96" s="103">
        <f t="shared" si="12"/>
        <v>2.506661168300603</v>
      </c>
      <c r="N96" s="103">
        <f t="shared" si="13"/>
        <v>3.0079934019607237</v>
      </c>
      <c r="O96" s="84"/>
      <c r="P96" s="84"/>
      <c r="Q96" s="84"/>
      <c r="R96" s="84"/>
      <c r="S96" s="114"/>
      <c r="T96" s="115"/>
    </row>
    <row r="97" spans="1:20" s="91" customFormat="1" x14ac:dyDescent="0.25">
      <c r="A97" s="138">
        <f t="shared" si="8"/>
        <v>2.8699111453572557</v>
      </c>
      <c r="B97" s="44">
        <f t="shared" si="14"/>
        <v>92</v>
      </c>
      <c r="C97" s="45" t="s">
        <v>297</v>
      </c>
      <c r="D97" s="45" t="s">
        <v>298</v>
      </c>
      <c r="E97" s="45" t="s">
        <v>139</v>
      </c>
      <c r="F97" s="45" t="s">
        <v>107</v>
      </c>
      <c r="G97" s="84"/>
      <c r="H97" s="104">
        <v>92</v>
      </c>
      <c r="I97" s="105">
        <f t="shared" si="9"/>
        <v>2.3915926211310463</v>
      </c>
      <c r="J97" s="104">
        <f t="shared" si="10"/>
        <v>0</v>
      </c>
      <c r="K97" s="104">
        <f t="shared" si="11"/>
        <v>0</v>
      </c>
      <c r="L97" s="104"/>
      <c r="M97" s="106">
        <f t="shared" si="12"/>
        <v>2.3915926211310463</v>
      </c>
      <c r="N97" s="106">
        <f t="shared" si="13"/>
        <v>2.8699111453572557</v>
      </c>
      <c r="O97" s="84"/>
      <c r="P97" s="84"/>
      <c r="Q97" s="84"/>
      <c r="R97" s="84"/>
      <c r="S97" s="84"/>
    </row>
    <row r="98" spans="1:20" s="91" customFormat="1" x14ac:dyDescent="0.25">
      <c r="A98" s="137">
        <f t="shared" si="8"/>
        <v>2.7333216991437097</v>
      </c>
      <c r="B98" s="38">
        <f t="shared" si="14"/>
        <v>93</v>
      </c>
      <c r="C98" s="39" t="s">
        <v>299</v>
      </c>
      <c r="D98" s="39" t="s">
        <v>300</v>
      </c>
      <c r="E98" s="39" t="s">
        <v>139</v>
      </c>
      <c r="F98" s="39" t="s">
        <v>107</v>
      </c>
      <c r="G98" s="84"/>
      <c r="H98" s="101">
        <v>93</v>
      </c>
      <c r="I98" s="102">
        <f t="shared" si="9"/>
        <v>2.2777680826197582</v>
      </c>
      <c r="J98" s="101">
        <f t="shared" si="10"/>
        <v>0</v>
      </c>
      <c r="K98" s="101">
        <f t="shared" si="11"/>
        <v>0</v>
      </c>
      <c r="L98" s="101"/>
      <c r="M98" s="103">
        <f t="shared" si="12"/>
        <v>2.2777680826197582</v>
      </c>
      <c r="N98" s="103">
        <f t="shared" si="13"/>
        <v>2.7333216991437097</v>
      </c>
      <c r="O98" s="84"/>
      <c r="P98" s="84"/>
      <c r="Q98" s="84"/>
      <c r="R98" s="84"/>
      <c r="S98" s="114"/>
      <c r="T98" s="115"/>
    </row>
    <row r="99" spans="1:20" s="91" customFormat="1" x14ac:dyDescent="0.25">
      <c r="A99" s="138">
        <f t="shared" si="8"/>
        <v>2.5981931306238804</v>
      </c>
      <c r="B99" s="44">
        <f t="shared" si="14"/>
        <v>94</v>
      </c>
      <c r="C99" s="45" t="s">
        <v>301</v>
      </c>
      <c r="D99" s="45" t="s">
        <v>302</v>
      </c>
      <c r="E99" s="45" t="s">
        <v>262</v>
      </c>
      <c r="F99" s="45" t="s">
        <v>107</v>
      </c>
      <c r="G99" s="84"/>
      <c r="H99" s="104">
        <v>94</v>
      </c>
      <c r="I99" s="105">
        <f t="shared" si="9"/>
        <v>2.1651609421865672</v>
      </c>
      <c r="J99" s="104">
        <f t="shared" si="10"/>
        <v>0</v>
      </c>
      <c r="K99" s="104">
        <f t="shared" si="11"/>
        <v>0</v>
      </c>
      <c r="L99" s="104"/>
      <c r="M99" s="106">
        <f t="shared" si="12"/>
        <v>2.1651609421865672</v>
      </c>
      <c r="N99" s="106">
        <f t="shared" si="13"/>
        <v>2.5981931306238804</v>
      </c>
      <c r="O99" s="84"/>
      <c r="P99" s="84"/>
      <c r="Q99" s="84"/>
      <c r="R99" s="84"/>
      <c r="S99" s="84"/>
    </row>
    <row r="100" spans="1:20" s="91" customFormat="1" x14ac:dyDescent="0.25">
      <c r="A100" s="137">
        <f t="shared" si="8"/>
        <v>2.4644945208764821</v>
      </c>
      <c r="B100" s="38">
        <f t="shared" si="14"/>
        <v>95</v>
      </c>
      <c r="C100" s="39" t="s">
        <v>303</v>
      </c>
      <c r="D100" s="39" t="s">
        <v>304</v>
      </c>
      <c r="E100" s="39" t="s">
        <v>113</v>
      </c>
      <c r="F100" s="39" t="s">
        <v>107</v>
      </c>
      <c r="G100" s="84"/>
      <c r="H100" s="101">
        <v>95</v>
      </c>
      <c r="I100" s="102">
        <f t="shared" si="9"/>
        <v>2.0537454340637353</v>
      </c>
      <c r="J100" s="101">
        <f t="shared" si="10"/>
        <v>0</v>
      </c>
      <c r="K100" s="101">
        <f t="shared" si="11"/>
        <v>0</v>
      </c>
      <c r="L100" s="101"/>
      <c r="M100" s="103">
        <f t="shared" si="12"/>
        <v>2.0537454340637353</v>
      </c>
      <c r="N100" s="103">
        <f t="shared" si="13"/>
        <v>2.4644945208764821</v>
      </c>
      <c r="O100" s="84"/>
      <c r="P100" s="84"/>
      <c r="Q100" s="84"/>
      <c r="R100" s="84"/>
      <c r="S100" s="114"/>
      <c r="T100" s="115"/>
    </row>
    <row r="101" spans="1:20" s="91" customFormat="1" x14ac:dyDescent="0.25">
      <c r="A101" s="138">
        <f t="shared" ref="A101:A164" si="15">N101</f>
        <v>2.3321959222912825</v>
      </c>
      <c r="B101" s="44">
        <f t="shared" si="14"/>
        <v>96</v>
      </c>
      <c r="C101" s="45" t="s">
        <v>305</v>
      </c>
      <c r="D101" s="45" t="s">
        <v>306</v>
      </c>
      <c r="E101" s="45" t="s">
        <v>139</v>
      </c>
      <c r="F101" s="45" t="s">
        <v>107</v>
      </c>
      <c r="G101" s="84"/>
      <c r="H101" s="104">
        <v>96</v>
      </c>
      <c r="I101" s="105">
        <f t="shared" ref="I101:I164" si="16">IF(H101&lt;$H$2+1,($I$2-($I$2-1)*(LOG(H101)/LOG($H$2))),"")</f>
        <v>1.943496601909402</v>
      </c>
      <c r="J101" s="104">
        <f t="shared" ref="J101:J164" si="17">INT(LOG($H$2,2))-ROUNDUP(LOG(H101,2),0)+IF(OR($H$2=1,$H$2=2,$H$2=4,$H$2=8,$H$2=16,$H$2=32,$H$2=64,$H$2=128,$H$2=256),0,1)</f>
        <v>0</v>
      </c>
      <c r="K101" s="104">
        <f t="shared" ref="K101:K164" si="18">J101*$J$2</f>
        <v>0</v>
      </c>
      <c r="L101" s="104"/>
      <c r="M101" s="106">
        <f t="shared" ref="M101:M164" si="19">IF(I101&lt;&gt;"",K101+I101+L101,0)</f>
        <v>1.943496601909402</v>
      </c>
      <c r="N101" s="106">
        <f t="shared" ref="N101:N164" si="20">IF(I101&lt;&gt;"",M101*L$2,0)</f>
        <v>2.3321959222912825</v>
      </c>
      <c r="O101" s="84"/>
      <c r="P101" s="84"/>
      <c r="Q101" s="84"/>
      <c r="R101" s="84"/>
      <c r="S101" s="84"/>
    </row>
    <row r="102" spans="1:20" s="91" customFormat="1" x14ac:dyDescent="0.25">
      <c r="A102" s="137">
        <f t="shared" si="15"/>
        <v>2.2012683183056709</v>
      </c>
      <c r="B102" s="38">
        <f t="shared" si="14"/>
        <v>97</v>
      </c>
      <c r="C102" s="39" t="s">
        <v>307</v>
      </c>
      <c r="D102" s="39" t="s">
        <v>308</v>
      </c>
      <c r="E102" s="39" t="s">
        <v>139</v>
      </c>
      <c r="F102" s="39" t="s">
        <v>107</v>
      </c>
      <c r="G102" s="84"/>
      <c r="H102" s="101">
        <v>97</v>
      </c>
      <c r="I102" s="102">
        <f t="shared" si="16"/>
        <v>1.8343902652547257</v>
      </c>
      <c r="J102" s="101">
        <f t="shared" si="17"/>
        <v>0</v>
      </c>
      <c r="K102" s="101">
        <f t="shared" si="18"/>
        <v>0</v>
      </c>
      <c r="L102" s="101"/>
      <c r="M102" s="103">
        <f t="shared" si="19"/>
        <v>1.8343902652547257</v>
      </c>
      <c r="N102" s="103">
        <f t="shared" si="20"/>
        <v>2.2012683183056709</v>
      </c>
      <c r="O102" s="84"/>
      <c r="P102" s="84"/>
      <c r="Q102" s="84"/>
      <c r="R102" s="84"/>
      <c r="S102" s="114"/>
      <c r="T102" s="115"/>
    </row>
    <row r="103" spans="1:20" s="91" customFormat="1" x14ac:dyDescent="0.25">
      <c r="A103" s="138">
        <f t="shared" si="15"/>
        <v>2.0716835852061903</v>
      </c>
      <c r="B103" s="44">
        <f t="shared" si="14"/>
        <v>98</v>
      </c>
      <c r="C103" s="45" t="s">
        <v>309</v>
      </c>
      <c r="D103" s="45" t="s">
        <v>310</v>
      </c>
      <c r="E103" s="45" t="s">
        <v>113</v>
      </c>
      <c r="F103" s="45" t="s">
        <v>107</v>
      </c>
      <c r="G103" s="84"/>
      <c r="H103" s="104">
        <v>98</v>
      </c>
      <c r="I103" s="105">
        <f t="shared" si="16"/>
        <v>1.7264029876718254</v>
      </c>
      <c r="J103" s="104">
        <f t="shared" si="17"/>
        <v>0</v>
      </c>
      <c r="K103" s="104">
        <f t="shared" si="18"/>
        <v>0</v>
      </c>
      <c r="L103" s="104"/>
      <c r="M103" s="106">
        <f t="shared" si="19"/>
        <v>1.7264029876718254</v>
      </c>
      <c r="N103" s="106">
        <f t="shared" si="20"/>
        <v>2.0716835852061903</v>
      </c>
      <c r="O103" s="84"/>
      <c r="P103" s="84"/>
      <c r="Q103" s="84"/>
      <c r="R103" s="84"/>
      <c r="S103" s="84"/>
    </row>
    <row r="104" spans="1:20" s="91" customFormat="1" x14ac:dyDescent="0.25">
      <c r="A104" s="137">
        <f t="shared" si="15"/>
        <v>1.9434144558690547</v>
      </c>
      <c r="B104" s="38">
        <f t="shared" si="14"/>
        <v>99</v>
      </c>
      <c r="C104" s="39" t="s">
        <v>311</v>
      </c>
      <c r="D104" s="39" t="s">
        <v>312</v>
      </c>
      <c r="E104" s="39" t="s">
        <v>139</v>
      </c>
      <c r="F104" s="39" t="s">
        <v>107</v>
      </c>
      <c r="G104" s="84"/>
      <c r="H104" s="101">
        <v>99</v>
      </c>
      <c r="I104" s="102">
        <f t="shared" si="16"/>
        <v>1.6195120465575457</v>
      </c>
      <c r="J104" s="101">
        <f t="shared" si="17"/>
        <v>0</v>
      </c>
      <c r="K104" s="101">
        <f t="shared" si="18"/>
        <v>0</v>
      </c>
      <c r="L104" s="101"/>
      <c r="M104" s="103">
        <f t="shared" si="19"/>
        <v>1.6195120465575457</v>
      </c>
      <c r="N104" s="103">
        <f t="shared" si="20"/>
        <v>1.9434144558690547</v>
      </c>
      <c r="O104" s="84"/>
      <c r="P104" s="84"/>
      <c r="Q104" s="84"/>
      <c r="R104" s="84"/>
      <c r="S104" s="114"/>
      <c r="T104" s="115"/>
    </row>
    <row r="105" spans="1:20" s="91" customFormat="1" x14ac:dyDescent="0.25">
      <c r="A105" s="138">
        <f t="shared" si="15"/>
        <v>1.816434485322918</v>
      </c>
      <c r="B105" s="44">
        <f t="shared" si="14"/>
        <v>100</v>
      </c>
      <c r="C105" s="45" t="s">
        <v>313</v>
      </c>
      <c r="D105" s="45" t="s">
        <v>314</v>
      </c>
      <c r="E105" s="45" t="s">
        <v>139</v>
      </c>
      <c r="F105" s="45" t="s">
        <v>107</v>
      </c>
      <c r="G105" s="84"/>
      <c r="H105" s="104">
        <v>100</v>
      </c>
      <c r="I105" s="105">
        <f t="shared" si="16"/>
        <v>1.5136954044357651</v>
      </c>
      <c r="J105" s="104">
        <f t="shared" si="17"/>
        <v>0</v>
      </c>
      <c r="K105" s="104">
        <f t="shared" si="18"/>
        <v>0</v>
      </c>
      <c r="L105" s="104"/>
      <c r="M105" s="106">
        <f t="shared" si="19"/>
        <v>1.5136954044357651</v>
      </c>
      <c r="N105" s="106">
        <f t="shared" si="20"/>
        <v>1.816434485322918</v>
      </c>
      <c r="O105" s="84"/>
      <c r="P105" s="84"/>
      <c r="Q105" s="84"/>
      <c r="R105" s="84"/>
      <c r="S105" s="84"/>
    </row>
    <row r="106" spans="1:20" s="91" customFormat="1" x14ac:dyDescent="0.25">
      <c r="A106" s="137">
        <f t="shared" si="15"/>
        <v>1.6907180180250236</v>
      </c>
      <c r="B106" s="38">
        <f t="shared" si="14"/>
        <v>101</v>
      </c>
      <c r="C106" s="39" t="s">
        <v>315</v>
      </c>
      <c r="D106" s="39" t="s">
        <v>316</v>
      </c>
      <c r="E106" s="39" t="s">
        <v>139</v>
      </c>
      <c r="F106" s="39" t="s">
        <v>107</v>
      </c>
      <c r="G106" s="84"/>
      <c r="H106" s="101">
        <v>101</v>
      </c>
      <c r="I106" s="102">
        <f t="shared" si="16"/>
        <v>1.4089316816875197</v>
      </c>
      <c r="J106" s="101">
        <f t="shared" si="17"/>
        <v>0</v>
      </c>
      <c r="K106" s="101">
        <f t="shared" si="18"/>
        <v>0</v>
      </c>
      <c r="L106" s="101"/>
      <c r="M106" s="103">
        <f t="shared" si="19"/>
        <v>1.4089316816875197</v>
      </c>
      <c r="N106" s="103">
        <f t="shared" si="20"/>
        <v>1.6907180180250236</v>
      </c>
      <c r="O106" s="84"/>
      <c r="P106" s="84"/>
      <c r="Q106" s="84"/>
      <c r="R106" s="84"/>
      <c r="S106" s="114"/>
      <c r="T106" s="115"/>
    </row>
    <row r="107" spans="1:20" s="91" customFormat="1" x14ac:dyDescent="0.25">
      <c r="A107" s="138">
        <f t="shared" si="15"/>
        <v>1.5662401567494157</v>
      </c>
      <c r="B107" s="44">
        <f t="shared" si="14"/>
        <v>102</v>
      </c>
      <c r="C107" s="45" t="s">
        <v>317</v>
      </c>
      <c r="D107" s="45" t="s">
        <v>318</v>
      </c>
      <c r="E107" s="45" t="s">
        <v>139</v>
      </c>
      <c r="F107" s="45" t="s">
        <v>107</v>
      </c>
      <c r="G107" s="84"/>
      <c r="H107" s="104">
        <v>102</v>
      </c>
      <c r="I107" s="105">
        <f t="shared" si="16"/>
        <v>1.3052001306245131</v>
      </c>
      <c r="J107" s="104">
        <f t="shared" si="17"/>
        <v>0</v>
      </c>
      <c r="K107" s="104">
        <f t="shared" si="18"/>
        <v>0</v>
      </c>
      <c r="L107" s="104"/>
      <c r="M107" s="106">
        <f t="shared" si="19"/>
        <v>1.3052001306245131</v>
      </c>
      <c r="N107" s="106">
        <f t="shared" si="20"/>
        <v>1.5662401567494157</v>
      </c>
      <c r="O107" s="84"/>
      <c r="P107" s="84"/>
      <c r="Q107" s="84"/>
      <c r="R107" s="84"/>
      <c r="S107" s="84"/>
    </row>
    <row r="108" spans="1:20" s="91" customFormat="1" x14ac:dyDescent="0.25">
      <c r="A108" s="137">
        <f t="shared" si="15"/>
        <v>1.4429767329929148</v>
      </c>
      <c r="B108" s="38">
        <f t="shared" si="14"/>
        <v>103</v>
      </c>
      <c r="C108" s="39" t="s">
        <v>319</v>
      </c>
      <c r="D108" s="39" t="s">
        <v>320</v>
      </c>
      <c r="E108" s="39" t="s">
        <v>139</v>
      </c>
      <c r="F108" s="39" t="s">
        <v>107</v>
      </c>
      <c r="G108" s="84"/>
      <c r="H108" s="101">
        <v>103</v>
      </c>
      <c r="I108" s="102">
        <f t="shared" si="16"/>
        <v>1.2024806108274291</v>
      </c>
      <c r="J108" s="101">
        <f t="shared" si="17"/>
        <v>0</v>
      </c>
      <c r="K108" s="101">
        <f t="shared" si="18"/>
        <v>0</v>
      </c>
      <c r="L108" s="101"/>
      <c r="M108" s="103">
        <f t="shared" si="19"/>
        <v>1.2024806108274291</v>
      </c>
      <c r="N108" s="103">
        <f t="shared" si="20"/>
        <v>1.4429767329929148</v>
      </c>
      <c r="O108" s="84"/>
      <c r="P108" s="84"/>
      <c r="Q108" s="84"/>
      <c r="R108" s="84"/>
      <c r="S108" s="114"/>
      <c r="T108" s="115"/>
    </row>
    <row r="109" spans="1:20" s="91" customFormat="1" x14ac:dyDescent="0.25">
      <c r="A109" s="138">
        <f t="shared" si="15"/>
        <v>1.3209042788107666</v>
      </c>
      <c r="B109" s="44">
        <f t="shared" si="14"/>
        <v>104</v>
      </c>
      <c r="C109" s="45" t="s">
        <v>321</v>
      </c>
      <c r="D109" s="45" t="s">
        <v>322</v>
      </c>
      <c r="E109" s="45" t="s">
        <v>139</v>
      </c>
      <c r="F109" s="45" t="s">
        <v>107</v>
      </c>
      <c r="G109" s="84"/>
      <c r="H109" s="104">
        <v>104</v>
      </c>
      <c r="I109" s="105">
        <f t="shared" si="16"/>
        <v>1.1007535656756389</v>
      </c>
      <c r="J109" s="104">
        <f t="shared" si="17"/>
        <v>0</v>
      </c>
      <c r="K109" s="104">
        <f t="shared" si="18"/>
        <v>0</v>
      </c>
      <c r="L109" s="104"/>
      <c r="M109" s="106">
        <f t="shared" si="19"/>
        <v>1.1007535656756389</v>
      </c>
      <c r="N109" s="106">
        <f t="shared" si="20"/>
        <v>1.3209042788107666</v>
      </c>
      <c r="O109" s="84"/>
      <c r="P109" s="84"/>
      <c r="Q109" s="84"/>
      <c r="R109" s="84"/>
      <c r="S109" s="84"/>
    </row>
    <row r="110" spans="1:20" s="91" customFormat="1" x14ac:dyDescent="0.25">
      <c r="A110" s="137">
        <f t="shared" si="15"/>
        <v>1.2</v>
      </c>
      <c r="B110" s="38">
        <f t="shared" si="14"/>
        <v>105</v>
      </c>
      <c r="C110" s="39" t="s">
        <v>323</v>
      </c>
      <c r="D110" s="39" t="s">
        <v>324</v>
      </c>
      <c r="E110" s="39" t="s">
        <v>325</v>
      </c>
      <c r="F110" s="39"/>
      <c r="G110" s="84"/>
      <c r="H110" s="101">
        <v>105</v>
      </c>
      <c r="I110" s="102">
        <f t="shared" si="16"/>
        <v>1</v>
      </c>
      <c r="J110" s="101">
        <f t="shared" si="17"/>
        <v>0</v>
      </c>
      <c r="K110" s="101">
        <f t="shared" si="18"/>
        <v>0</v>
      </c>
      <c r="L110" s="101"/>
      <c r="M110" s="103">
        <f t="shared" si="19"/>
        <v>1</v>
      </c>
      <c r="N110" s="103">
        <f t="shared" si="20"/>
        <v>1.2</v>
      </c>
      <c r="O110" s="84"/>
      <c r="P110" s="84"/>
      <c r="Q110" s="84"/>
      <c r="R110" s="84"/>
      <c r="S110" s="114"/>
      <c r="T110" s="115"/>
    </row>
    <row r="111" spans="1:20" s="91" customFormat="1" x14ac:dyDescent="0.25">
      <c r="A111" s="138">
        <f t="shared" si="15"/>
        <v>0</v>
      </c>
      <c r="B111" s="44" t="str">
        <f t="shared" ref="B111:B164" si="21">IF(H111&gt;$H$2,"",(ROW()-5))</f>
        <v/>
      </c>
      <c r="C111" s="45" t="s">
        <v>54</v>
      </c>
      <c r="D111" s="45"/>
      <c r="E111" s="45"/>
      <c r="F111" s="45"/>
      <c r="G111" s="84"/>
      <c r="H111" s="104">
        <v>106</v>
      </c>
      <c r="I111" s="105" t="str">
        <f t="shared" si="16"/>
        <v/>
      </c>
      <c r="J111" s="104">
        <f t="shared" si="17"/>
        <v>0</v>
      </c>
      <c r="K111" s="104">
        <f t="shared" si="18"/>
        <v>0</v>
      </c>
      <c r="L111" s="104"/>
      <c r="M111" s="106">
        <f t="shared" si="19"/>
        <v>0</v>
      </c>
      <c r="N111" s="106">
        <f t="shared" si="20"/>
        <v>0</v>
      </c>
      <c r="O111" s="84"/>
      <c r="P111" s="84"/>
      <c r="Q111" s="84"/>
      <c r="R111" s="84"/>
      <c r="S111" s="84"/>
    </row>
    <row r="112" spans="1:20" s="91" customFormat="1" x14ac:dyDescent="0.25">
      <c r="A112" s="137">
        <f t="shared" si="15"/>
        <v>0</v>
      </c>
      <c r="B112" s="38" t="str">
        <f t="shared" si="21"/>
        <v/>
      </c>
      <c r="C112" s="39" t="s">
        <v>54</v>
      </c>
      <c r="D112" s="39"/>
      <c r="E112" s="39"/>
      <c r="F112" s="39"/>
      <c r="G112" s="84"/>
      <c r="H112" s="101">
        <v>107</v>
      </c>
      <c r="I112" s="102" t="str">
        <f t="shared" si="16"/>
        <v/>
      </c>
      <c r="J112" s="101">
        <f t="shared" si="17"/>
        <v>0</v>
      </c>
      <c r="K112" s="101">
        <f t="shared" si="18"/>
        <v>0</v>
      </c>
      <c r="L112" s="101"/>
      <c r="M112" s="103">
        <f t="shared" si="19"/>
        <v>0</v>
      </c>
      <c r="N112" s="103">
        <f t="shared" si="20"/>
        <v>0</v>
      </c>
      <c r="O112" s="84"/>
      <c r="P112" s="84"/>
      <c r="Q112" s="84"/>
      <c r="R112" s="84"/>
      <c r="S112" s="114"/>
      <c r="T112" s="115"/>
    </row>
    <row r="113" spans="1:20" s="91" customFormat="1" x14ac:dyDescent="0.25">
      <c r="A113" s="138">
        <f t="shared" si="15"/>
        <v>0</v>
      </c>
      <c r="B113" s="44" t="str">
        <f t="shared" si="21"/>
        <v/>
      </c>
      <c r="C113" s="45" t="s">
        <v>54</v>
      </c>
      <c r="D113" s="45"/>
      <c r="E113" s="45"/>
      <c r="F113" s="45"/>
      <c r="G113" s="84"/>
      <c r="H113" s="104">
        <v>108</v>
      </c>
      <c r="I113" s="105" t="str">
        <f t="shared" si="16"/>
        <v/>
      </c>
      <c r="J113" s="104">
        <f t="shared" si="17"/>
        <v>0</v>
      </c>
      <c r="K113" s="104">
        <f t="shared" si="18"/>
        <v>0</v>
      </c>
      <c r="L113" s="104"/>
      <c r="M113" s="106">
        <f t="shared" si="19"/>
        <v>0</v>
      </c>
      <c r="N113" s="106">
        <f t="shared" si="20"/>
        <v>0</v>
      </c>
      <c r="O113" s="84"/>
      <c r="P113" s="84"/>
      <c r="Q113" s="84"/>
      <c r="R113" s="84"/>
      <c r="S113" s="84"/>
    </row>
    <row r="114" spans="1:20" s="91" customFormat="1" x14ac:dyDescent="0.25">
      <c r="A114" s="137">
        <f t="shared" si="15"/>
        <v>0</v>
      </c>
      <c r="B114" s="38" t="str">
        <f t="shared" si="21"/>
        <v/>
      </c>
      <c r="C114" s="39" t="s">
        <v>54</v>
      </c>
      <c r="D114" s="39"/>
      <c r="E114" s="39"/>
      <c r="F114" s="39"/>
      <c r="G114" s="84"/>
      <c r="H114" s="101">
        <v>109</v>
      </c>
      <c r="I114" s="102" t="str">
        <f t="shared" si="16"/>
        <v/>
      </c>
      <c r="J114" s="101">
        <f t="shared" si="17"/>
        <v>0</v>
      </c>
      <c r="K114" s="101">
        <f t="shared" si="18"/>
        <v>0</v>
      </c>
      <c r="L114" s="101"/>
      <c r="M114" s="103">
        <f t="shared" si="19"/>
        <v>0</v>
      </c>
      <c r="N114" s="103">
        <f t="shared" si="20"/>
        <v>0</v>
      </c>
      <c r="O114" s="84"/>
      <c r="P114" s="84"/>
      <c r="Q114" s="84"/>
      <c r="R114" s="84"/>
      <c r="S114" s="114"/>
      <c r="T114" s="115"/>
    </row>
    <row r="115" spans="1:20" s="91" customFormat="1" x14ac:dyDescent="0.25">
      <c r="A115" s="138">
        <f t="shared" si="15"/>
        <v>0</v>
      </c>
      <c r="B115" s="44" t="str">
        <f t="shared" si="21"/>
        <v/>
      </c>
      <c r="C115" s="45" t="s">
        <v>54</v>
      </c>
      <c r="D115" s="45"/>
      <c r="E115" s="45"/>
      <c r="F115" s="45"/>
      <c r="G115" s="84"/>
      <c r="H115" s="104">
        <v>110</v>
      </c>
      <c r="I115" s="105" t="str">
        <f t="shared" si="16"/>
        <v/>
      </c>
      <c r="J115" s="104">
        <f t="shared" si="17"/>
        <v>0</v>
      </c>
      <c r="K115" s="104">
        <f t="shared" si="18"/>
        <v>0</v>
      </c>
      <c r="L115" s="104"/>
      <c r="M115" s="106">
        <f t="shared" si="19"/>
        <v>0</v>
      </c>
      <c r="N115" s="106">
        <f t="shared" si="20"/>
        <v>0</v>
      </c>
      <c r="O115" s="84"/>
      <c r="P115" s="84"/>
      <c r="Q115" s="84"/>
      <c r="R115" s="84"/>
      <c r="S115" s="84"/>
    </row>
    <row r="116" spans="1:20" s="91" customFormat="1" x14ac:dyDescent="0.25">
      <c r="A116" s="137">
        <f t="shared" si="15"/>
        <v>0</v>
      </c>
      <c r="B116" s="38" t="str">
        <f t="shared" si="21"/>
        <v/>
      </c>
      <c r="C116" s="39" t="s">
        <v>54</v>
      </c>
      <c r="D116" s="39"/>
      <c r="E116" s="39"/>
      <c r="F116" s="39"/>
      <c r="G116" s="84"/>
      <c r="H116" s="101">
        <v>111</v>
      </c>
      <c r="I116" s="102" t="str">
        <f t="shared" si="16"/>
        <v/>
      </c>
      <c r="J116" s="101">
        <f t="shared" si="17"/>
        <v>0</v>
      </c>
      <c r="K116" s="101">
        <f t="shared" si="18"/>
        <v>0</v>
      </c>
      <c r="L116" s="101"/>
      <c r="M116" s="103">
        <f t="shared" si="19"/>
        <v>0</v>
      </c>
      <c r="N116" s="103">
        <f t="shared" si="20"/>
        <v>0</v>
      </c>
      <c r="O116" s="84"/>
      <c r="P116" s="84"/>
      <c r="Q116" s="84"/>
      <c r="R116" s="84"/>
      <c r="S116" s="114"/>
      <c r="T116" s="115"/>
    </row>
    <row r="117" spans="1:20" s="91" customFormat="1" x14ac:dyDescent="0.25">
      <c r="A117" s="138">
        <f t="shared" si="15"/>
        <v>0</v>
      </c>
      <c r="B117" s="44" t="str">
        <f t="shared" si="21"/>
        <v/>
      </c>
      <c r="C117" s="45" t="s">
        <v>54</v>
      </c>
      <c r="D117" s="45"/>
      <c r="E117" s="45"/>
      <c r="F117" s="45"/>
      <c r="G117" s="84"/>
      <c r="H117" s="104">
        <v>112</v>
      </c>
      <c r="I117" s="105" t="str">
        <f t="shared" si="16"/>
        <v/>
      </c>
      <c r="J117" s="104">
        <f t="shared" si="17"/>
        <v>0</v>
      </c>
      <c r="K117" s="104">
        <f t="shared" si="18"/>
        <v>0</v>
      </c>
      <c r="L117" s="104"/>
      <c r="M117" s="106">
        <f t="shared" si="19"/>
        <v>0</v>
      </c>
      <c r="N117" s="106">
        <f t="shared" si="20"/>
        <v>0</v>
      </c>
      <c r="O117" s="84"/>
      <c r="P117" s="84"/>
      <c r="Q117" s="84"/>
      <c r="R117" s="84"/>
      <c r="S117" s="84"/>
    </row>
    <row r="118" spans="1:20" s="91" customFormat="1" x14ac:dyDescent="0.25">
      <c r="A118" s="137">
        <f t="shared" si="15"/>
        <v>0</v>
      </c>
      <c r="B118" s="38" t="str">
        <f t="shared" si="21"/>
        <v/>
      </c>
      <c r="C118" s="39" t="s">
        <v>54</v>
      </c>
      <c r="D118" s="39"/>
      <c r="E118" s="39"/>
      <c r="F118" s="39"/>
      <c r="G118" s="84"/>
      <c r="H118" s="101">
        <v>113</v>
      </c>
      <c r="I118" s="102" t="str">
        <f t="shared" si="16"/>
        <v/>
      </c>
      <c r="J118" s="101">
        <f t="shared" si="17"/>
        <v>0</v>
      </c>
      <c r="K118" s="101">
        <f t="shared" si="18"/>
        <v>0</v>
      </c>
      <c r="L118" s="101"/>
      <c r="M118" s="103">
        <f t="shared" si="19"/>
        <v>0</v>
      </c>
      <c r="N118" s="103">
        <f t="shared" si="20"/>
        <v>0</v>
      </c>
      <c r="O118" s="84"/>
      <c r="P118" s="84"/>
      <c r="Q118" s="84"/>
      <c r="R118" s="84"/>
      <c r="S118" s="114"/>
      <c r="T118" s="115"/>
    </row>
    <row r="119" spans="1:20" s="91" customFormat="1" x14ac:dyDescent="0.25">
      <c r="A119" s="138">
        <f t="shared" si="15"/>
        <v>0</v>
      </c>
      <c r="B119" s="44" t="str">
        <f t="shared" si="21"/>
        <v/>
      </c>
      <c r="C119" s="45" t="s">
        <v>54</v>
      </c>
      <c r="D119" s="45"/>
      <c r="E119" s="45"/>
      <c r="F119" s="45"/>
      <c r="G119" s="84"/>
      <c r="H119" s="104">
        <v>114</v>
      </c>
      <c r="I119" s="105" t="str">
        <f t="shared" si="16"/>
        <v/>
      </c>
      <c r="J119" s="104">
        <f t="shared" si="17"/>
        <v>0</v>
      </c>
      <c r="K119" s="104">
        <f t="shared" si="18"/>
        <v>0</v>
      </c>
      <c r="L119" s="104"/>
      <c r="M119" s="106">
        <f t="shared" si="19"/>
        <v>0</v>
      </c>
      <c r="N119" s="106">
        <f t="shared" si="20"/>
        <v>0</v>
      </c>
      <c r="O119" s="84"/>
      <c r="P119" s="84"/>
      <c r="Q119" s="84"/>
      <c r="R119" s="84"/>
      <c r="S119" s="84"/>
    </row>
    <row r="120" spans="1:20" s="91" customFormat="1" x14ac:dyDescent="0.25">
      <c r="A120" s="137">
        <f t="shared" si="15"/>
        <v>0</v>
      </c>
      <c r="B120" s="38" t="str">
        <f t="shared" si="21"/>
        <v/>
      </c>
      <c r="C120" s="39" t="s">
        <v>54</v>
      </c>
      <c r="D120" s="39"/>
      <c r="E120" s="39"/>
      <c r="F120" s="39"/>
      <c r="G120" s="84"/>
      <c r="H120" s="101">
        <v>115</v>
      </c>
      <c r="I120" s="102" t="str">
        <f t="shared" si="16"/>
        <v/>
      </c>
      <c r="J120" s="101">
        <f t="shared" si="17"/>
        <v>0</v>
      </c>
      <c r="K120" s="101">
        <f t="shared" si="18"/>
        <v>0</v>
      </c>
      <c r="L120" s="101"/>
      <c r="M120" s="103">
        <f t="shared" si="19"/>
        <v>0</v>
      </c>
      <c r="N120" s="103">
        <f t="shared" si="20"/>
        <v>0</v>
      </c>
      <c r="O120" s="84"/>
      <c r="P120" s="84"/>
      <c r="Q120" s="84"/>
      <c r="R120" s="84"/>
      <c r="S120" s="114"/>
      <c r="T120" s="115"/>
    </row>
    <row r="121" spans="1:20" s="91" customFormat="1" x14ac:dyDescent="0.25">
      <c r="A121" s="138">
        <f t="shared" si="15"/>
        <v>0</v>
      </c>
      <c r="B121" s="44" t="str">
        <f t="shared" si="21"/>
        <v/>
      </c>
      <c r="C121" s="45" t="s">
        <v>54</v>
      </c>
      <c r="D121" s="45"/>
      <c r="E121" s="45"/>
      <c r="F121" s="45"/>
      <c r="G121" s="84"/>
      <c r="H121" s="104">
        <v>116</v>
      </c>
      <c r="I121" s="105" t="str">
        <f t="shared" si="16"/>
        <v/>
      </c>
      <c r="J121" s="104">
        <f t="shared" si="17"/>
        <v>0</v>
      </c>
      <c r="K121" s="104">
        <f t="shared" si="18"/>
        <v>0</v>
      </c>
      <c r="L121" s="104"/>
      <c r="M121" s="106">
        <f t="shared" si="19"/>
        <v>0</v>
      </c>
      <c r="N121" s="106">
        <f t="shared" si="20"/>
        <v>0</v>
      </c>
      <c r="O121" s="84"/>
      <c r="P121" s="84"/>
      <c r="Q121" s="84"/>
      <c r="R121" s="84"/>
      <c r="S121" s="84"/>
    </row>
    <row r="122" spans="1:20" s="91" customFormat="1" x14ac:dyDescent="0.25">
      <c r="A122" s="137">
        <f t="shared" si="15"/>
        <v>0</v>
      </c>
      <c r="B122" s="38" t="str">
        <f t="shared" si="21"/>
        <v/>
      </c>
      <c r="C122" s="39" t="s">
        <v>54</v>
      </c>
      <c r="D122" s="39"/>
      <c r="E122" s="39"/>
      <c r="F122" s="39"/>
      <c r="G122" s="84"/>
      <c r="H122" s="101">
        <v>117</v>
      </c>
      <c r="I122" s="102" t="str">
        <f t="shared" si="16"/>
        <v/>
      </c>
      <c r="J122" s="101">
        <f t="shared" si="17"/>
        <v>0</v>
      </c>
      <c r="K122" s="101">
        <f t="shared" si="18"/>
        <v>0</v>
      </c>
      <c r="L122" s="101"/>
      <c r="M122" s="103">
        <f t="shared" si="19"/>
        <v>0</v>
      </c>
      <c r="N122" s="103">
        <f t="shared" si="20"/>
        <v>0</v>
      </c>
      <c r="O122" s="84"/>
      <c r="P122" s="84"/>
      <c r="Q122" s="84"/>
      <c r="R122" s="84"/>
      <c r="S122" s="114"/>
      <c r="T122" s="115"/>
    </row>
    <row r="123" spans="1:20" s="91" customFormat="1" x14ac:dyDescent="0.25">
      <c r="A123" s="138">
        <f t="shared" si="15"/>
        <v>0</v>
      </c>
      <c r="B123" s="44" t="str">
        <f t="shared" si="21"/>
        <v/>
      </c>
      <c r="C123" s="45" t="s">
        <v>54</v>
      </c>
      <c r="D123" s="45"/>
      <c r="E123" s="45"/>
      <c r="F123" s="45"/>
      <c r="G123" s="84"/>
      <c r="H123" s="104">
        <v>118</v>
      </c>
      <c r="I123" s="105" t="str">
        <f t="shared" si="16"/>
        <v/>
      </c>
      <c r="J123" s="104">
        <f t="shared" si="17"/>
        <v>0</v>
      </c>
      <c r="K123" s="104">
        <f t="shared" si="18"/>
        <v>0</v>
      </c>
      <c r="L123" s="104"/>
      <c r="M123" s="106">
        <f t="shared" si="19"/>
        <v>0</v>
      </c>
      <c r="N123" s="106">
        <f t="shared" si="20"/>
        <v>0</v>
      </c>
      <c r="O123" s="84"/>
      <c r="P123" s="84"/>
      <c r="Q123" s="84"/>
      <c r="R123" s="84"/>
      <c r="S123" s="84"/>
    </row>
    <row r="124" spans="1:20" s="91" customFormat="1" x14ac:dyDescent="0.25">
      <c r="A124" s="137">
        <f t="shared" si="15"/>
        <v>0</v>
      </c>
      <c r="B124" s="38" t="str">
        <f t="shared" si="21"/>
        <v/>
      </c>
      <c r="C124" s="39" t="s">
        <v>54</v>
      </c>
      <c r="D124" s="39"/>
      <c r="E124" s="39"/>
      <c r="F124" s="39"/>
      <c r="G124" s="84"/>
      <c r="H124" s="101">
        <v>119</v>
      </c>
      <c r="I124" s="102" t="str">
        <f t="shared" si="16"/>
        <v/>
      </c>
      <c r="J124" s="101">
        <f t="shared" si="17"/>
        <v>0</v>
      </c>
      <c r="K124" s="101">
        <f t="shared" si="18"/>
        <v>0</v>
      </c>
      <c r="L124" s="101"/>
      <c r="M124" s="103">
        <f t="shared" si="19"/>
        <v>0</v>
      </c>
      <c r="N124" s="103">
        <f t="shared" si="20"/>
        <v>0</v>
      </c>
      <c r="O124" s="84"/>
      <c r="P124" s="84"/>
      <c r="Q124" s="84"/>
      <c r="R124" s="84"/>
      <c r="S124" s="114"/>
      <c r="T124" s="115"/>
    </row>
    <row r="125" spans="1:20" s="91" customFormat="1" x14ac:dyDescent="0.25">
      <c r="A125" s="138">
        <f t="shared" si="15"/>
        <v>0</v>
      </c>
      <c r="B125" s="44" t="str">
        <f t="shared" si="21"/>
        <v/>
      </c>
      <c r="C125" s="45" t="s">
        <v>54</v>
      </c>
      <c r="D125" s="45"/>
      <c r="E125" s="45"/>
      <c r="F125" s="45"/>
      <c r="G125" s="84"/>
      <c r="H125" s="104">
        <v>120</v>
      </c>
      <c r="I125" s="105" t="str">
        <f t="shared" si="16"/>
        <v/>
      </c>
      <c r="J125" s="104">
        <f t="shared" si="17"/>
        <v>0</v>
      </c>
      <c r="K125" s="104">
        <f t="shared" si="18"/>
        <v>0</v>
      </c>
      <c r="L125" s="104"/>
      <c r="M125" s="106">
        <f t="shared" si="19"/>
        <v>0</v>
      </c>
      <c r="N125" s="106">
        <f t="shared" si="20"/>
        <v>0</v>
      </c>
      <c r="O125" s="84"/>
      <c r="P125" s="84"/>
      <c r="Q125" s="84"/>
      <c r="R125" s="84"/>
      <c r="S125" s="84"/>
    </row>
    <row r="126" spans="1:20" s="91" customFormat="1" x14ac:dyDescent="0.25">
      <c r="A126" s="137">
        <f t="shared" si="15"/>
        <v>0</v>
      </c>
      <c r="B126" s="38" t="str">
        <f t="shared" si="21"/>
        <v/>
      </c>
      <c r="C126" s="39" t="s">
        <v>54</v>
      </c>
      <c r="D126" s="39"/>
      <c r="E126" s="39"/>
      <c r="F126" s="39"/>
      <c r="G126" s="84"/>
      <c r="H126" s="101">
        <v>121</v>
      </c>
      <c r="I126" s="102" t="str">
        <f t="shared" si="16"/>
        <v/>
      </c>
      <c r="J126" s="101">
        <f t="shared" si="17"/>
        <v>0</v>
      </c>
      <c r="K126" s="101">
        <f t="shared" si="18"/>
        <v>0</v>
      </c>
      <c r="L126" s="101"/>
      <c r="M126" s="103">
        <f t="shared" si="19"/>
        <v>0</v>
      </c>
      <c r="N126" s="103">
        <f t="shared" si="20"/>
        <v>0</v>
      </c>
      <c r="O126" s="84"/>
      <c r="P126" s="84"/>
      <c r="Q126" s="84"/>
      <c r="R126" s="84"/>
      <c r="S126" s="114"/>
      <c r="T126" s="115"/>
    </row>
    <row r="127" spans="1:20" s="91" customFormat="1" x14ac:dyDescent="0.25">
      <c r="A127" s="138">
        <f t="shared" si="15"/>
        <v>0</v>
      </c>
      <c r="B127" s="44" t="str">
        <f t="shared" si="21"/>
        <v/>
      </c>
      <c r="C127" s="45" t="s">
        <v>54</v>
      </c>
      <c r="D127" s="45"/>
      <c r="E127" s="45"/>
      <c r="F127" s="45"/>
      <c r="G127" s="84"/>
      <c r="H127" s="104">
        <v>122</v>
      </c>
      <c r="I127" s="105" t="str">
        <f t="shared" si="16"/>
        <v/>
      </c>
      <c r="J127" s="104">
        <f t="shared" si="17"/>
        <v>0</v>
      </c>
      <c r="K127" s="104">
        <f t="shared" si="18"/>
        <v>0</v>
      </c>
      <c r="L127" s="104"/>
      <c r="M127" s="106">
        <f t="shared" si="19"/>
        <v>0</v>
      </c>
      <c r="N127" s="106">
        <f t="shared" si="20"/>
        <v>0</v>
      </c>
      <c r="O127" s="84"/>
      <c r="P127" s="84"/>
      <c r="Q127" s="84"/>
      <c r="R127" s="84"/>
      <c r="S127" s="84"/>
    </row>
    <row r="128" spans="1:20" s="91" customFormat="1" x14ac:dyDescent="0.25">
      <c r="A128" s="137">
        <f t="shared" si="15"/>
        <v>0</v>
      </c>
      <c r="B128" s="38" t="str">
        <f t="shared" si="21"/>
        <v/>
      </c>
      <c r="C128" s="39" t="s">
        <v>54</v>
      </c>
      <c r="D128" s="39"/>
      <c r="E128" s="39"/>
      <c r="F128" s="39"/>
      <c r="G128" s="84"/>
      <c r="H128" s="101">
        <v>123</v>
      </c>
      <c r="I128" s="102" t="str">
        <f t="shared" si="16"/>
        <v/>
      </c>
      <c r="J128" s="101">
        <f t="shared" si="17"/>
        <v>0</v>
      </c>
      <c r="K128" s="101">
        <f t="shared" si="18"/>
        <v>0</v>
      </c>
      <c r="L128" s="101"/>
      <c r="M128" s="103">
        <f t="shared" si="19"/>
        <v>0</v>
      </c>
      <c r="N128" s="103">
        <f t="shared" si="20"/>
        <v>0</v>
      </c>
      <c r="O128" s="84"/>
      <c r="P128" s="84"/>
      <c r="Q128" s="84"/>
      <c r="R128" s="84"/>
      <c r="S128" s="114"/>
      <c r="T128" s="115"/>
    </row>
    <row r="129" spans="1:20" s="91" customFormat="1" x14ac:dyDescent="0.25">
      <c r="A129" s="138">
        <f t="shared" si="15"/>
        <v>0</v>
      </c>
      <c r="B129" s="44" t="str">
        <f t="shared" si="21"/>
        <v/>
      </c>
      <c r="C129" s="45" t="s">
        <v>54</v>
      </c>
      <c r="D129" s="45"/>
      <c r="E129" s="45"/>
      <c r="F129" s="45"/>
      <c r="G129" s="84"/>
      <c r="H129" s="104">
        <v>124</v>
      </c>
      <c r="I129" s="105" t="str">
        <f t="shared" si="16"/>
        <v/>
      </c>
      <c r="J129" s="104">
        <f t="shared" si="17"/>
        <v>0</v>
      </c>
      <c r="K129" s="104">
        <f t="shared" si="18"/>
        <v>0</v>
      </c>
      <c r="L129" s="104"/>
      <c r="M129" s="106">
        <f t="shared" si="19"/>
        <v>0</v>
      </c>
      <c r="N129" s="106">
        <f t="shared" si="20"/>
        <v>0</v>
      </c>
      <c r="O129" s="84"/>
      <c r="P129" s="84"/>
      <c r="Q129" s="84"/>
      <c r="R129" s="84"/>
      <c r="S129" s="84"/>
    </row>
    <row r="130" spans="1:20" s="91" customFormat="1" x14ac:dyDescent="0.25">
      <c r="A130" s="137">
        <f t="shared" si="15"/>
        <v>0</v>
      </c>
      <c r="B130" s="38" t="str">
        <f t="shared" si="21"/>
        <v/>
      </c>
      <c r="C130" s="39" t="s">
        <v>54</v>
      </c>
      <c r="D130" s="39"/>
      <c r="E130" s="39"/>
      <c r="F130" s="39"/>
      <c r="G130" s="84"/>
      <c r="H130" s="101">
        <v>125</v>
      </c>
      <c r="I130" s="102" t="str">
        <f t="shared" si="16"/>
        <v/>
      </c>
      <c r="J130" s="101">
        <f t="shared" si="17"/>
        <v>0</v>
      </c>
      <c r="K130" s="101">
        <f t="shared" si="18"/>
        <v>0</v>
      </c>
      <c r="L130" s="101"/>
      <c r="M130" s="103">
        <f t="shared" si="19"/>
        <v>0</v>
      </c>
      <c r="N130" s="103">
        <f t="shared" si="20"/>
        <v>0</v>
      </c>
      <c r="O130" s="84"/>
      <c r="P130" s="84"/>
      <c r="Q130" s="84"/>
      <c r="R130" s="84"/>
      <c r="S130" s="114"/>
      <c r="T130" s="115"/>
    </row>
    <row r="131" spans="1:20" s="91" customFormat="1" x14ac:dyDescent="0.25">
      <c r="A131" s="138">
        <f t="shared" si="15"/>
        <v>0</v>
      </c>
      <c r="B131" s="44" t="str">
        <f t="shared" si="21"/>
        <v/>
      </c>
      <c r="C131" s="45" t="s">
        <v>54</v>
      </c>
      <c r="D131" s="45"/>
      <c r="E131" s="45"/>
      <c r="F131" s="45"/>
      <c r="G131" s="84"/>
      <c r="H131" s="104">
        <v>126</v>
      </c>
      <c r="I131" s="105" t="str">
        <f t="shared" si="16"/>
        <v/>
      </c>
      <c r="J131" s="104">
        <f t="shared" si="17"/>
        <v>0</v>
      </c>
      <c r="K131" s="104">
        <f t="shared" si="18"/>
        <v>0</v>
      </c>
      <c r="L131" s="104"/>
      <c r="M131" s="106">
        <f t="shared" si="19"/>
        <v>0</v>
      </c>
      <c r="N131" s="106">
        <f t="shared" si="20"/>
        <v>0</v>
      </c>
      <c r="O131" s="84"/>
      <c r="P131" s="84"/>
      <c r="Q131" s="84"/>
      <c r="R131" s="84"/>
      <c r="S131" s="84"/>
    </row>
    <row r="132" spans="1:20" s="91" customFormat="1" x14ac:dyDescent="0.25">
      <c r="A132" s="137">
        <f t="shared" si="15"/>
        <v>0</v>
      </c>
      <c r="B132" s="38" t="str">
        <f t="shared" si="21"/>
        <v/>
      </c>
      <c r="C132" s="39" t="s">
        <v>54</v>
      </c>
      <c r="D132" s="39"/>
      <c r="E132" s="39"/>
      <c r="F132" s="39"/>
      <c r="G132" s="84"/>
      <c r="H132" s="101">
        <v>127</v>
      </c>
      <c r="I132" s="102" t="str">
        <f t="shared" si="16"/>
        <v/>
      </c>
      <c r="J132" s="101">
        <f t="shared" si="17"/>
        <v>0</v>
      </c>
      <c r="K132" s="101">
        <f t="shared" si="18"/>
        <v>0</v>
      </c>
      <c r="L132" s="101"/>
      <c r="M132" s="103">
        <f t="shared" si="19"/>
        <v>0</v>
      </c>
      <c r="N132" s="103">
        <f t="shared" si="20"/>
        <v>0</v>
      </c>
      <c r="O132" s="84"/>
      <c r="P132" s="84"/>
      <c r="Q132" s="84"/>
      <c r="R132" s="84"/>
      <c r="S132" s="114"/>
      <c r="T132" s="115"/>
    </row>
    <row r="133" spans="1:20" s="91" customFormat="1" x14ac:dyDescent="0.25">
      <c r="A133" s="138">
        <f t="shared" si="15"/>
        <v>0</v>
      </c>
      <c r="B133" s="44" t="str">
        <f t="shared" si="21"/>
        <v/>
      </c>
      <c r="C133" s="45" t="s">
        <v>54</v>
      </c>
      <c r="D133" s="45"/>
      <c r="E133" s="45"/>
      <c r="F133" s="45"/>
      <c r="G133" s="84"/>
      <c r="H133" s="104">
        <v>128</v>
      </c>
      <c r="I133" s="105" t="str">
        <f t="shared" si="16"/>
        <v/>
      </c>
      <c r="J133" s="104">
        <f t="shared" si="17"/>
        <v>0</v>
      </c>
      <c r="K133" s="104">
        <f t="shared" si="18"/>
        <v>0</v>
      </c>
      <c r="L133" s="104"/>
      <c r="M133" s="106">
        <f t="shared" si="19"/>
        <v>0</v>
      </c>
      <c r="N133" s="106">
        <f t="shared" si="20"/>
        <v>0</v>
      </c>
      <c r="O133" s="84"/>
      <c r="P133" s="84"/>
      <c r="Q133" s="84"/>
      <c r="R133" s="84"/>
      <c r="S133" s="84"/>
    </row>
    <row r="134" spans="1:20" s="91" customFormat="1" x14ac:dyDescent="0.25">
      <c r="A134" s="137">
        <f t="shared" si="15"/>
        <v>0</v>
      </c>
      <c r="B134" s="38" t="str">
        <f t="shared" si="21"/>
        <v/>
      </c>
      <c r="C134" s="39" t="s">
        <v>54</v>
      </c>
      <c r="D134" s="39"/>
      <c r="E134" s="39"/>
      <c r="F134" s="39"/>
      <c r="G134" s="84"/>
      <c r="H134" s="101">
        <v>129</v>
      </c>
      <c r="I134" s="102" t="str">
        <f t="shared" si="16"/>
        <v/>
      </c>
      <c r="J134" s="101">
        <f t="shared" si="17"/>
        <v>-1</v>
      </c>
      <c r="K134" s="101">
        <f t="shared" si="18"/>
        <v>-10</v>
      </c>
      <c r="L134" s="101"/>
      <c r="M134" s="103">
        <f t="shared" si="19"/>
        <v>0</v>
      </c>
      <c r="N134" s="103">
        <f t="shared" si="20"/>
        <v>0</v>
      </c>
      <c r="O134" s="84"/>
      <c r="P134" s="84"/>
      <c r="Q134" s="84"/>
      <c r="R134" s="84"/>
      <c r="S134" s="114"/>
      <c r="T134" s="115"/>
    </row>
    <row r="135" spans="1:20" s="91" customFormat="1" x14ac:dyDescent="0.25">
      <c r="A135" s="138">
        <f t="shared" si="15"/>
        <v>0</v>
      </c>
      <c r="B135" s="44" t="str">
        <f t="shared" si="21"/>
        <v/>
      </c>
      <c r="C135" s="45" t="s">
        <v>54</v>
      </c>
      <c r="D135" s="45"/>
      <c r="E135" s="45"/>
      <c r="F135" s="45"/>
      <c r="G135" s="84"/>
      <c r="H135" s="104">
        <v>130</v>
      </c>
      <c r="I135" s="105" t="str">
        <f t="shared" si="16"/>
        <v/>
      </c>
      <c r="J135" s="104">
        <f t="shared" si="17"/>
        <v>-1</v>
      </c>
      <c r="K135" s="104">
        <f t="shared" si="18"/>
        <v>-10</v>
      </c>
      <c r="L135" s="104"/>
      <c r="M135" s="106">
        <f t="shared" si="19"/>
        <v>0</v>
      </c>
      <c r="N135" s="106">
        <f t="shared" si="20"/>
        <v>0</v>
      </c>
      <c r="O135" s="84"/>
      <c r="P135" s="84"/>
      <c r="Q135" s="84"/>
      <c r="R135" s="84"/>
      <c r="S135" s="84"/>
    </row>
    <row r="136" spans="1:20" s="91" customFormat="1" x14ac:dyDescent="0.25">
      <c r="A136" s="137">
        <f t="shared" si="15"/>
        <v>0</v>
      </c>
      <c r="B136" s="38" t="str">
        <f t="shared" si="21"/>
        <v/>
      </c>
      <c r="C136" s="39" t="s">
        <v>54</v>
      </c>
      <c r="D136" s="39"/>
      <c r="E136" s="39"/>
      <c r="F136" s="39"/>
      <c r="G136" s="84"/>
      <c r="H136" s="101">
        <v>131</v>
      </c>
      <c r="I136" s="102" t="str">
        <f t="shared" si="16"/>
        <v/>
      </c>
      <c r="J136" s="101">
        <f t="shared" si="17"/>
        <v>-1</v>
      </c>
      <c r="K136" s="101">
        <f t="shared" si="18"/>
        <v>-10</v>
      </c>
      <c r="L136" s="101"/>
      <c r="M136" s="103">
        <f t="shared" si="19"/>
        <v>0</v>
      </c>
      <c r="N136" s="103">
        <f t="shared" si="20"/>
        <v>0</v>
      </c>
      <c r="O136" s="84"/>
      <c r="P136" s="84"/>
      <c r="Q136" s="84"/>
      <c r="R136" s="84"/>
      <c r="S136" s="114"/>
      <c r="T136" s="115"/>
    </row>
    <row r="137" spans="1:20" s="91" customFormat="1" x14ac:dyDescent="0.25">
      <c r="A137" s="138">
        <f t="shared" si="15"/>
        <v>0</v>
      </c>
      <c r="B137" s="44" t="str">
        <f t="shared" si="21"/>
        <v/>
      </c>
      <c r="C137" s="45" t="s">
        <v>54</v>
      </c>
      <c r="D137" s="45"/>
      <c r="E137" s="45"/>
      <c r="F137" s="45"/>
      <c r="G137" s="84"/>
      <c r="H137" s="104">
        <v>132</v>
      </c>
      <c r="I137" s="105" t="str">
        <f t="shared" si="16"/>
        <v/>
      </c>
      <c r="J137" s="104">
        <f t="shared" si="17"/>
        <v>-1</v>
      </c>
      <c r="K137" s="104">
        <f t="shared" si="18"/>
        <v>-10</v>
      </c>
      <c r="L137" s="104"/>
      <c r="M137" s="106">
        <f t="shared" si="19"/>
        <v>0</v>
      </c>
      <c r="N137" s="106">
        <f t="shared" si="20"/>
        <v>0</v>
      </c>
      <c r="O137" s="84"/>
      <c r="P137" s="84"/>
      <c r="Q137" s="84"/>
      <c r="R137" s="84"/>
      <c r="S137" s="84"/>
    </row>
    <row r="138" spans="1:20" s="91" customFormat="1" x14ac:dyDescent="0.25">
      <c r="A138" s="137">
        <f t="shared" si="15"/>
        <v>0</v>
      </c>
      <c r="B138" s="38" t="str">
        <f t="shared" si="21"/>
        <v/>
      </c>
      <c r="C138" s="39" t="s">
        <v>54</v>
      </c>
      <c r="D138" s="39"/>
      <c r="E138" s="39"/>
      <c r="F138" s="39"/>
      <c r="G138" s="84"/>
      <c r="H138" s="101">
        <v>133</v>
      </c>
      <c r="I138" s="102" t="str">
        <f t="shared" si="16"/>
        <v/>
      </c>
      <c r="J138" s="101">
        <f t="shared" si="17"/>
        <v>-1</v>
      </c>
      <c r="K138" s="101">
        <f t="shared" si="18"/>
        <v>-10</v>
      </c>
      <c r="L138" s="101"/>
      <c r="M138" s="103">
        <f t="shared" si="19"/>
        <v>0</v>
      </c>
      <c r="N138" s="103">
        <f t="shared" si="20"/>
        <v>0</v>
      </c>
      <c r="O138" s="84"/>
      <c r="P138" s="84"/>
      <c r="Q138" s="84"/>
      <c r="R138" s="84"/>
      <c r="S138" s="114"/>
      <c r="T138" s="115"/>
    </row>
    <row r="139" spans="1:20" s="91" customFormat="1" x14ac:dyDescent="0.25">
      <c r="A139" s="138">
        <f t="shared" si="15"/>
        <v>0</v>
      </c>
      <c r="B139" s="44" t="str">
        <f t="shared" si="21"/>
        <v/>
      </c>
      <c r="C139" s="45" t="s">
        <v>54</v>
      </c>
      <c r="D139" s="45"/>
      <c r="E139" s="45"/>
      <c r="F139" s="45"/>
      <c r="G139" s="84"/>
      <c r="H139" s="104">
        <v>134</v>
      </c>
      <c r="I139" s="105" t="str">
        <f t="shared" si="16"/>
        <v/>
      </c>
      <c r="J139" s="104">
        <f t="shared" si="17"/>
        <v>-1</v>
      </c>
      <c r="K139" s="104">
        <f t="shared" si="18"/>
        <v>-10</v>
      </c>
      <c r="L139" s="104"/>
      <c r="M139" s="106">
        <f t="shared" si="19"/>
        <v>0</v>
      </c>
      <c r="N139" s="106">
        <f t="shared" si="20"/>
        <v>0</v>
      </c>
      <c r="O139" s="84"/>
      <c r="P139" s="84"/>
      <c r="Q139" s="84"/>
      <c r="R139" s="84"/>
      <c r="S139" s="84"/>
    </row>
    <row r="140" spans="1:20" s="91" customFormat="1" x14ac:dyDescent="0.25">
      <c r="A140" s="137">
        <f t="shared" si="15"/>
        <v>0</v>
      </c>
      <c r="B140" s="38" t="str">
        <f t="shared" si="21"/>
        <v/>
      </c>
      <c r="C140" s="39" t="s">
        <v>54</v>
      </c>
      <c r="D140" s="39"/>
      <c r="E140" s="39"/>
      <c r="F140" s="39"/>
      <c r="G140" s="84"/>
      <c r="H140" s="101">
        <v>135</v>
      </c>
      <c r="I140" s="102" t="str">
        <f t="shared" si="16"/>
        <v/>
      </c>
      <c r="J140" s="101">
        <f t="shared" si="17"/>
        <v>-1</v>
      </c>
      <c r="K140" s="101">
        <f t="shared" si="18"/>
        <v>-10</v>
      </c>
      <c r="L140" s="101"/>
      <c r="M140" s="103">
        <f t="shared" si="19"/>
        <v>0</v>
      </c>
      <c r="N140" s="103">
        <f t="shared" si="20"/>
        <v>0</v>
      </c>
      <c r="O140" s="84"/>
      <c r="P140" s="84"/>
      <c r="Q140" s="84"/>
      <c r="R140" s="84"/>
      <c r="S140" s="114"/>
      <c r="T140" s="115"/>
    </row>
    <row r="141" spans="1:20" s="91" customFormat="1" x14ac:dyDescent="0.25">
      <c r="A141" s="138">
        <f t="shared" si="15"/>
        <v>0</v>
      </c>
      <c r="B141" s="44" t="str">
        <f t="shared" si="21"/>
        <v/>
      </c>
      <c r="C141" s="45" t="s">
        <v>54</v>
      </c>
      <c r="D141" s="45"/>
      <c r="E141" s="45"/>
      <c r="F141" s="45"/>
      <c r="G141" s="84"/>
      <c r="H141" s="104">
        <v>136</v>
      </c>
      <c r="I141" s="105" t="str">
        <f t="shared" si="16"/>
        <v/>
      </c>
      <c r="J141" s="104">
        <f t="shared" si="17"/>
        <v>-1</v>
      </c>
      <c r="K141" s="104">
        <f t="shared" si="18"/>
        <v>-10</v>
      </c>
      <c r="L141" s="104"/>
      <c r="M141" s="106">
        <f t="shared" si="19"/>
        <v>0</v>
      </c>
      <c r="N141" s="106">
        <f t="shared" si="20"/>
        <v>0</v>
      </c>
      <c r="O141" s="84"/>
      <c r="P141" s="84"/>
      <c r="Q141" s="84"/>
      <c r="R141" s="84"/>
      <c r="S141" s="84"/>
    </row>
    <row r="142" spans="1:20" s="91" customFormat="1" x14ac:dyDescent="0.25">
      <c r="A142" s="137">
        <f t="shared" si="15"/>
        <v>0</v>
      </c>
      <c r="B142" s="38" t="str">
        <f t="shared" si="21"/>
        <v/>
      </c>
      <c r="C142" s="39" t="s">
        <v>54</v>
      </c>
      <c r="D142" s="39"/>
      <c r="E142" s="39"/>
      <c r="F142" s="39"/>
      <c r="G142" s="84"/>
      <c r="H142" s="101">
        <v>137</v>
      </c>
      <c r="I142" s="102" t="str">
        <f t="shared" si="16"/>
        <v/>
      </c>
      <c r="J142" s="101">
        <f t="shared" si="17"/>
        <v>-1</v>
      </c>
      <c r="K142" s="101">
        <f t="shared" si="18"/>
        <v>-10</v>
      </c>
      <c r="L142" s="101"/>
      <c r="M142" s="103">
        <f t="shared" si="19"/>
        <v>0</v>
      </c>
      <c r="N142" s="103">
        <f t="shared" si="20"/>
        <v>0</v>
      </c>
      <c r="O142" s="84"/>
      <c r="P142" s="84"/>
      <c r="Q142" s="84"/>
      <c r="R142" s="84"/>
      <c r="S142" s="114"/>
      <c r="T142" s="115"/>
    </row>
    <row r="143" spans="1:20" s="91" customFormat="1" x14ac:dyDescent="0.25">
      <c r="A143" s="138">
        <f t="shared" si="15"/>
        <v>0</v>
      </c>
      <c r="B143" s="44" t="str">
        <f t="shared" si="21"/>
        <v/>
      </c>
      <c r="C143" s="45" t="s">
        <v>54</v>
      </c>
      <c r="D143" s="45"/>
      <c r="E143" s="45"/>
      <c r="F143" s="45"/>
      <c r="G143" s="84"/>
      <c r="H143" s="104">
        <v>138</v>
      </c>
      <c r="I143" s="105" t="str">
        <f t="shared" si="16"/>
        <v/>
      </c>
      <c r="J143" s="104">
        <f t="shared" si="17"/>
        <v>-1</v>
      </c>
      <c r="K143" s="104">
        <f t="shared" si="18"/>
        <v>-10</v>
      </c>
      <c r="L143" s="104"/>
      <c r="M143" s="106">
        <f t="shared" si="19"/>
        <v>0</v>
      </c>
      <c r="N143" s="106">
        <f t="shared" si="20"/>
        <v>0</v>
      </c>
      <c r="O143" s="84"/>
      <c r="P143" s="84"/>
      <c r="Q143" s="84"/>
      <c r="R143" s="84"/>
      <c r="S143" s="84"/>
    </row>
    <row r="144" spans="1:20" s="91" customFormat="1" x14ac:dyDescent="0.25">
      <c r="A144" s="137">
        <f t="shared" si="15"/>
        <v>0</v>
      </c>
      <c r="B144" s="38" t="str">
        <f t="shared" si="21"/>
        <v/>
      </c>
      <c r="C144" s="39" t="s">
        <v>54</v>
      </c>
      <c r="D144" s="39"/>
      <c r="E144" s="39"/>
      <c r="F144" s="39"/>
      <c r="G144" s="84"/>
      <c r="H144" s="101">
        <v>139</v>
      </c>
      <c r="I144" s="102" t="str">
        <f t="shared" si="16"/>
        <v/>
      </c>
      <c r="J144" s="101">
        <f t="shared" si="17"/>
        <v>-1</v>
      </c>
      <c r="K144" s="101">
        <f t="shared" si="18"/>
        <v>-10</v>
      </c>
      <c r="L144" s="101"/>
      <c r="M144" s="103">
        <f t="shared" si="19"/>
        <v>0</v>
      </c>
      <c r="N144" s="103">
        <f t="shared" si="20"/>
        <v>0</v>
      </c>
      <c r="O144" s="84"/>
      <c r="P144" s="84"/>
      <c r="Q144" s="84"/>
      <c r="R144" s="84"/>
      <c r="S144" s="114"/>
      <c r="T144" s="115"/>
    </row>
    <row r="145" spans="1:20" s="91" customFormat="1" x14ac:dyDescent="0.25">
      <c r="A145" s="138">
        <f t="shared" si="15"/>
        <v>0</v>
      </c>
      <c r="B145" s="44" t="str">
        <f t="shared" si="21"/>
        <v/>
      </c>
      <c r="C145" s="45" t="s">
        <v>54</v>
      </c>
      <c r="D145" s="45"/>
      <c r="E145" s="45"/>
      <c r="F145" s="45"/>
      <c r="G145" s="84"/>
      <c r="H145" s="104">
        <v>140</v>
      </c>
      <c r="I145" s="105" t="str">
        <f t="shared" si="16"/>
        <v/>
      </c>
      <c r="J145" s="104">
        <f t="shared" si="17"/>
        <v>-1</v>
      </c>
      <c r="K145" s="104">
        <f t="shared" si="18"/>
        <v>-10</v>
      </c>
      <c r="L145" s="104"/>
      <c r="M145" s="106">
        <f t="shared" si="19"/>
        <v>0</v>
      </c>
      <c r="N145" s="106">
        <f t="shared" si="20"/>
        <v>0</v>
      </c>
      <c r="O145" s="84"/>
      <c r="P145" s="84"/>
      <c r="Q145" s="84"/>
      <c r="R145" s="84"/>
      <c r="S145" s="84"/>
    </row>
    <row r="146" spans="1:20" s="91" customFormat="1" x14ac:dyDescent="0.25">
      <c r="A146" s="137">
        <f t="shared" si="15"/>
        <v>0</v>
      </c>
      <c r="B146" s="38" t="str">
        <f t="shared" si="21"/>
        <v/>
      </c>
      <c r="C146" s="39" t="s">
        <v>54</v>
      </c>
      <c r="D146" s="39"/>
      <c r="E146" s="39"/>
      <c r="F146" s="39"/>
      <c r="G146" s="84"/>
      <c r="H146" s="101">
        <v>141</v>
      </c>
      <c r="I146" s="102" t="str">
        <f t="shared" si="16"/>
        <v/>
      </c>
      <c r="J146" s="101">
        <f t="shared" si="17"/>
        <v>-1</v>
      </c>
      <c r="K146" s="101">
        <f t="shared" si="18"/>
        <v>-10</v>
      </c>
      <c r="L146" s="101"/>
      <c r="M146" s="103">
        <f t="shared" si="19"/>
        <v>0</v>
      </c>
      <c r="N146" s="103">
        <f t="shared" si="20"/>
        <v>0</v>
      </c>
      <c r="O146" s="84"/>
      <c r="P146" s="84"/>
      <c r="Q146" s="84"/>
      <c r="R146" s="84"/>
      <c r="S146" s="114"/>
      <c r="T146" s="115"/>
    </row>
    <row r="147" spans="1:20" s="91" customFormat="1" x14ac:dyDescent="0.25">
      <c r="A147" s="138">
        <f t="shared" si="15"/>
        <v>0</v>
      </c>
      <c r="B147" s="44" t="str">
        <f t="shared" si="21"/>
        <v/>
      </c>
      <c r="C147" s="45" t="s">
        <v>54</v>
      </c>
      <c r="D147" s="45"/>
      <c r="E147" s="45"/>
      <c r="F147" s="45"/>
      <c r="G147" s="84"/>
      <c r="H147" s="104">
        <v>142</v>
      </c>
      <c r="I147" s="105" t="str">
        <f t="shared" si="16"/>
        <v/>
      </c>
      <c r="J147" s="104">
        <f t="shared" si="17"/>
        <v>-1</v>
      </c>
      <c r="K147" s="104">
        <f t="shared" si="18"/>
        <v>-10</v>
      </c>
      <c r="L147" s="104"/>
      <c r="M147" s="106">
        <f t="shared" si="19"/>
        <v>0</v>
      </c>
      <c r="N147" s="106">
        <f t="shared" si="20"/>
        <v>0</v>
      </c>
      <c r="O147" s="84"/>
      <c r="P147" s="84"/>
      <c r="Q147" s="84"/>
      <c r="R147" s="84"/>
      <c r="S147" s="84"/>
    </row>
    <row r="148" spans="1:20" s="91" customFormat="1" x14ac:dyDescent="0.25">
      <c r="A148" s="137">
        <f t="shared" si="15"/>
        <v>0</v>
      </c>
      <c r="B148" s="38" t="str">
        <f t="shared" si="21"/>
        <v/>
      </c>
      <c r="C148" s="39" t="s">
        <v>54</v>
      </c>
      <c r="D148" s="39"/>
      <c r="E148" s="39"/>
      <c r="F148" s="39"/>
      <c r="G148" s="84"/>
      <c r="H148" s="101">
        <v>143</v>
      </c>
      <c r="I148" s="102" t="str">
        <f t="shared" si="16"/>
        <v/>
      </c>
      <c r="J148" s="101">
        <f t="shared" si="17"/>
        <v>-1</v>
      </c>
      <c r="K148" s="101">
        <f t="shared" si="18"/>
        <v>-10</v>
      </c>
      <c r="L148" s="101"/>
      <c r="M148" s="103">
        <f t="shared" si="19"/>
        <v>0</v>
      </c>
      <c r="N148" s="103">
        <f t="shared" si="20"/>
        <v>0</v>
      </c>
      <c r="O148" s="84"/>
      <c r="P148" s="84"/>
      <c r="Q148" s="84"/>
      <c r="R148" s="84"/>
      <c r="S148" s="114"/>
      <c r="T148" s="115"/>
    </row>
    <row r="149" spans="1:20" s="91" customFormat="1" x14ac:dyDescent="0.25">
      <c r="A149" s="138">
        <f t="shared" si="15"/>
        <v>0</v>
      </c>
      <c r="B149" s="44" t="str">
        <f t="shared" si="21"/>
        <v/>
      </c>
      <c r="C149" s="45" t="s">
        <v>54</v>
      </c>
      <c r="D149" s="45"/>
      <c r="E149" s="45"/>
      <c r="F149" s="45"/>
      <c r="G149" s="84"/>
      <c r="H149" s="104">
        <v>144</v>
      </c>
      <c r="I149" s="105" t="str">
        <f t="shared" si="16"/>
        <v/>
      </c>
      <c r="J149" s="104">
        <f t="shared" si="17"/>
        <v>-1</v>
      </c>
      <c r="K149" s="104">
        <f t="shared" si="18"/>
        <v>-10</v>
      </c>
      <c r="L149" s="104"/>
      <c r="M149" s="106">
        <f t="shared" si="19"/>
        <v>0</v>
      </c>
      <c r="N149" s="106">
        <f t="shared" si="20"/>
        <v>0</v>
      </c>
      <c r="O149" s="84"/>
      <c r="P149" s="84"/>
      <c r="Q149" s="84"/>
      <c r="R149" s="84"/>
      <c r="S149" s="84"/>
    </row>
    <row r="150" spans="1:20" s="91" customFormat="1" x14ac:dyDescent="0.25">
      <c r="A150" s="137">
        <f t="shared" si="15"/>
        <v>0</v>
      </c>
      <c r="B150" s="38" t="str">
        <f t="shared" si="21"/>
        <v/>
      </c>
      <c r="C150" s="39" t="s">
        <v>54</v>
      </c>
      <c r="D150" s="39"/>
      <c r="E150" s="39"/>
      <c r="F150" s="39"/>
      <c r="G150" s="84"/>
      <c r="H150" s="101">
        <v>145</v>
      </c>
      <c r="I150" s="102" t="str">
        <f t="shared" si="16"/>
        <v/>
      </c>
      <c r="J150" s="101">
        <f t="shared" si="17"/>
        <v>-1</v>
      </c>
      <c r="K150" s="101">
        <f t="shared" si="18"/>
        <v>-10</v>
      </c>
      <c r="L150" s="101"/>
      <c r="M150" s="103">
        <f t="shared" si="19"/>
        <v>0</v>
      </c>
      <c r="N150" s="103">
        <f t="shared" si="20"/>
        <v>0</v>
      </c>
      <c r="O150" s="84"/>
      <c r="P150" s="84"/>
      <c r="Q150" s="84"/>
      <c r="R150" s="84"/>
      <c r="S150" s="114"/>
      <c r="T150" s="115"/>
    </row>
    <row r="151" spans="1:20" s="91" customFormat="1" x14ac:dyDescent="0.25">
      <c r="A151" s="138">
        <f t="shared" si="15"/>
        <v>0</v>
      </c>
      <c r="B151" s="44" t="str">
        <f t="shared" si="21"/>
        <v/>
      </c>
      <c r="C151" s="45" t="s">
        <v>54</v>
      </c>
      <c r="D151" s="45"/>
      <c r="E151" s="45"/>
      <c r="F151" s="45"/>
      <c r="G151" s="84"/>
      <c r="H151" s="104">
        <v>146</v>
      </c>
      <c r="I151" s="105" t="str">
        <f t="shared" si="16"/>
        <v/>
      </c>
      <c r="J151" s="104">
        <f t="shared" si="17"/>
        <v>-1</v>
      </c>
      <c r="K151" s="104">
        <f t="shared" si="18"/>
        <v>-10</v>
      </c>
      <c r="L151" s="104"/>
      <c r="M151" s="106">
        <f t="shared" si="19"/>
        <v>0</v>
      </c>
      <c r="N151" s="106">
        <f t="shared" si="20"/>
        <v>0</v>
      </c>
      <c r="O151" s="84"/>
      <c r="P151" s="84"/>
      <c r="Q151" s="84"/>
      <c r="R151" s="84"/>
      <c r="S151" s="84"/>
    </row>
    <row r="152" spans="1:20" s="91" customFormat="1" x14ac:dyDescent="0.25">
      <c r="A152" s="137">
        <f t="shared" si="15"/>
        <v>0</v>
      </c>
      <c r="B152" s="38" t="str">
        <f t="shared" si="21"/>
        <v/>
      </c>
      <c r="C152" s="39" t="s">
        <v>54</v>
      </c>
      <c r="D152" s="39"/>
      <c r="E152" s="39"/>
      <c r="F152" s="39"/>
      <c r="G152" s="84"/>
      <c r="H152" s="101">
        <v>147</v>
      </c>
      <c r="I152" s="102" t="str">
        <f t="shared" si="16"/>
        <v/>
      </c>
      <c r="J152" s="101">
        <f t="shared" si="17"/>
        <v>-1</v>
      </c>
      <c r="K152" s="101">
        <f t="shared" si="18"/>
        <v>-10</v>
      </c>
      <c r="L152" s="101"/>
      <c r="M152" s="103">
        <f t="shared" si="19"/>
        <v>0</v>
      </c>
      <c r="N152" s="103">
        <f t="shared" si="20"/>
        <v>0</v>
      </c>
      <c r="O152" s="84"/>
      <c r="P152" s="84"/>
      <c r="Q152" s="84"/>
      <c r="R152" s="84"/>
      <c r="S152" s="114"/>
      <c r="T152" s="115"/>
    </row>
    <row r="153" spans="1:20" s="91" customFormat="1" x14ac:dyDescent="0.25">
      <c r="A153" s="138">
        <f t="shared" si="15"/>
        <v>0</v>
      </c>
      <c r="B153" s="44" t="str">
        <f t="shared" si="21"/>
        <v/>
      </c>
      <c r="C153" s="45" t="s">
        <v>54</v>
      </c>
      <c r="D153" s="45"/>
      <c r="E153" s="45"/>
      <c r="F153" s="45"/>
      <c r="G153" s="84"/>
      <c r="H153" s="104">
        <v>148</v>
      </c>
      <c r="I153" s="105" t="str">
        <f t="shared" si="16"/>
        <v/>
      </c>
      <c r="J153" s="104">
        <f t="shared" si="17"/>
        <v>-1</v>
      </c>
      <c r="K153" s="104">
        <f t="shared" si="18"/>
        <v>-10</v>
      </c>
      <c r="L153" s="104"/>
      <c r="M153" s="106">
        <f t="shared" si="19"/>
        <v>0</v>
      </c>
      <c r="N153" s="106">
        <f t="shared" si="20"/>
        <v>0</v>
      </c>
      <c r="O153" s="84"/>
      <c r="P153" s="84"/>
      <c r="Q153" s="84"/>
      <c r="R153" s="84"/>
      <c r="S153" s="84"/>
    </row>
    <row r="154" spans="1:20" s="91" customFormat="1" x14ac:dyDescent="0.25">
      <c r="A154" s="137">
        <f t="shared" si="15"/>
        <v>0</v>
      </c>
      <c r="B154" s="38" t="str">
        <f t="shared" si="21"/>
        <v/>
      </c>
      <c r="C154" s="39" t="s">
        <v>54</v>
      </c>
      <c r="D154" s="39"/>
      <c r="E154" s="39"/>
      <c r="F154" s="39"/>
      <c r="G154" s="84"/>
      <c r="H154" s="101">
        <v>149</v>
      </c>
      <c r="I154" s="102" t="str">
        <f t="shared" si="16"/>
        <v/>
      </c>
      <c r="J154" s="101">
        <f t="shared" si="17"/>
        <v>-1</v>
      </c>
      <c r="K154" s="101">
        <f t="shared" si="18"/>
        <v>-10</v>
      </c>
      <c r="L154" s="101"/>
      <c r="M154" s="103">
        <f t="shared" si="19"/>
        <v>0</v>
      </c>
      <c r="N154" s="103">
        <f t="shared" si="20"/>
        <v>0</v>
      </c>
      <c r="O154" s="84"/>
      <c r="P154" s="84"/>
      <c r="Q154" s="84"/>
      <c r="R154" s="84"/>
      <c r="S154" s="114"/>
      <c r="T154" s="115"/>
    </row>
    <row r="155" spans="1:20" s="91" customFormat="1" x14ac:dyDescent="0.25">
      <c r="A155" s="138">
        <f t="shared" si="15"/>
        <v>0</v>
      </c>
      <c r="B155" s="44" t="str">
        <f t="shared" si="21"/>
        <v/>
      </c>
      <c r="C155" s="45" t="s">
        <v>54</v>
      </c>
      <c r="D155" s="45"/>
      <c r="E155" s="45"/>
      <c r="F155" s="45"/>
      <c r="G155" s="84"/>
      <c r="H155" s="104">
        <v>150</v>
      </c>
      <c r="I155" s="105" t="str">
        <f t="shared" si="16"/>
        <v/>
      </c>
      <c r="J155" s="104">
        <f t="shared" si="17"/>
        <v>-1</v>
      </c>
      <c r="K155" s="104">
        <f t="shared" si="18"/>
        <v>-10</v>
      </c>
      <c r="L155" s="104"/>
      <c r="M155" s="106">
        <f t="shared" si="19"/>
        <v>0</v>
      </c>
      <c r="N155" s="106">
        <f t="shared" si="20"/>
        <v>0</v>
      </c>
      <c r="O155" s="84"/>
      <c r="P155" s="84"/>
      <c r="Q155" s="84"/>
      <c r="R155" s="84"/>
      <c r="S155" s="84"/>
    </row>
    <row r="156" spans="1:20" s="91" customFormat="1" x14ac:dyDescent="0.25">
      <c r="A156" s="137">
        <f t="shared" si="15"/>
        <v>0</v>
      </c>
      <c r="B156" s="38" t="str">
        <f t="shared" si="21"/>
        <v/>
      </c>
      <c r="C156" s="39" t="s">
        <v>54</v>
      </c>
      <c r="D156" s="39"/>
      <c r="E156" s="39"/>
      <c r="F156" s="39"/>
      <c r="G156" s="84"/>
      <c r="H156" s="101">
        <v>151</v>
      </c>
      <c r="I156" s="102" t="str">
        <f t="shared" si="16"/>
        <v/>
      </c>
      <c r="J156" s="101">
        <f t="shared" si="17"/>
        <v>-1</v>
      </c>
      <c r="K156" s="101">
        <f t="shared" si="18"/>
        <v>-10</v>
      </c>
      <c r="L156" s="101"/>
      <c r="M156" s="103">
        <f t="shared" si="19"/>
        <v>0</v>
      </c>
      <c r="N156" s="103">
        <f t="shared" si="20"/>
        <v>0</v>
      </c>
      <c r="O156" s="84"/>
      <c r="P156" s="84"/>
      <c r="Q156" s="84"/>
      <c r="R156" s="84"/>
      <c r="S156" s="114"/>
      <c r="T156" s="115"/>
    </row>
    <row r="157" spans="1:20" s="91" customFormat="1" x14ac:dyDescent="0.25">
      <c r="A157" s="138">
        <f t="shared" si="15"/>
        <v>0</v>
      </c>
      <c r="B157" s="44" t="str">
        <f t="shared" si="21"/>
        <v/>
      </c>
      <c r="C157" s="45" t="s">
        <v>54</v>
      </c>
      <c r="D157" s="45"/>
      <c r="E157" s="45"/>
      <c r="F157" s="45"/>
      <c r="G157" s="84"/>
      <c r="H157" s="104">
        <v>152</v>
      </c>
      <c r="I157" s="105" t="str">
        <f t="shared" si="16"/>
        <v/>
      </c>
      <c r="J157" s="104">
        <f t="shared" si="17"/>
        <v>-1</v>
      </c>
      <c r="K157" s="104">
        <f t="shared" si="18"/>
        <v>-10</v>
      </c>
      <c r="L157" s="104"/>
      <c r="M157" s="106">
        <f t="shared" si="19"/>
        <v>0</v>
      </c>
      <c r="N157" s="106">
        <f t="shared" si="20"/>
        <v>0</v>
      </c>
      <c r="O157" s="84"/>
      <c r="P157" s="84"/>
      <c r="Q157" s="84"/>
      <c r="R157" s="84"/>
      <c r="S157" s="84"/>
    </row>
    <row r="158" spans="1:20" s="91" customFormat="1" x14ac:dyDescent="0.25">
      <c r="A158" s="137">
        <f t="shared" si="15"/>
        <v>0</v>
      </c>
      <c r="B158" s="38" t="str">
        <f t="shared" si="21"/>
        <v/>
      </c>
      <c r="C158" s="39" t="s">
        <v>54</v>
      </c>
      <c r="D158" s="39"/>
      <c r="E158" s="39"/>
      <c r="F158" s="39"/>
      <c r="G158" s="84"/>
      <c r="H158" s="101">
        <v>153</v>
      </c>
      <c r="I158" s="102" t="str">
        <f t="shared" si="16"/>
        <v/>
      </c>
      <c r="J158" s="101">
        <f t="shared" si="17"/>
        <v>-1</v>
      </c>
      <c r="K158" s="101">
        <f t="shared" si="18"/>
        <v>-10</v>
      </c>
      <c r="L158" s="101"/>
      <c r="M158" s="103">
        <f t="shared" si="19"/>
        <v>0</v>
      </c>
      <c r="N158" s="103">
        <f t="shared" si="20"/>
        <v>0</v>
      </c>
      <c r="O158" s="84"/>
      <c r="P158" s="84"/>
      <c r="Q158" s="84"/>
      <c r="R158" s="84"/>
      <c r="S158" s="114"/>
      <c r="T158" s="115"/>
    </row>
    <row r="159" spans="1:20" s="91" customFormat="1" x14ac:dyDescent="0.25">
      <c r="A159" s="138">
        <f t="shared" si="15"/>
        <v>0</v>
      </c>
      <c r="B159" s="44" t="str">
        <f t="shared" si="21"/>
        <v/>
      </c>
      <c r="C159" s="45" t="s">
        <v>54</v>
      </c>
      <c r="D159" s="45"/>
      <c r="E159" s="45"/>
      <c r="F159" s="45"/>
      <c r="G159" s="84"/>
      <c r="H159" s="104">
        <v>154</v>
      </c>
      <c r="I159" s="105" t="str">
        <f t="shared" si="16"/>
        <v/>
      </c>
      <c r="J159" s="104">
        <f t="shared" si="17"/>
        <v>-1</v>
      </c>
      <c r="K159" s="104">
        <f t="shared" si="18"/>
        <v>-10</v>
      </c>
      <c r="L159" s="104"/>
      <c r="M159" s="106">
        <f t="shared" si="19"/>
        <v>0</v>
      </c>
      <c r="N159" s="106">
        <f t="shared" si="20"/>
        <v>0</v>
      </c>
      <c r="O159" s="84"/>
      <c r="P159" s="84"/>
      <c r="Q159" s="84"/>
      <c r="R159" s="84"/>
      <c r="S159" s="84"/>
    </row>
    <row r="160" spans="1:20" s="91" customFormat="1" x14ac:dyDescent="0.25">
      <c r="A160" s="137">
        <f t="shared" si="15"/>
        <v>0</v>
      </c>
      <c r="B160" s="38" t="str">
        <f t="shared" si="21"/>
        <v/>
      </c>
      <c r="C160" s="39" t="s">
        <v>54</v>
      </c>
      <c r="D160" s="39"/>
      <c r="E160" s="39"/>
      <c r="F160" s="39"/>
      <c r="G160" s="84"/>
      <c r="H160" s="101">
        <v>155</v>
      </c>
      <c r="I160" s="102" t="str">
        <f t="shared" si="16"/>
        <v/>
      </c>
      <c r="J160" s="101">
        <f t="shared" si="17"/>
        <v>-1</v>
      </c>
      <c r="K160" s="101">
        <f t="shared" si="18"/>
        <v>-10</v>
      </c>
      <c r="L160" s="101"/>
      <c r="M160" s="103">
        <f t="shared" si="19"/>
        <v>0</v>
      </c>
      <c r="N160" s="103">
        <f t="shared" si="20"/>
        <v>0</v>
      </c>
      <c r="O160" s="84"/>
      <c r="P160" s="84"/>
      <c r="Q160" s="84"/>
      <c r="R160" s="84"/>
      <c r="S160" s="114"/>
      <c r="T160" s="115"/>
    </row>
    <row r="161" spans="1:20" s="91" customFormat="1" x14ac:dyDescent="0.25">
      <c r="A161" s="138">
        <f t="shared" si="15"/>
        <v>0</v>
      </c>
      <c r="B161" s="44" t="str">
        <f t="shared" si="21"/>
        <v/>
      </c>
      <c r="C161" s="45" t="s">
        <v>54</v>
      </c>
      <c r="D161" s="45"/>
      <c r="E161" s="45"/>
      <c r="F161" s="45"/>
      <c r="G161" s="84"/>
      <c r="H161" s="104">
        <v>156</v>
      </c>
      <c r="I161" s="105" t="str">
        <f t="shared" si="16"/>
        <v/>
      </c>
      <c r="J161" s="104">
        <f t="shared" si="17"/>
        <v>-1</v>
      </c>
      <c r="K161" s="104">
        <f t="shared" si="18"/>
        <v>-10</v>
      </c>
      <c r="L161" s="104"/>
      <c r="M161" s="106">
        <f t="shared" si="19"/>
        <v>0</v>
      </c>
      <c r="N161" s="106">
        <f t="shared" si="20"/>
        <v>0</v>
      </c>
      <c r="O161" s="84"/>
      <c r="P161" s="84"/>
      <c r="Q161" s="84"/>
      <c r="R161" s="84"/>
      <c r="S161" s="84"/>
    </row>
    <row r="162" spans="1:20" s="91" customFormat="1" x14ac:dyDescent="0.25">
      <c r="A162" s="137">
        <f t="shared" si="15"/>
        <v>0</v>
      </c>
      <c r="B162" s="38" t="str">
        <f t="shared" si="21"/>
        <v/>
      </c>
      <c r="C162" s="39" t="s">
        <v>54</v>
      </c>
      <c r="D162" s="39"/>
      <c r="E162" s="39"/>
      <c r="F162" s="39"/>
      <c r="G162" s="84"/>
      <c r="H162" s="101">
        <v>157</v>
      </c>
      <c r="I162" s="102" t="str">
        <f t="shared" si="16"/>
        <v/>
      </c>
      <c r="J162" s="101">
        <f t="shared" si="17"/>
        <v>-1</v>
      </c>
      <c r="K162" s="101">
        <f t="shared" si="18"/>
        <v>-10</v>
      </c>
      <c r="L162" s="101"/>
      <c r="M162" s="103">
        <f t="shared" si="19"/>
        <v>0</v>
      </c>
      <c r="N162" s="103">
        <f t="shared" si="20"/>
        <v>0</v>
      </c>
      <c r="O162" s="84"/>
      <c r="P162" s="84"/>
      <c r="Q162" s="84"/>
      <c r="R162" s="84"/>
      <c r="S162" s="114"/>
      <c r="T162" s="115"/>
    </row>
    <row r="163" spans="1:20" s="91" customFormat="1" x14ac:dyDescent="0.25">
      <c r="A163" s="138">
        <f t="shared" si="15"/>
        <v>0</v>
      </c>
      <c r="B163" s="44" t="str">
        <f t="shared" si="21"/>
        <v/>
      </c>
      <c r="C163" s="45" t="s">
        <v>54</v>
      </c>
      <c r="D163" s="45"/>
      <c r="E163" s="45"/>
      <c r="F163" s="45"/>
      <c r="G163" s="84"/>
      <c r="H163" s="104">
        <v>158</v>
      </c>
      <c r="I163" s="105" t="str">
        <f t="shared" si="16"/>
        <v/>
      </c>
      <c r="J163" s="104">
        <f t="shared" si="17"/>
        <v>-1</v>
      </c>
      <c r="K163" s="104">
        <f t="shared" si="18"/>
        <v>-10</v>
      </c>
      <c r="L163" s="104"/>
      <c r="M163" s="106">
        <f t="shared" si="19"/>
        <v>0</v>
      </c>
      <c r="N163" s="106">
        <f t="shared" si="20"/>
        <v>0</v>
      </c>
      <c r="O163" s="84"/>
      <c r="P163" s="84"/>
      <c r="Q163" s="84"/>
      <c r="R163" s="84"/>
      <c r="S163" s="84"/>
    </row>
    <row r="164" spans="1:20" s="91" customFormat="1" x14ac:dyDescent="0.25">
      <c r="A164" s="137">
        <f t="shared" si="15"/>
        <v>0</v>
      </c>
      <c r="B164" s="38" t="str">
        <f t="shared" si="21"/>
        <v/>
      </c>
      <c r="C164" s="39" t="s">
        <v>54</v>
      </c>
      <c r="D164" s="39"/>
      <c r="E164" s="39"/>
      <c r="F164" s="39"/>
      <c r="G164" s="84"/>
      <c r="H164" s="101">
        <v>159</v>
      </c>
      <c r="I164" s="102" t="str">
        <f t="shared" si="16"/>
        <v/>
      </c>
      <c r="J164" s="101">
        <f t="shared" si="17"/>
        <v>-1</v>
      </c>
      <c r="K164" s="101">
        <f t="shared" si="18"/>
        <v>-10</v>
      </c>
      <c r="L164" s="101"/>
      <c r="M164" s="103">
        <f t="shared" si="19"/>
        <v>0</v>
      </c>
      <c r="N164" s="103">
        <f t="shared" si="20"/>
        <v>0</v>
      </c>
      <c r="O164" s="84"/>
      <c r="P164" s="84"/>
      <c r="Q164" s="84"/>
      <c r="R164" s="84"/>
      <c r="S164" s="114"/>
      <c r="T164" s="115"/>
    </row>
    <row r="165" spans="1:20" s="91" customFormat="1" x14ac:dyDescent="0.25">
      <c r="A165" s="138">
        <f t="shared" ref="A165:A228" si="22">N165</f>
        <v>0</v>
      </c>
      <c r="B165" s="44" t="str">
        <f t="shared" ref="B165:B228" si="23">IF(H165&gt;$H$2,"",(ROW()-5))</f>
        <v/>
      </c>
      <c r="C165" s="45" t="s">
        <v>54</v>
      </c>
      <c r="D165" s="45"/>
      <c r="E165" s="45"/>
      <c r="F165" s="45"/>
      <c r="G165" s="84"/>
      <c r="H165" s="104">
        <v>160</v>
      </c>
      <c r="I165" s="105" t="str">
        <f t="shared" ref="I165:I228" si="24">IF(H165&lt;$H$2+1,($I$2-($I$2-1)*(LOG(H165)/LOG($H$2))),"")</f>
        <v/>
      </c>
      <c r="J165" s="104">
        <f t="shared" ref="J165:J228" si="25">INT(LOG($H$2,2))-ROUNDUP(LOG(H165,2),0)+IF(OR($H$2=1,$H$2=2,$H$2=4,$H$2=8,$H$2=16,$H$2=32,$H$2=64,$H$2=128,$H$2=256),0,1)</f>
        <v>-1</v>
      </c>
      <c r="K165" s="104">
        <f t="shared" ref="K165:K228" si="26">J165*$J$2</f>
        <v>-10</v>
      </c>
      <c r="L165" s="104"/>
      <c r="M165" s="106">
        <f t="shared" ref="M165:M228" si="27">IF(I165&lt;&gt;"",K165+I165+L165,0)</f>
        <v>0</v>
      </c>
      <c r="N165" s="106">
        <f t="shared" ref="N165:N228" si="28">IF(I165&lt;&gt;"",M165*L$2,0)</f>
        <v>0</v>
      </c>
      <c r="O165" s="84"/>
      <c r="P165" s="84"/>
      <c r="Q165" s="84"/>
      <c r="R165" s="84"/>
      <c r="S165" s="84"/>
    </row>
    <row r="166" spans="1:20" s="91" customFormat="1" x14ac:dyDescent="0.25">
      <c r="A166" s="137">
        <f t="shared" si="22"/>
        <v>0</v>
      </c>
      <c r="B166" s="38" t="str">
        <f t="shared" si="23"/>
        <v/>
      </c>
      <c r="C166" s="39" t="s">
        <v>54</v>
      </c>
      <c r="D166" s="39"/>
      <c r="E166" s="39"/>
      <c r="F166" s="39"/>
      <c r="G166" s="84"/>
      <c r="H166" s="101">
        <v>161</v>
      </c>
      <c r="I166" s="102" t="str">
        <f t="shared" si="24"/>
        <v/>
      </c>
      <c r="J166" s="101">
        <f t="shared" si="25"/>
        <v>-1</v>
      </c>
      <c r="K166" s="101">
        <f t="shared" si="26"/>
        <v>-10</v>
      </c>
      <c r="L166" s="101"/>
      <c r="M166" s="103">
        <f t="shared" si="27"/>
        <v>0</v>
      </c>
      <c r="N166" s="103">
        <f t="shared" si="28"/>
        <v>0</v>
      </c>
      <c r="O166" s="84"/>
      <c r="P166" s="84"/>
      <c r="Q166" s="84"/>
      <c r="R166" s="84"/>
      <c r="S166" s="114"/>
      <c r="T166" s="115"/>
    </row>
    <row r="167" spans="1:20" s="91" customFormat="1" x14ac:dyDescent="0.25">
      <c r="A167" s="138">
        <f t="shared" si="22"/>
        <v>0</v>
      </c>
      <c r="B167" s="44" t="str">
        <f t="shared" si="23"/>
        <v/>
      </c>
      <c r="C167" s="45" t="s">
        <v>54</v>
      </c>
      <c r="D167" s="45"/>
      <c r="E167" s="45"/>
      <c r="F167" s="45"/>
      <c r="G167" s="84"/>
      <c r="H167" s="104">
        <v>162</v>
      </c>
      <c r="I167" s="105" t="str">
        <f t="shared" si="24"/>
        <v/>
      </c>
      <c r="J167" s="104">
        <f t="shared" si="25"/>
        <v>-1</v>
      </c>
      <c r="K167" s="104">
        <f t="shared" si="26"/>
        <v>-10</v>
      </c>
      <c r="L167" s="104"/>
      <c r="M167" s="106">
        <f t="shared" si="27"/>
        <v>0</v>
      </c>
      <c r="N167" s="106">
        <f t="shared" si="28"/>
        <v>0</v>
      </c>
      <c r="O167" s="84"/>
      <c r="P167" s="84"/>
      <c r="Q167" s="84"/>
      <c r="R167" s="84"/>
      <c r="S167" s="84"/>
    </row>
    <row r="168" spans="1:20" s="91" customFormat="1" x14ac:dyDescent="0.25">
      <c r="A168" s="137">
        <f t="shared" si="22"/>
        <v>0</v>
      </c>
      <c r="B168" s="38" t="str">
        <f t="shared" si="23"/>
        <v/>
      </c>
      <c r="C168" s="39" t="s">
        <v>54</v>
      </c>
      <c r="D168" s="39"/>
      <c r="E168" s="39"/>
      <c r="F168" s="39"/>
      <c r="G168" s="84"/>
      <c r="H168" s="101">
        <v>163</v>
      </c>
      <c r="I168" s="102" t="str">
        <f t="shared" si="24"/>
        <v/>
      </c>
      <c r="J168" s="101">
        <f t="shared" si="25"/>
        <v>-1</v>
      </c>
      <c r="K168" s="101">
        <f t="shared" si="26"/>
        <v>-10</v>
      </c>
      <c r="L168" s="101"/>
      <c r="M168" s="103">
        <f t="shared" si="27"/>
        <v>0</v>
      </c>
      <c r="N168" s="103">
        <f t="shared" si="28"/>
        <v>0</v>
      </c>
      <c r="O168" s="84"/>
      <c r="P168" s="84"/>
      <c r="Q168" s="84"/>
      <c r="R168" s="84"/>
      <c r="S168" s="114"/>
      <c r="T168" s="115"/>
    </row>
    <row r="169" spans="1:20" s="91" customFormat="1" x14ac:dyDescent="0.25">
      <c r="A169" s="138">
        <f t="shared" si="22"/>
        <v>0</v>
      </c>
      <c r="B169" s="44" t="str">
        <f t="shared" si="23"/>
        <v/>
      </c>
      <c r="C169" s="45" t="s">
        <v>54</v>
      </c>
      <c r="D169" s="45"/>
      <c r="E169" s="45"/>
      <c r="F169" s="45"/>
      <c r="G169" s="84"/>
      <c r="H169" s="104">
        <v>164</v>
      </c>
      <c r="I169" s="105" t="str">
        <f t="shared" si="24"/>
        <v/>
      </c>
      <c r="J169" s="104">
        <f t="shared" si="25"/>
        <v>-1</v>
      </c>
      <c r="K169" s="104">
        <f t="shared" si="26"/>
        <v>-10</v>
      </c>
      <c r="L169" s="104"/>
      <c r="M169" s="106">
        <f t="shared" si="27"/>
        <v>0</v>
      </c>
      <c r="N169" s="106">
        <f t="shared" si="28"/>
        <v>0</v>
      </c>
      <c r="O169" s="84"/>
      <c r="P169" s="84"/>
      <c r="Q169" s="84"/>
      <c r="R169" s="84"/>
      <c r="S169" s="84"/>
    </row>
    <row r="170" spans="1:20" s="91" customFormat="1" x14ac:dyDescent="0.25">
      <c r="A170" s="137">
        <f t="shared" si="22"/>
        <v>0</v>
      </c>
      <c r="B170" s="38" t="str">
        <f t="shared" si="23"/>
        <v/>
      </c>
      <c r="C170" s="39" t="s">
        <v>54</v>
      </c>
      <c r="D170" s="39"/>
      <c r="E170" s="39"/>
      <c r="F170" s="39"/>
      <c r="G170" s="84"/>
      <c r="H170" s="101">
        <v>165</v>
      </c>
      <c r="I170" s="102" t="str">
        <f t="shared" si="24"/>
        <v/>
      </c>
      <c r="J170" s="101">
        <f t="shared" si="25"/>
        <v>-1</v>
      </c>
      <c r="K170" s="101">
        <f t="shared" si="26"/>
        <v>-10</v>
      </c>
      <c r="L170" s="101"/>
      <c r="M170" s="103">
        <f t="shared" si="27"/>
        <v>0</v>
      </c>
      <c r="N170" s="103">
        <f t="shared" si="28"/>
        <v>0</v>
      </c>
      <c r="O170" s="84"/>
      <c r="P170" s="84"/>
      <c r="Q170" s="84"/>
      <c r="R170" s="84"/>
      <c r="S170" s="114"/>
      <c r="T170" s="115"/>
    </row>
    <row r="171" spans="1:20" s="91" customFormat="1" x14ac:dyDescent="0.25">
      <c r="A171" s="138">
        <f t="shared" si="22"/>
        <v>0</v>
      </c>
      <c r="B171" s="44" t="str">
        <f t="shared" si="23"/>
        <v/>
      </c>
      <c r="C171" s="45" t="s">
        <v>54</v>
      </c>
      <c r="D171" s="45"/>
      <c r="E171" s="45"/>
      <c r="F171" s="45"/>
      <c r="G171" s="84"/>
      <c r="H171" s="104">
        <v>166</v>
      </c>
      <c r="I171" s="105" t="str">
        <f t="shared" si="24"/>
        <v/>
      </c>
      <c r="J171" s="104">
        <f t="shared" si="25"/>
        <v>-1</v>
      </c>
      <c r="K171" s="104">
        <f t="shared" si="26"/>
        <v>-10</v>
      </c>
      <c r="L171" s="104"/>
      <c r="M171" s="106">
        <f t="shared" si="27"/>
        <v>0</v>
      </c>
      <c r="N171" s="106">
        <f t="shared" si="28"/>
        <v>0</v>
      </c>
      <c r="O171" s="84"/>
      <c r="P171" s="84"/>
      <c r="Q171" s="84"/>
      <c r="R171" s="84"/>
      <c r="S171" s="84"/>
    </row>
    <row r="172" spans="1:20" s="91" customFormat="1" x14ac:dyDescent="0.25">
      <c r="A172" s="137">
        <f t="shared" si="22"/>
        <v>0</v>
      </c>
      <c r="B172" s="38" t="str">
        <f t="shared" si="23"/>
        <v/>
      </c>
      <c r="C172" s="39" t="s">
        <v>54</v>
      </c>
      <c r="D172" s="39"/>
      <c r="E172" s="39"/>
      <c r="F172" s="39"/>
      <c r="G172" s="84"/>
      <c r="H172" s="101">
        <v>167</v>
      </c>
      <c r="I172" s="102" t="str">
        <f t="shared" si="24"/>
        <v/>
      </c>
      <c r="J172" s="101">
        <f t="shared" si="25"/>
        <v>-1</v>
      </c>
      <c r="K172" s="101">
        <f t="shared" si="26"/>
        <v>-10</v>
      </c>
      <c r="L172" s="101"/>
      <c r="M172" s="103">
        <f t="shared" si="27"/>
        <v>0</v>
      </c>
      <c r="N172" s="103">
        <f t="shared" si="28"/>
        <v>0</v>
      </c>
      <c r="O172" s="84"/>
      <c r="P172" s="84"/>
      <c r="Q172" s="84"/>
      <c r="R172" s="84"/>
      <c r="S172" s="114"/>
      <c r="T172" s="115"/>
    </row>
    <row r="173" spans="1:20" s="91" customFormat="1" x14ac:dyDescent="0.25">
      <c r="A173" s="138">
        <f t="shared" si="22"/>
        <v>0</v>
      </c>
      <c r="B173" s="44" t="str">
        <f t="shared" si="23"/>
        <v/>
      </c>
      <c r="C173" s="45" t="s">
        <v>54</v>
      </c>
      <c r="D173" s="45"/>
      <c r="E173" s="45"/>
      <c r="F173" s="45"/>
      <c r="G173" s="84"/>
      <c r="H173" s="104">
        <v>168</v>
      </c>
      <c r="I173" s="105" t="str">
        <f t="shared" si="24"/>
        <v/>
      </c>
      <c r="J173" s="104">
        <f t="shared" si="25"/>
        <v>-1</v>
      </c>
      <c r="K173" s="104">
        <f t="shared" si="26"/>
        <v>-10</v>
      </c>
      <c r="L173" s="104"/>
      <c r="M173" s="106">
        <f t="shared" si="27"/>
        <v>0</v>
      </c>
      <c r="N173" s="106">
        <f t="shared" si="28"/>
        <v>0</v>
      </c>
      <c r="O173" s="84"/>
      <c r="P173" s="84"/>
      <c r="Q173" s="84"/>
      <c r="R173" s="84"/>
      <c r="S173" s="84"/>
    </row>
    <row r="174" spans="1:20" s="91" customFormat="1" x14ac:dyDescent="0.25">
      <c r="A174" s="137">
        <f t="shared" si="22"/>
        <v>0</v>
      </c>
      <c r="B174" s="38" t="str">
        <f t="shared" si="23"/>
        <v/>
      </c>
      <c r="C174" s="39" t="s">
        <v>54</v>
      </c>
      <c r="D174" s="39"/>
      <c r="E174" s="39"/>
      <c r="F174" s="39"/>
      <c r="G174" s="84"/>
      <c r="H174" s="101">
        <v>169</v>
      </c>
      <c r="I174" s="102" t="str">
        <f t="shared" si="24"/>
        <v/>
      </c>
      <c r="J174" s="101">
        <f t="shared" si="25"/>
        <v>-1</v>
      </c>
      <c r="K174" s="101">
        <f t="shared" si="26"/>
        <v>-10</v>
      </c>
      <c r="L174" s="101"/>
      <c r="M174" s="103">
        <f t="shared" si="27"/>
        <v>0</v>
      </c>
      <c r="N174" s="103">
        <f t="shared" si="28"/>
        <v>0</v>
      </c>
      <c r="O174" s="84"/>
      <c r="P174" s="84"/>
      <c r="Q174" s="84"/>
      <c r="R174" s="84"/>
      <c r="S174" s="114"/>
      <c r="T174" s="115"/>
    </row>
    <row r="175" spans="1:20" s="91" customFormat="1" x14ac:dyDescent="0.25">
      <c r="A175" s="138">
        <f t="shared" si="22"/>
        <v>0</v>
      </c>
      <c r="B175" s="44" t="str">
        <f t="shared" si="23"/>
        <v/>
      </c>
      <c r="C175" s="45" t="s">
        <v>54</v>
      </c>
      <c r="D175" s="45"/>
      <c r="E175" s="45"/>
      <c r="F175" s="45"/>
      <c r="G175" s="84"/>
      <c r="H175" s="104">
        <v>170</v>
      </c>
      <c r="I175" s="105" t="str">
        <f t="shared" si="24"/>
        <v/>
      </c>
      <c r="J175" s="104">
        <f t="shared" si="25"/>
        <v>-1</v>
      </c>
      <c r="K175" s="104">
        <f t="shared" si="26"/>
        <v>-10</v>
      </c>
      <c r="L175" s="104"/>
      <c r="M175" s="106">
        <f t="shared" si="27"/>
        <v>0</v>
      </c>
      <c r="N175" s="106">
        <f t="shared" si="28"/>
        <v>0</v>
      </c>
      <c r="O175" s="84"/>
      <c r="P175" s="84"/>
      <c r="Q175" s="84"/>
      <c r="R175" s="84"/>
      <c r="S175" s="84"/>
    </row>
    <row r="176" spans="1:20" s="91" customFormat="1" x14ac:dyDescent="0.25">
      <c r="A176" s="137">
        <f t="shared" si="22"/>
        <v>0</v>
      </c>
      <c r="B176" s="38" t="str">
        <f t="shared" si="23"/>
        <v/>
      </c>
      <c r="C176" s="39" t="s">
        <v>54</v>
      </c>
      <c r="D176" s="39"/>
      <c r="E176" s="39"/>
      <c r="F176" s="39"/>
      <c r="G176" s="84"/>
      <c r="H176" s="101">
        <v>171</v>
      </c>
      <c r="I176" s="102" t="str">
        <f t="shared" si="24"/>
        <v/>
      </c>
      <c r="J176" s="101">
        <f t="shared" si="25"/>
        <v>-1</v>
      </c>
      <c r="K176" s="101">
        <f t="shared" si="26"/>
        <v>-10</v>
      </c>
      <c r="L176" s="101"/>
      <c r="M176" s="103">
        <f t="shared" si="27"/>
        <v>0</v>
      </c>
      <c r="N176" s="103">
        <f t="shared" si="28"/>
        <v>0</v>
      </c>
      <c r="O176" s="84"/>
      <c r="P176" s="84"/>
      <c r="Q176" s="84"/>
      <c r="R176" s="84"/>
      <c r="S176" s="114"/>
      <c r="T176" s="115"/>
    </row>
    <row r="177" spans="1:20" s="91" customFormat="1" x14ac:dyDescent="0.25">
      <c r="A177" s="138">
        <f t="shared" si="22"/>
        <v>0</v>
      </c>
      <c r="B177" s="44" t="str">
        <f t="shared" si="23"/>
        <v/>
      </c>
      <c r="C177" s="45" t="s">
        <v>54</v>
      </c>
      <c r="D177" s="45"/>
      <c r="E177" s="45"/>
      <c r="F177" s="45"/>
      <c r="G177" s="84"/>
      <c r="H177" s="104">
        <v>172</v>
      </c>
      <c r="I177" s="105" t="str">
        <f t="shared" si="24"/>
        <v/>
      </c>
      <c r="J177" s="104">
        <f t="shared" si="25"/>
        <v>-1</v>
      </c>
      <c r="K177" s="104">
        <f t="shared" si="26"/>
        <v>-10</v>
      </c>
      <c r="L177" s="104"/>
      <c r="M177" s="106">
        <f t="shared" si="27"/>
        <v>0</v>
      </c>
      <c r="N177" s="106">
        <f t="shared" si="28"/>
        <v>0</v>
      </c>
      <c r="O177" s="84"/>
      <c r="P177" s="84"/>
      <c r="Q177" s="84"/>
      <c r="R177" s="84"/>
      <c r="S177" s="84"/>
    </row>
    <row r="178" spans="1:20" s="91" customFormat="1" x14ac:dyDescent="0.25">
      <c r="A178" s="137">
        <f t="shared" si="22"/>
        <v>0</v>
      </c>
      <c r="B178" s="38" t="str">
        <f t="shared" si="23"/>
        <v/>
      </c>
      <c r="C178" s="39" t="s">
        <v>54</v>
      </c>
      <c r="D178" s="39"/>
      <c r="E178" s="39"/>
      <c r="F178" s="39"/>
      <c r="G178" s="84"/>
      <c r="H178" s="101">
        <v>173</v>
      </c>
      <c r="I178" s="102" t="str">
        <f t="shared" si="24"/>
        <v/>
      </c>
      <c r="J178" s="101">
        <f t="shared" si="25"/>
        <v>-1</v>
      </c>
      <c r="K178" s="101">
        <f t="shared" si="26"/>
        <v>-10</v>
      </c>
      <c r="L178" s="101"/>
      <c r="M178" s="103">
        <f t="shared" si="27"/>
        <v>0</v>
      </c>
      <c r="N178" s="103">
        <f t="shared" si="28"/>
        <v>0</v>
      </c>
      <c r="O178" s="84"/>
      <c r="P178" s="84"/>
      <c r="Q178" s="84"/>
      <c r="R178" s="84"/>
      <c r="S178" s="114"/>
      <c r="T178" s="115"/>
    </row>
    <row r="179" spans="1:20" s="91" customFormat="1" x14ac:dyDescent="0.25">
      <c r="A179" s="138">
        <f t="shared" si="22"/>
        <v>0</v>
      </c>
      <c r="B179" s="44" t="str">
        <f t="shared" si="23"/>
        <v/>
      </c>
      <c r="C179" s="45" t="s">
        <v>54</v>
      </c>
      <c r="D179" s="45"/>
      <c r="E179" s="45"/>
      <c r="F179" s="45"/>
      <c r="G179" s="84"/>
      <c r="H179" s="104">
        <v>174</v>
      </c>
      <c r="I179" s="105" t="str">
        <f t="shared" si="24"/>
        <v/>
      </c>
      <c r="J179" s="104">
        <f t="shared" si="25"/>
        <v>-1</v>
      </c>
      <c r="K179" s="104">
        <f t="shared" si="26"/>
        <v>-10</v>
      </c>
      <c r="L179" s="104"/>
      <c r="M179" s="106">
        <f t="shared" si="27"/>
        <v>0</v>
      </c>
      <c r="N179" s="106">
        <f t="shared" si="28"/>
        <v>0</v>
      </c>
      <c r="O179" s="84"/>
      <c r="P179" s="84"/>
      <c r="Q179" s="84"/>
      <c r="R179" s="84"/>
      <c r="S179" s="84"/>
    </row>
    <row r="180" spans="1:20" s="91" customFormat="1" x14ac:dyDescent="0.25">
      <c r="A180" s="137">
        <f t="shared" si="22"/>
        <v>0</v>
      </c>
      <c r="B180" s="38" t="str">
        <f t="shared" si="23"/>
        <v/>
      </c>
      <c r="C180" s="39" t="s">
        <v>54</v>
      </c>
      <c r="D180" s="39"/>
      <c r="E180" s="39"/>
      <c r="F180" s="39"/>
      <c r="G180" s="84"/>
      <c r="H180" s="101">
        <v>175</v>
      </c>
      <c r="I180" s="102" t="str">
        <f t="shared" si="24"/>
        <v/>
      </c>
      <c r="J180" s="101">
        <f t="shared" si="25"/>
        <v>-1</v>
      </c>
      <c r="K180" s="101">
        <f t="shared" si="26"/>
        <v>-10</v>
      </c>
      <c r="L180" s="101"/>
      <c r="M180" s="103">
        <f t="shared" si="27"/>
        <v>0</v>
      </c>
      <c r="N180" s="103">
        <f t="shared" si="28"/>
        <v>0</v>
      </c>
      <c r="O180" s="84"/>
      <c r="P180" s="84"/>
      <c r="Q180" s="84"/>
      <c r="R180" s="84"/>
      <c r="S180" s="114"/>
      <c r="T180" s="115"/>
    </row>
    <row r="181" spans="1:20" s="91" customFormat="1" x14ac:dyDescent="0.25">
      <c r="A181" s="138">
        <f t="shared" si="22"/>
        <v>0</v>
      </c>
      <c r="B181" s="44" t="str">
        <f t="shared" si="23"/>
        <v/>
      </c>
      <c r="C181" s="45" t="s">
        <v>54</v>
      </c>
      <c r="D181" s="45"/>
      <c r="E181" s="45"/>
      <c r="F181" s="45"/>
      <c r="G181" s="84"/>
      <c r="H181" s="104">
        <v>176</v>
      </c>
      <c r="I181" s="105" t="str">
        <f t="shared" si="24"/>
        <v/>
      </c>
      <c r="J181" s="104">
        <f t="shared" si="25"/>
        <v>-1</v>
      </c>
      <c r="K181" s="104">
        <f t="shared" si="26"/>
        <v>-10</v>
      </c>
      <c r="L181" s="104"/>
      <c r="M181" s="106">
        <f t="shared" si="27"/>
        <v>0</v>
      </c>
      <c r="N181" s="106">
        <f t="shared" si="28"/>
        <v>0</v>
      </c>
      <c r="O181" s="84"/>
      <c r="P181" s="84"/>
      <c r="Q181" s="84"/>
      <c r="R181" s="84"/>
      <c r="S181" s="84"/>
    </row>
    <row r="182" spans="1:20" s="91" customFormat="1" x14ac:dyDescent="0.25">
      <c r="A182" s="137">
        <f t="shared" si="22"/>
        <v>0</v>
      </c>
      <c r="B182" s="38" t="str">
        <f t="shared" si="23"/>
        <v/>
      </c>
      <c r="C182" s="39" t="s">
        <v>54</v>
      </c>
      <c r="D182" s="39"/>
      <c r="E182" s="39"/>
      <c r="F182" s="39"/>
      <c r="G182" s="84"/>
      <c r="H182" s="101">
        <v>177</v>
      </c>
      <c r="I182" s="102" t="str">
        <f t="shared" si="24"/>
        <v/>
      </c>
      <c r="J182" s="101">
        <f t="shared" si="25"/>
        <v>-1</v>
      </c>
      <c r="K182" s="101">
        <f t="shared" si="26"/>
        <v>-10</v>
      </c>
      <c r="L182" s="101"/>
      <c r="M182" s="103">
        <f t="shared" si="27"/>
        <v>0</v>
      </c>
      <c r="N182" s="103">
        <f t="shared" si="28"/>
        <v>0</v>
      </c>
      <c r="O182" s="84"/>
      <c r="P182" s="84"/>
      <c r="Q182" s="84"/>
      <c r="R182" s="84"/>
      <c r="S182" s="114"/>
      <c r="T182" s="115"/>
    </row>
    <row r="183" spans="1:20" s="91" customFormat="1" x14ac:dyDescent="0.25">
      <c r="A183" s="138">
        <f t="shared" si="22"/>
        <v>0</v>
      </c>
      <c r="B183" s="44" t="str">
        <f t="shared" si="23"/>
        <v/>
      </c>
      <c r="C183" s="45" t="s">
        <v>54</v>
      </c>
      <c r="D183" s="45"/>
      <c r="E183" s="45"/>
      <c r="F183" s="45"/>
      <c r="G183" s="84"/>
      <c r="H183" s="104">
        <v>178</v>
      </c>
      <c r="I183" s="105" t="str">
        <f t="shared" si="24"/>
        <v/>
      </c>
      <c r="J183" s="104">
        <f t="shared" si="25"/>
        <v>-1</v>
      </c>
      <c r="K183" s="104">
        <f t="shared" si="26"/>
        <v>-10</v>
      </c>
      <c r="L183" s="104"/>
      <c r="M183" s="106">
        <f t="shared" si="27"/>
        <v>0</v>
      </c>
      <c r="N183" s="106">
        <f t="shared" si="28"/>
        <v>0</v>
      </c>
      <c r="O183" s="84"/>
      <c r="P183" s="84"/>
      <c r="Q183" s="84"/>
      <c r="R183" s="84"/>
      <c r="S183" s="84"/>
    </row>
    <row r="184" spans="1:20" s="91" customFormat="1" x14ac:dyDescent="0.25">
      <c r="A184" s="137">
        <f t="shared" si="22"/>
        <v>0</v>
      </c>
      <c r="B184" s="38" t="str">
        <f t="shared" si="23"/>
        <v/>
      </c>
      <c r="C184" s="39" t="s">
        <v>54</v>
      </c>
      <c r="D184" s="39"/>
      <c r="E184" s="39"/>
      <c r="F184" s="39"/>
      <c r="G184" s="84"/>
      <c r="H184" s="101">
        <v>179</v>
      </c>
      <c r="I184" s="102" t="str">
        <f t="shared" si="24"/>
        <v/>
      </c>
      <c r="J184" s="101">
        <f t="shared" si="25"/>
        <v>-1</v>
      </c>
      <c r="K184" s="101">
        <f t="shared" si="26"/>
        <v>-10</v>
      </c>
      <c r="L184" s="101"/>
      <c r="M184" s="103">
        <f t="shared" si="27"/>
        <v>0</v>
      </c>
      <c r="N184" s="103">
        <f t="shared" si="28"/>
        <v>0</v>
      </c>
      <c r="O184" s="84"/>
      <c r="P184" s="84"/>
      <c r="Q184" s="84"/>
      <c r="R184" s="84"/>
      <c r="S184" s="114"/>
      <c r="T184" s="115"/>
    </row>
    <row r="185" spans="1:20" s="91" customFormat="1" x14ac:dyDescent="0.25">
      <c r="A185" s="138">
        <f t="shared" si="22"/>
        <v>0</v>
      </c>
      <c r="B185" s="44" t="str">
        <f t="shared" si="23"/>
        <v/>
      </c>
      <c r="C185" s="45" t="s">
        <v>54</v>
      </c>
      <c r="D185" s="45"/>
      <c r="E185" s="45"/>
      <c r="F185" s="45"/>
      <c r="G185" s="84"/>
      <c r="H185" s="104">
        <v>180</v>
      </c>
      <c r="I185" s="105" t="str">
        <f t="shared" si="24"/>
        <v/>
      </c>
      <c r="J185" s="104">
        <f t="shared" si="25"/>
        <v>-1</v>
      </c>
      <c r="K185" s="104">
        <f t="shared" si="26"/>
        <v>-10</v>
      </c>
      <c r="L185" s="104"/>
      <c r="M185" s="106">
        <f t="shared" si="27"/>
        <v>0</v>
      </c>
      <c r="N185" s="106">
        <f t="shared" si="28"/>
        <v>0</v>
      </c>
      <c r="O185" s="84"/>
      <c r="P185" s="84"/>
      <c r="Q185" s="84"/>
      <c r="R185" s="84"/>
      <c r="S185" s="84"/>
    </row>
    <row r="186" spans="1:20" s="91" customFormat="1" x14ac:dyDescent="0.25">
      <c r="A186" s="137">
        <f t="shared" si="22"/>
        <v>0</v>
      </c>
      <c r="B186" s="38" t="str">
        <f t="shared" si="23"/>
        <v/>
      </c>
      <c r="C186" s="39" t="s">
        <v>54</v>
      </c>
      <c r="D186" s="39"/>
      <c r="E186" s="39"/>
      <c r="F186" s="39"/>
      <c r="G186" s="84"/>
      <c r="H186" s="101">
        <v>181</v>
      </c>
      <c r="I186" s="102" t="str">
        <f t="shared" si="24"/>
        <v/>
      </c>
      <c r="J186" s="101">
        <f t="shared" si="25"/>
        <v>-1</v>
      </c>
      <c r="K186" s="101">
        <f t="shared" si="26"/>
        <v>-10</v>
      </c>
      <c r="L186" s="101"/>
      <c r="M186" s="103">
        <f t="shared" si="27"/>
        <v>0</v>
      </c>
      <c r="N186" s="103">
        <f t="shared" si="28"/>
        <v>0</v>
      </c>
      <c r="O186" s="84"/>
      <c r="P186" s="84"/>
      <c r="Q186" s="84"/>
      <c r="R186" s="84"/>
      <c r="S186" s="114"/>
      <c r="T186" s="115"/>
    </row>
    <row r="187" spans="1:20" s="91" customFormat="1" x14ac:dyDescent="0.25">
      <c r="A187" s="138">
        <f t="shared" si="22"/>
        <v>0</v>
      </c>
      <c r="B187" s="44" t="str">
        <f t="shared" si="23"/>
        <v/>
      </c>
      <c r="C187" s="45" t="s">
        <v>54</v>
      </c>
      <c r="D187" s="45"/>
      <c r="E187" s="45"/>
      <c r="F187" s="45"/>
      <c r="G187" s="84"/>
      <c r="H187" s="104">
        <v>182</v>
      </c>
      <c r="I187" s="105" t="str">
        <f t="shared" si="24"/>
        <v/>
      </c>
      <c r="J187" s="104">
        <f t="shared" si="25"/>
        <v>-1</v>
      </c>
      <c r="K187" s="104">
        <f t="shared" si="26"/>
        <v>-10</v>
      </c>
      <c r="L187" s="104"/>
      <c r="M187" s="106">
        <f t="shared" si="27"/>
        <v>0</v>
      </c>
      <c r="N187" s="106">
        <f t="shared" si="28"/>
        <v>0</v>
      </c>
      <c r="O187" s="84"/>
      <c r="P187" s="84"/>
      <c r="Q187" s="84"/>
      <c r="R187" s="84"/>
      <c r="S187" s="84"/>
    </row>
    <row r="188" spans="1:20" s="91" customFormat="1" x14ac:dyDescent="0.25">
      <c r="A188" s="137">
        <f t="shared" si="22"/>
        <v>0</v>
      </c>
      <c r="B188" s="38" t="str">
        <f t="shared" si="23"/>
        <v/>
      </c>
      <c r="C188" s="39" t="s">
        <v>54</v>
      </c>
      <c r="D188" s="39"/>
      <c r="E188" s="39"/>
      <c r="F188" s="39"/>
      <c r="G188" s="84"/>
      <c r="H188" s="101">
        <v>183</v>
      </c>
      <c r="I188" s="102" t="str">
        <f t="shared" si="24"/>
        <v/>
      </c>
      <c r="J188" s="101">
        <f t="shared" si="25"/>
        <v>-1</v>
      </c>
      <c r="K188" s="101">
        <f t="shared" si="26"/>
        <v>-10</v>
      </c>
      <c r="L188" s="101"/>
      <c r="M188" s="103">
        <f t="shared" si="27"/>
        <v>0</v>
      </c>
      <c r="N188" s="103">
        <f t="shared" si="28"/>
        <v>0</v>
      </c>
      <c r="O188" s="84"/>
      <c r="P188" s="84"/>
      <c r="Q188" s="84"/>
      <c r="R188" s="84"/>
      <c r="S188" s="114"/>
      <c r="T188" s="115"/>
    </row>
    <row r="189" spans="1:20" s="91" customFormat="1" x14ac:dyDescent="0.25">
      <c r="A189" s="138">
        <f t="shared" si="22"/>
        <v>0</v>
      </c>
      <c r="B189" s="44" t="str">
        <f t="shared" si="23"/>
        <v/>
      </c>
      <c r="C189" s="45" t="s">
        <v>54</v>
      </c>
      <c r="D189" s="45"/>
      <c r="E189" s="45"/>
      <c r="F189" s="45"/>
      <c r="G189" s="84"/>
      <c r="H189" s="104">
        <v>184</v>
      </c>
      <c r="I189" s="105" t="str">
        <f t="shared" si="24"/>
        <v/>
      </c>
      <c r="J189" s="104">
        <f t="shared" si="25"/>
        <v>-1</v>
      </c>
      <c r="K189" s="104">
        <f t="shared" si="26"/>
        <v>-10</v>
      </c>
      <c r="L189" s="104"/>
      <c r="M189" s="106">
        <f t="shared" si="27"/>
        <v>0</v>
      </c>
      <c r="N189" s="106">
        <f t="shared" si="28"/>
        <v>0</v>
      </c>
      <c r="O189" s="84"/>
      <c r="P189" s="84"/>
      <c r="Q189" s="84"/>
      <c r="R189" s="84"/>
      <c r="S189" s="84"/>
    </row>
    <row r="190" spans="1:20" s="91" customFormat="1" x14ac:dyDescent="0.25">
      <c r="A190" s="137">
        <f t="shared" si="22"/>
        <v>0</v>
      </c>
      <c r="B190" s="38" t="str">
        <f t="shared" si="23"/>
        <v/>
      </c>
      <c r="C190" s="39" t="s">
        <v>54</v>
      </c>
      <c r="D190" s="39"/>
      <c r="E190" s="39"/>
      <c r="F190" s="39"/>
      <c r="G190" s="84"/>
      <c r="H190" s="101">
        <v>185</v>
      </c>
      <c r="I190" s="102" t="str">
        <f t="shared" si="24"/>
        <v/>
      </c>
      <c r="J190" s="101">
        <f t="shared" si="25"/>
        <v>-1</v>
      </c>
      <c r="K190" s="101">
        <f t="shared" si="26"/>
        <v>-10</v>
      </c>
      <c r="L190" s="101"/>
      <c r="M190" s="103">
        <f t="shared" si="27"/>
        <v>0</v>
      </c>
      <c r="N190" s="103">
        <f t="shared" si="28"/>
        <v>0</v>
      </c>
      <c r="O190" s="84"/>
      <c r="P190" s="84"/>
      <c r="Q190" s="84"/>
      <c r="R190" s="84"/>
      <c r="S190" s="114"/>
      <c r="T190" s="115"/>
    </row>
    <row r="191" spans="1:20" s="91" customFormat="1" x14ac:dyDescent="0.25">
      <c r="A191" s="138">
        <f t="shared" si="22"/>
        <v>0</v>
      </c>
      <c r="B191" s="44" t="str">
        <f t="shared" si="23"/>
        <v/>
      </c>
      <c r="C191" s="45" t="s">
        <v>54</v>
      </c>
      <c r="D191" s="45"/>
      <c r="E191" s="45"/>
      <c r="F191" s="45"/>
      <c r="G191" s="84"/>
      <c r="H191" s="104">
        <v>186</v>
      </c>
      <c r="I191" s="105" t="str">
        <f t="shared" si="24"/>
        <v/>
      </c>
      <c r="J191" s="104">
        <f t="shared" si="25"/>
        <v>-1</v>
      </c>
      <c r="K191" s="104">
        <f t="shared" si="26"/>
        <v>-10</v>
      </c>
      <c r="L191" s="104"/>
      <c r="M191" s="106">
        <f t="shared" si="27"/>
        <v>0</v>
      </c>
      <c r="N191" s="106">
        <f t="shared" si="28"/>
        <v>0</v>
      </c>
      <c r="O191" s="84"/>
      <c r="P191" s="84"/>
      <c r="Q191" s="84"/>
      <c r="R191" s="84"/>
      <c r="S191" s="84"/>
    </row>
    <row r="192" spans="1:20" s="91" customFormat="1" x14ac:dyDescent="0.25">
      <c r="A192" s="137">
        <f t="shared" si="22"/>
        <v>0</v>
      </c>
      <c r="B192" s="38" t="str">
        <f t="shared" si="23"/>
        <v/>
      </c>
      <c r="C192" s="39" t="s">
        <v>54</v>
      </c>
      <c r="D192" s="39"/>
      <c r="E192" s="39"/>
      <c r="F192" s="39"/>
      <c r="G192" s="84"/>
      <c r="H192" s="101">
        <v>187</v>
      </c>
      <c r="I192" s="102" t="str">
        <f t="shared" si="24"/>
        <v/>
      </c>
      <c r="J192" s="101">
        <f t="shared" si="25"/>
        <v>-1</v>
      </c>
      <c r="K192" s="101">
        <f t="shared" si="26"/>
        <v>-10</v>
      </c>
      <c r="L192" s="101"/>
      <c r="M192" s="103">
        <f t="shared" si="27"/>
        <v>0</v>
      </c>
      <c r="N192" s="103">
        <f t="shared" si="28"/>
        <v>0</v>
      </c>
      <c r="O192" s="84"/>
      <c r="P192" s="84"/>
      <c r="Q192" s="84"/>
      <c r="R192" s="84"/>
      <c r="S192" s="114"/>
      <c r="T192" s="115"/>
    </row>
    <row r="193" spans="1:20" s="91" customFormat="1" x14ac:dyDescent="0.25">
      <c r="A193" s="138">
        <f t="shared" si="22"/>
        <v>0</v>
      </c>
      <c r="B193" s="44" t="str">
        <f t="shared" si="23"/>
        <v/>
      </c>
      <c r="C193" s="45" t="s">
        <v>54</v>
      </c>
      <c r="D193" s="45"/>
      <c r="E193" s="45"/>
      <c r="F193" s="45"/>
      <c r="G193" s="84"/>
      <c r="H193" s="104">
        <v>188</v>
      </c>
      <c r="I193" s="105" t="str">
        <f t="shared" si="24"/>
        <v/>
      </c>
      <c r="J193" s="104">
        <f t="shared" si="25"/>
        <v>-1</v>
      </c>
      <c r="K193" s="104">
        <f t="shared" si="26"/>
        <v>-10</v>
      </c>
      <c r="L193" s="104"/>
      <c r="M193" s="106">
        <f t="shared" si="27"/>
        <v>0</v>
      </c>
      <c r="N193" s="106">
        <f t="shared" si="28"/>
        <v>0</v>
      </c>
      <c r="O193" s="84"/>
      <c r="P193" s="84"/>
      <c r="Q193" s="84"/>
      <c r="R193" s="84"/>
      <c r="S193" s="84"/>
    </row>
    <row r="194" spans="1:20" s="91" customFormat="1" x14ac:dyDescent="0.25">
      <c r="A194" s="137">
        <f t="shared" si="22"/>
        <v>0</v>
      </c>
      <c r="B194" s="38" t="str">
        <f t="shared" si="23"/>
        <v/>
      </c>
      <c r="C194" s="39" t="s">
        <v>54</v>
      </c>
      <c r="D194" s="39"/>
      <c r="E194" s="39"/>
      <c r="F194" s="39"/>
      <c r="G194" s="84"/>
      <c r="H194" s="101">
        <v>189</v>
      </c>
      <c r="I194" s="102" t="str">
        <f t="shared" si="24"/>
        <v/>
      </c>
      <c r="J194" s="101">
        <f t="shared" si="25"/>
        <v>-1</v>
      </c>
      <c r="K194" s="101">
        <f t="shared" si="26"/>
        <v>-10</v>
      </c>
      <c r="L194" s="101"/>
      <c r="M194" s="103">
        <f t="shared" si="27"/>
        <v>0</v>
      </c>
      <c r="N194" s="103">
        <f t="shared" si="28"/>
        <v>0</v>
      </c>
      <c r="O194" s="84"/>
      <c r="P194" s="84"/>
      <c r="Q194" s="84"/>
      <c r="R194" s="84"/>
      <c r="S194" s="114"/>
      <c r="T194" s="115"/>
    </row>
    <row r="195" spans="1:20" s="91" customFormat="1" x14ac:dyDescent="0.25">
      <c r="A195" s="138">
        <f t="shared" si="22"/>
        <v>0</v>
      </c>
      <c r="B195" s="44" t="str">
        <f t="shared" si="23"/>
        <v/>
      </c>
      <c r="C195" s="45" t="s">
        <v>54</v>
      </c>
      <c r="D195" s="45"/>
      <c r="E195" s="45"/>
      <c r="F195" s="45"/>
      <c r="G195" s="84"/>
      <c r="H195" s="104">
        <v>190</v>
      </c>
      <c r="I195" s="105" t="str">
        <f t="shared" si="24"/>
        <v/>
      </c>
      <c r="J195" s="104">
        <f t="shared" si="25"/>
        <v>-1</v>
      </c>
      <c r="K195" s="104">
        <f t="shared" si="26"/>
        <v>-10</v>
      </c>
      <c r="L195" s="104"/>
      <c r="M195" s="106">
        <f t="shared" si="27"/>
        <v>0</v>
      </c>
      <c r="N195" s="106">
        <f t="shared" si="28"/>
        <v>0</v>
      </c>
      <c r="O195" s="84"/>
      <c r="P195" s="84"/>
      <c r="Q195" s="84"/>
      <c r="R195" s="84"/>
      <c r="S195" s="84"/>
    </row>
    <row r="196" spans="1:20" s="91" customFormat="1" x14ac:dyDescent="0.25">
      <c r="A196" s="137">
        <f t="shared" si="22"/>
        <v>0</v>
      </c>
      <c r="B196" s="38" t="str">
        <f t="shared" si="23"/>
        <v/>
      </c>
      <c r="C196" s="39" t="s">
        <v>54</v>
      </c>
      <c r="D196" s="39"/>
      <c r="E196" s="39"/>
      <c r="F196" s="39"/>
      <c r="G196" s="84"/>
      <c r="H196" s="101">
        <v>191</v>
      </c>
      <c r="I196" s="102" t="str">
        <f t="shared" si="24"/>
        <v/>
      </c>
      <c r="J196" s="101">
        <f t="shared" si="25"/>
        <v>-1</v>
      </c>
      <c r="K196" s="101">
        <f t="shared" si="26"/>
        <v>-10</v>
      </c>
      <c r="L196" s="101"/>
      <c r="M196" s="103">
        <f t="shared" si="27"/>
        <v>0</v>
      </c>
      <c r="N196" s="103">
        <f t="shared" si="28"/>
        <v>0</v>
      </c>
      <c r="O196" s="84"/>
      <c r="P196" s="84"/>
      <c r="Q196" s="84"/>
      <c r="R196" s="84"/>
      <c r="S196" s="114"/>
      <c r="T196" s="115"/>
    </row>
    <row r="197" spans="1:20" s="91" customFormat="1" x14ac:dyDescent="0.25">
      <c r="A197" s="138">
        <f t="shared" si="22"/>
        <v>0</v>
      </c>
      <c r="B197" s="44" t="str">
        <f t="shared" si="23"/>
        <v/>
      </c>
      <c r="C197" s="45" t="s">
        <v>54</v>
      </c>
      <c r="D197" s="45"/>
      <c r="E197" s="45"/>
      <c r="F197" s="45"/>
      <c r="G197" s="84"/>
      <c r="H197" s="104">
        <v>192</v>
      </c>
      <c r="I197" s="105" t="str">
        <f t="shared" si="24"/>
        <v/>
      </c>
      <c r="J197" s="104">
        <f t="shared" si="25"/>
        <v>-1</v>
      </c>
      <c r="K197" s="104">
        <f t="shared" si="26"/>
        <v>-10</v>
      </c>
      <c r="L197" s="104"/>
      <c r="M197" s="106">
        <f t="shared" si="27"/>
        <v>0</v>
      </c>
      <c r="N197" s="106">
        <f t="shared" si="28"/>
        <v>0</v>
      </c>
      <c r="O197" s="84"/>
      <c r="P197" s="84"/>
      <c r="Q197" s="84"/>
      <c r="R197" s="84"/>
      <c r="S197" s="84"/>
    </row>
    <row r="198" spans="1:20" s="91" customFormat="1" x14ac:dyDescent="0.25">
      <c r="A198" s="137">
        <f t="shared" si="22"/>
        <v>0</v>
      </c>
      <c r="B198" s="38" t="str">
        <f t="shared" si="23"/>
        <v/>
      </c>
      <c r="C198" s="39" t="s">
        <v>54</v>
      </c>
      <c r="D198" s="39"/>
      <c r="E198" s="39"/>
      <c r="F198" s="39"/>
      <c r="G198" s="84"/>
      <c r="H198" s="101">
        <v>193</v>
      </c>
      <c r="I198" s="102" t="str">
        <f t="shared" si="24"/>
        <v/>
      </c>
      <c r="J198" s="101">
        <f t="shared" si="25"/>
        <v>-1</v>
      </c>
      <c r="K198" s="101">
        <f t="shared" si="26"/>
        <v>-10</v>
      </c>
      <c r="L198" s="101"/>
      <c r="M198" s="103">
        <f t="shared" si="27"/>
        <v>0</v>
      </c>
      <c r="N198" s="103">
        <f t="shared" si="28"/>
        <v>0</v>
      </c>
      <c r="O198" s="84"/>
      <c r="P198" s="84"/>
      <c r="Q198" s="84"/>
      <c r="R198" s="84"/>
      <c r="S198" s="114"/>
      <c r="T198" s="115"/>
    </row>
    <row r="199" spans="1:20" s="91" customFormat="1" x14ac:dyDescent="0.25">
      <c r="A199" s="138">
        <f t="shared" si="22"/>
        <v>0</v>
      </c>
      <c r="B199" s="44" t="str">
        <f t="shared" si="23"/>
        <v/>
      </c>
      <c r="C199" s="45" t="s">
        <v>54</v>
      </c>
      <c r="D199" s="45"/>
      <c r="E199" s="45"/>
      <c r="F199" s="45"/>
      <c r="G199" s="84"/>
      <c r="H199" s="104">
        <v>194</v>
      </c>
      <c r="I199" s="105" t="str">
        <f t="shared" si="24"/>
        <v/>
      </c>
      <c r="J199" s="104">
        <f t="shared" si="25"/>
        <v>-1</v>
      </c>
      <c r="K199" s="104">
        <f t="shared" si="26"/>
        <v>-10</v>
      </c>
      <c r="L199" s="104"/>
      <c r="M199" s="106">
        <f t="shared" si="27"/>
        <v>0</v>
      </c>
      <c r="N199" s="106">
        <f t="shared" si="28"/>
        <v>0</v>
      </c>
      <c r="O199" s="84"/>
      <c r="P199" s="84"/>
      <c r="Q199" s="84"/>
      <c r="R199" s="84"/>
      <c r="S199" s="84"/>
    </row>
    <row r="200" spans="1:20" s="91" customFormat="1" x14ac:dyDescent="0.25">
      <c r="A200" s="137">
        <f t="shared" si="22"/>
        <v>0</v>
      </c>
      <c r="B200" s="38" t="str">
        <f t="shared" si="23"/>
        <v/>
      </c>
      <c r="C200" s="39" t="s">
        <v>54</v>
      </c>
      <c r="D200" s="39"/>
      <c r="E200" s="39"/>
      <c r="F200" s="39"/>
      <c r="G200" s="84"/>
      <c r="H200" s="101">
        <v>195</v>
      </c>
      <c r="I200" s="102" t="str">
        <f t="shared" si="24"/>
        <v/>
      </c>
      <c r="J200" s="101">
        <f t="shared" si="25"/>
        <v>-1</v>
      </c>
      <c r="K200" s="101">
        <f t="shared" si="26"/>
        <v>-10</v>
      </c>
      <c r="L200" s="101"/>
      <c r="M200" s="103">
        <f t="shared" si="27"/>
        <v>0</v>
      </c>
      <c r="N200" s="103">
        <f t="shared" si="28"/>
        <v>0</v>
      </c>
      <c r="O200" s="84"/>
      <c r="P200" s="84"/>
      <c r="Q200" s="84"/>
      <c r="R200" s="84"/>
      <c r="S200" s="114"/>
      <c r="T200" s="115"/>
    </row>
    <row r="201" spans="1:20" s="91" customFormat="1" x14ac:dyDescent="0.25">
      <c r="A201" s="138">
        <f t="shared" si="22"/>
        <v>0</v>
      </c>
      <c r="B201" s="44" t="str">
        <f t="shared" si="23"/>
        <v/>
      </c>
      <c r="C201" s="45" t="s">
        <v>54</v>
      </c>
      <c r="D201" s="45"/>
      <c r="E201" s="45"/>
      <c r="F201" s="45"/>
      <c r="G201" s="84"/>
      <c r="H201" s="104">
        <v>196</v>
      </c>
      <c r="I201" s="105" t="str">
        <f t="shared" si="24"/>
        <v/>
      </c>
      <c r="J201" s="104">
        <f t="shared" si="25"/>
        <v>-1</v>
      </c>
      <c r="K201" s="104">
        <f t="shared" si="26"/>
        <v>-10</v>
      </c>
      <c r="L201" s="104"/>
      <c r="M201" s="106">
        <f t="shared" si="27"/>
        <v>0</v>
      </c>
      <c r="N201" s="106">
        <f t="shared" si="28"/>
        <v>0</v>
      </c>
      <c r="O201" s="84"/>
      <c r="P201" s="84"/>
      <c r="Q201" s="84"/>
      <c r="R201" s="84"/>
      <c r="S201" s="84"/>
    </row>
    <row r="202" spans="1:20" s="91" customFormat="1" x14ac:dyDescent="0.25">
      <c r="A202" s="137">
        <f t="shared" si="22"/>
        <v>0</v>
      </c>
      <c r="B202" s="38" t="str">
        <f t="shared" si="23"/>
        <v/>
      </c>
      <c r="C202" s="39" t="s">
        <v>54</v>
      </c>
      <c r="D202" s="39"/>
      <c r="E202" s="39"/>
      <c r="F202" s="39"/>
      <c r="G202" s="84"/>
      <c r="H202" s="101">
        <v>197</v>
      </c>
      <c r="I202" s="102" t="str">
        <f t="shared" si="24"/>
        <v/>
      </c>
      <c r="J202" s="101">
        <f t="shared" si="25"/>
        <v>-1</v>
      </c>
      <c r="K202" s="101">
        <f t="shared" si="26"/>
        <v>-10</v>
      </c>
      <c r="L202" s="101"/>
      <c r="M202" s="103">
        <f t="shared" si="27"/>
        <v>0</v>
      </c>
      <c r="N202" s="103">
        <f t="shared" si="28"/>
        <v>0</v>
      </c>
      <c r="O202" s="84"/>
      <c r="P202" s="84"/>
      <c r="Q202" s="84"/>
      <c r="R202" s="84"/>
      <c r="S202" s="114"/>
      <c r="T202" s="115"/>
    </row>
    <row r="203" spans="1:20" s="91" customFormat="1" x14ac:dyDescent="0.25">
      <c r="A203" s="138">
        <f t="shared" si="22"/>
        <v>0</v>
      </c>
      <c r="B203" s="44" t="str">
        <f t="shared" si="23"/>
        <v/>
      </c>
      <c r="C203" s="45" t="s">
        <v>54</v>
      </c>
      <c r="D203" s="45"/>
      <c r="E203" s="45"/>
      <c r="F203" s="45"/>
      <c r="G203" s="84"/>
      <c r="H203" s="104">
        <v>198</v>
      </c>
      <c r="I203" s="105" t="str">
        <f t="shared" si="24"/>
        <v/>
      </c>
      <c r="J203" s="104">
        <f t="shared" si="25"/>
        <v>-1</v>
      </c>
      <c r="K203" s="104">
        <f t="shared" si="26"/>
        <v>-10</v>
      </c>
      <c r="L203" s="104"/>
      <c r="M203" s="106">
        <f t="shared" si="27"/>
        <v>0</v>
      </c>
      <c r="N203" s="106">
        <f t="shared" si="28"/>
        <v>0</v>
      </c>
      <c r="O203" s="84"/>
      <c r="P203" s="84"/>
      <c r="Q203" s="84"/>
      <c r="R203" s="84"/>
      <c r="S203" s="84"/>
    </row>
    <row r="204" spans="1:20" s="91" customFormat="1" x14ac:dyDescent="0.25">
      <c r="A204" s="137">
        <f t="shared" si="22"/>
        <v>0</v>
      </c>
      <c r="B204" s="38" t="str">
        <f t="shared" si="23"/>
        <v/>
      </c>
      <c r="C204" s="39" t="s">
        <v>54</v>
      </c>
      <c r="D204" s="39"/>
      <c r="E204" s="39"/>
      <c r="F204" s="39"/>
      <c r="G204" s="84"/>
      <c r="H204" s="101">
        <v>199</v>
      </c>
      <c r="I204" s="102" t="str">
        <f t="shared" si="24"/>
        <v/>
      </c>
      <c r="J204" s="101">
        <f t="shared" si="25"/>
        <v>-1</v>
      </c>
      <c r="K204" s="101">
        <f t="shared" si="26"/>
        <v>-10</v>
      </c>
      <c r="L204" s="101"/>
      <c r="M204" s="103">
        <f t="shared" si="27"/>
        <v>0</v>
      </c>
      <c r="N204" s="103">
        <f t="shared" si="28"/>
        <v>0</v>
      </c>
      <c r="O204" s="84"/>
      <c r="P204" s="84"/>
      <c r="Q204" s="84"/>
      <c r="R204" s="84"/>
      <c r="S204" s="114"/>
      <c r="T204" s="115"/>
    </row>
    <row r="205" spans="1:20" s="91" customFormat="1" x14ac:dyDescent="0.25">
      <c r="A205" s="138">
        <f t="shared" si="22"/>
        <v>0</v>
      </c>
      <c r="B205" s="44" t="str">
        <f t="shared" si="23"/>
        <v/>
      </c>
      <c r="C205" s="45" t="s">
        <v>54</v>
      </c>
      <c r="D205" s="45"/>
      <c r="E205" s="45"/>
      <c r="F205" s="45"/>
      <c r="G205" s="84"/>
      <c r="H205" s="104">
        <v>200</v>
      </c>
      <c r="I205" s="105" t="str">
        <f t="shared" si="24"/>
        <v/>
      </c>
      <c r="J205" s="104">
        <f t="shared" si="25"/>
        <v>-1</v>
      </c>
      <c r="K205" s="104">
        <f t="shared" si="26"/>
        <v>-10</v>
      </c>
      <c r="L205" s="104"/>
      <c r="M205" s="106">
        <f t="shared" si="27"/>
        <v>0</v>
      </c>
      <c r="N205" s="106">
        <f t="shared" si="28"/>
        <v>0</v>
      </c>
      <c r="O205" s="84"/>
      <c r="P205" s="84"/>
      <c r="Q205" s="84"/>
      <c r="R205" s="84"/>
      <c r="S205" s="84"/>
    </row>
    <row r="206" spans="1:20" s="91" customFormat="1" x14ac:dyDescent="0.25">
      <c r="A206" s="137">
        <f t="shared" si="22"/>
        <v>0</v>
      </c>
      <c r="B206" s="38" t="str">
        <f t="shared" si="23"/>
        <v/>
      </c>
      <c r="C206" s="39" t="s">
        <v>54</v>
      </c>
      <c r="D206" s="39"/>
      <c r="E206" s="39"/>
      <c r="F206" s="39"/>
      <c r="G206" s="84"/>
      <c r="H206" s="101">
        <v>201</v>
      </c>
      <c r="I206" s="102" t="str">
        <f t="shared" si="24"/>
        <v/>
      </c>
      <c r="J206" s="101">
        <f t="shared" si="25"/>
        <v>-1</v>
      </c>
      <c r="K206" s="101">
        <f t="shared" si="26"/>
        <v>-10</v>
      </c>
      <c r="L206" s="101"/>
      <c r="M206" s="103">
        <f t="shared" si="27"/>
        <v>0</v>
      </c>
      <c r="N206" s="103">
        <f t="shared" si="28"/>
        <v>0</v>
      </c>
      <c r="O206" s="84"/>
      <c r="P206" s="84"/>
      <c r="Q206" s="84"/>
      <c r="R206" s="84"/>
      <c r="S206" s="114"/>
      <c r="T206" s="115"/>
    </row>
    <row r="207" spans="1:20" s="91" customFormat="1" x14ac:dyDescent="0.25">
      <c r="A207" s="138">
        <f t="shared" si="22"/>
        <v>0</v>
      </c>
      <c r="B207" s="44" t="str">
        <f t="shared" si="23"/>
        <v/>
      </c>
      <c r="C207" s="45" t="s">
        <v>54</v>
      </c>
      <c r="D207" s="45"/>
      <c r="E207" s="45"/>
      <c r="F207" s="45"/>
      <c r="G207" s="84"/>
      <c r="H207" s="104">
        <v>202</v>
      </c>
      <c r="I207" s="105" t="str">
        <f t="shared" si="24"/>
        <v/>
      </c>
      <c r="J207" s="104">
        <f t="shared" si="25"/>
        <v>-1</v>
      </c>
      <c r="K207" s="104">
        <f t="shared" si="26"/>
        <v>-10</v>
      </c>
      <c r="L207" s="104"/>
      <c r="M207" s="106">
        <f t="shared" si="27"/>
        <v>0</v>
      </c>
      <c r="N207" s="106">
        <f t="shared" si="28"/>
        <v>0</v>
      </c>
      <c r="O207" s="84"/>
      <c r="P207" s="84"/>
      <c r="Q207" s="84"/>
      <c r="R207" s="84"/>
      <c r="S207" s="84"/>
    </row>
    <row r="208" spans="1:20" s="91" customFormat="1" x14ac:dyDescent="0.25">
      <c r="A208" s="137">
        <f t="shared" si="22"/>
        <v>0</v>
      </c>
      <c r="B208" s="38" t="str">
        <f t="shared" si="23"/>
        <v/>
      </c>
      <c r="C208" s="39" t="s">
        <v>54</v>
      </c>
      <c r="D208" s="39"/>
      <c r="E208" s="39"/>
      <c r="F208" s="39"/>
      <c r="G208" s="84"/>
      <c r="H208" s="101">
        <v>203</v>
      </c>
      <c r="I208" s="102" t="str">
        <f t="shared" si="24"/>
        <v/>
      </c>
      <c r="J208" s="101">
        <f t="shared" si="25"/>
        <v>-1</v>
      </c>
      <c r="K208" s="101">
        <f t="shared" si="26"/>
        <v>-10</v>
      </c>
      <c r="L208" s="101"/>
      <c r="M208" s="103">
        <f t="shared" si="27"/>
        <v>0</v>
      </c>
      <c r="N208" s="103">
        <f t="shared" si="28"/>
        <v>0</v>
      </c>
      <c r="O208" s="84"/>
      <c r="P208" s="84"/>
      <c r="Q208" s="84"/>
      <c r="R208" s="84"/>
      <c r="S208" s="114"/>
      <c r="T208" s="115"/>
    </row>
    <row r="209" spans="1:20" s="91" customFormat="1" x14ac:dyDescent="0.25">
      <c r="A209" s="138">
        <f t="shared" si="22"/>
        <v>0</v>
      </c>
      <c r="B209" s="44" t="str">
        <f t="shared" si="23"/>
        <v/>
      </c>
      <c r="C209" s="45" t="s">
        <v>54</v>
      </c>
      <c r="D209" s="45"/>
      <c r="E209" s="45"/>
      <c r="F209" s="45"/>
      <c r="G209" s="84"/>
      <c r="H209" s="104">
        <v>204</v>
      </c>
      <c r="I209" s="105" t="str">
        <f t="shared" si="24"/>
        <v/>
      </c>
      <c r="J209" s="104">
        <f t="shared" si="25"/>
        <v>-1</v>
      </c>
      <c r="K209" s="104">
        <f t="shared" si="26"/>
        <v>-10</v>
      </c>
      <c r="L209" s="104"/>
      <c r="M209" s="106">
        <f t="shared" si="27"/>
        <v>0</v>
      </c>
      <c r="N209" s="106">
        <f t="shared" si="28"/>
        <v>0</v>
      </c>
      <c r="O209" s="84"/>
      <c r="P209" s="84"/>
      <c r="Q209" s="84"/>
      <c r="R209" s="84"/>
      <c r="S209" s="84"/>
    </row>
    <row r="210" spans="1:20" s="91" customFormat="1" x14ac:dyDescent="0.25">
      <c r="A210" s="137">
        <f t="shared" si="22"/>
        <v>0</v>
      </c>
      <c r="B210" s="38" t="str">
        <f t="shared" si="23"/>
        <v/>
      </c>
      <c r="C210" s="39" t="s">
        <v>54</v>
      </c>
      <c r="D210" s="39"/>
      <c r="E210" s="39"/>
      <c r="F210" s="39"/>
      <c r="G210" s="84"/>
      <c r="H210" s="101">
        <v>205</v>
      </c>
      <c r="I210" s="102" t="str">
        <f t="shared" si="24"/>
        <v/>
      </c>
      <c r="J210" s="101">
        <f t="shared" si="25"/>
        <v>-1</v>
      </c>
      <c r="K210" s="101">
        <f t="shared" si="26"/>
        <v>-10</v>
      </c>
      <c r="L210" s="101"/>
      <c r="M210" s="103">
        <f t="shared" si="27"/>
        <v>0</v>
      </c>
      <c r="N210" s="103">
        <f t="shared" si="28"/>
        <v>0</v>
      </c>
      <c r="O210" s="84"/>
      <c r="P210" s="84"/>
      <c r="Q210" s="84"/>
      <c r="R210" s="84"/>
      <c r="S210" s="114"/>
      <c r="T210" s="115"/>
    </row>
    <row r="211" spans="1:20" s="91" customFormat="1" x14ac:dyDescent="0.25">
      <c r="A211" s="138">
        <f t="shared" si="22"/>
        <v>0</v>
      </c>
      <c r="B211" s="44" t="str">
        <f t="shared" si="23"/>
        <v/>
      </c>
      <c r="C211" s="45" t="s">
        <v>54</v>
      </c>
      <c r="D211" s="45"/>
      <c r="E211" s="45"/>
      <c r="F211" s="45"/>
      <c r="G211" s="84"/>
      <c r="H211" s="104">
        <v>206</v>
      </c>
      <c r="I211" s="105" t="str">
        <f t="shared" si="24"/>
        <v/>
      </c>
      <c r="J211" s="104">
        <f t="shared" si="25"/>
        <v>-1</v>
      </c>
      <c r="K211" s="104">
        <f t="shared" si="26"/>
        <v>-10</v>
      </c>
      <c r="L211" s="104"/>
      <c r="M211" s="106">
        <f t="shared" si="27"/>
        <v>0</v>
      </c>
      <c r="N211" s="106">
        <f t="shared" si="28"/>
        <v>0</v>
      </c>
      <c r="O211" s="84"/>
      <c r="P211" s="84"/>
      <c r="Q211" s="84"/>
      <c r="R211" s="84"/>
      <c r="S211" s="84"/>
    </row>
    <row r="212" spans="1:20" s="91" customFormat="1" x14ac:dyDescent="0.25">
      <c r="A212" s="137">
        <f t="shared" si="22"/>
        <v>0</v>
      </c>
      <c r="B212" s="38" t="str">
        <f t="shared" si="23"/>
        <v/>
      </c>
      <c r="C212" s="39" t="s">
        <v>54</v>
      </c>
      <c r="D212" s="39"/>
      <c r="E212" s="39"/>
      <c r="F212" s="39"/>
      <c r="G212" s="84"/>
      <c r="H212" s="101">
        <v>207</v>
      </c>
      <c r="I212" s="102" t="str">
        <f t="shared" si="24"/>
        <v/>
      </c>
      <c r="J212" s="101">
        <f t="shared" si="25"/>
        <v>-1</v>
      </c>
      <c r="K212" s="101">
        <f t="shared" si="26"/>
        <v>-10</v>
      </c>
      <c r="L212" s="101"/>
      <c r="M212" s="103">
        <f t="shared" si="27"/>
        <v>0</v>
      </c>
      <c r="N212" s="103">
        <f t="shared" si="28"/>
        <v>0</v>
      </c>
      <c r="O212" s="84"/>
      <c r="P212" s="84"/>
      <c r="Q212" s="84"/>
      <c r="R212" s="84"/>
      <c r="S212" s="114"/>
      <c r="T212" s="115"/>
    </row>
    <row r="213" spans="1:20" s="91" customFormat="1" x14ac:dyDescent="0.25">
      <c r="A213" s="138">
        <f t="shared" si="22"/>
        <v>0</v>
      </c>
      <c r="B213" s="44" t="str">
        <f t="shared" si="23"/>
        <v/>
      </c>
      <c r="C213" s="45" t="s">
        <v>54</v>
      </c>
      <c r="D213" s="45"/>
      <c r="E213" s="45"/>
      <c r="F213" s="45"/>
      <c r="G213" s="84"/>
      <c r="H213" s="104">
        <v>208</v>
      </c>
      <c r="I213" s="105" t="str">
        <f t="shared" si="24"/>
        <v/>
      </c>
      <c r="J213" s="104">
        <f t="shared" si="25"/>
        <v>-1</v>
      </c>
      <c r="K213" s="104">
        <f t="shared" si="26"/>
        <v>-10</v>
      </c>
      <c r="L213" s="104"/>
      <c r="M213" s="106">
        <f t="shared" si="27"/>
        <v>0</v>
      </c>
      <c r="N213" s="106">
        <f t="shared" si="28"/>
        <v>0</v>
      </c>
      <c r="O213" s="84"/>
      <c r="P213" s="84"/>
      <c r="Q213" s="84"/>
      <c r="R213" s="84"/>
      <c r="S213" s="84"/>
    </row>
    <row r="214" spans="1:20" s="91" customFormat="1" x14ac:dyDescent="0.25">
      <c r="A214" s="137">
        <f t="shared" si="22"/>
        <v>0</v>
      </c>
      <c r="B214" s="38" t="str">
        <f t="shared" si="23"/>
        <v/>
      </c>
      <c r="C214" s="39" t="s">
        <v>54</v>
      </c>
      <c r="D214" s="39"/>
      <c r="E214" s="39"/>
      <c r="F214" s="39"/>
      <c r="G214" s="84"/>
      <c r="H214" s="101">
        <v>209</v>
      </c>
      <c r="I214" s="102" t="str">
        <f t="shared" si="24"/>
        <v/>
      </c>
      <c r="J214" s="101">
        <f t="shared" si="25"/>
        <v>-1</v>
      </c>
      <c r="K214" s="101">
        <f t="shared" si="26"/>
        <v>-10</v>
      </c>
      <c r="L214" s="101"/>
      <c r="M214" s="103">
        <f t="shared" si="27"/>
        <v>0</v>
      </c>
      <c r="N214" s="103">
        <f t="shared" si="28"/>
        <v>0</v>
      </c>
      <c r="O214" s="84"/>
      <c r="P214" s="84"/>
      <c r="Q214" s="84"/>
      <c r="R214" s="84"/>
      <c r="S214" s="114"/>
      <c r="T214" s="115"/>
    </row>
    <row r="215" spans="1:20" s="91" customFormat="1" x14ac:dyDescent="0.25">
      <c r="A215" s="138">
        <f t="shared" si="22"/>
        <v>0</v>
      </c>
      <c r="B215" s="44" t="str">
        <f t="shared" si="23"/>
        <v/>
      </c>
      <c r="C215" s="45" t="s">
        <v>54</v>
      </c>
      <c r="D215" s="45"/>
      <c r="E215" s="45"/>
      <c r="F215" s="45"/>
      <c r="G215" s="84"/>
      <c r="H215" s="104">
        <v>210</v>
      </c>
      <c r="I215" s="105" t="str">
        <f t="shared" si="24"/>
        <v/>
      </c>
      <c r="J215" s="104">
        <f t="shared" si="25"/>
        <v>-1</v>
      </c>
      <c r="K215" s="104">
        <f t="shared" si="26"/>
        <v>-10</v>
      </c>
      <c r="L215" s="104"/>
      <c r="M215" s="106">
        <f t="shared" si="27"/>
        <v>0</v>
      </c>
      <c r="N215" s="106">
        <f t="shared" si="28"/>
        <v>0</v>
      </c>
      <c r="O215" s="84"/>
      <c r="P215" s="84"/>
      <c r="Q215" s="84"/>
      <c r="R215" s="84"/>
      <c r="S215" s="84"/>
    </row>
    <row r="216" spans="1:20" s="91" customFormat="1" x14ac:dyDescent="0.25">
      <c r="A216" s="137">
        <f t="shared" si="22"/>
        <v>0</v>
      </c>
      <c r="B216" s="38" t="str">
        <f t="shared" si="23"/>
        <v/>
      </c>
      <c r="C216" s="39" t="s">
        <v>54</v>
      </c>
      <c r="D216" s="39"/>
      <c r="E216" s="39"/>
      <c r="F216" s="39"/>
      <c r="G216" s="84"/>
      <c r="H216" s="101">
        <v>211</v>
      </c>
      <c r="I216" s="102" t="str">
        <f t="shared" si="24"/>
        <v/>
      </c>
      <c r="J216" s="101">
        <f t="shared" si="25"/>
        <v>-1</v>
      </c>
      <c r="K216" s="101">
        <f t="shared" si="26"/>
        <v>-10</v>
      </c>
      <c r="L216" s="101"/>
      <c r="M216" s="103">
        <f t="shared" si="27"/>
        <v>0</v>
      </c>
      <c r="N216" s="103">
        <f t="shared" si="28"/>
        <v>0</v>
      </c>
      <c r="O216" s="84"/>
      <c r="P216" s="84"/>
      <c r="Q216" s="84"/>
      <c r="R216" s="84"/>
      <c r="S216" s="114"/>
      <c r="T216" s="115"/>
    </row>
    <row r="217" spans="1:20" s="91" customFormat="1" x14ac:dyDescent="0.25">
      <c r="A217" s="138">
        <f t="shared" si="22"/>
        <v>0</v>
      </c>
      <c r="B217" s="44" t="str">
        <f t="shared" si="23"/>
        <v/>
      </c>
      <c r="C217" s="45" t="s">
        <v>54</v>
      </c>
      <c r="D217" s="45"/>
      <c r="E217" s="45"/>
      <c r="F217" s="45"/>
      <c r="G217" s="84"/>
      <c r="H217" s="104">
        <v>212</v>
      </c>
      <c r="I217" s="105" t="str">
        <f t="shared" si="24"/>
        <v/>
      </c>
      <c r="J217" s="104">
        <f t="shared" si="25"/>
        <v>-1</v>
      </c>
      <c r="K217" s="104">
        <f t="shared" si="26"/>
        <v>-10</v>
      </c>
      <c r="L217" s="104"/>
      <c r="M217" s="106">
        <f t="shared" si="27"/>
        <v>0</v>
      </c>
      <c r="N217" s="106">
        <f t="shared" si="28"/>
        <v>0</v>
      </c>
      <c r="O217" s="84"/>
      <c r="P217" s="84"/>
      <c r="Q217" s="84"/>
      <c r="R217" s="84"/>
      <c r="S217" s="84"/>
    </row>
    <row r="218" spans="1:20" s="91" customFormat="1" x14ac:dyDescent="0.25">
      <c r="A218" s="137">
        <f t="shared" si="22"/>
        <v>0</v>
      </c>
      <c r="B218" s="38" t="str">
        <f t="shared" si="23"/>
        <v/>
      </c>
      <c r="C218" s="39" t="s">
        <v>54</v>
      </c>
      <c r="D218" s="39"/>
      <c r="E218" s="39"/>
      <c r="F218" s="39"/>
      <c r="G218" s="84"/>
      <c r="H218" s="101">
        <v>213</v>
      </c>
      <c r="I218" s="102" t="str">
        <f t="shared" si="24"/>
        <v/>
      </c>
      <c r="J218" s="101">
        <f t="shared" si="25"/>
        <v>-1</v>
      </c>
      <c r="K218" s="101">
        <f t="shared" si="26"/>
        <v>-10</v>
      </c>
      <c r="L218" s="101"/>
      <c r="M218" s="103">
        <f t="shared" si="27"/>
        <v>0</v>
      </c>
      <c r="N218" s="103">
        <f t="shared" si="28"/>
        <v>0</v>
      </c>
      <c r="O218" s="84"/>
      <c r="P218" s="84"/>
      <c r="Q218" s="84"/>
      <c r="R218" s="84"/>
      <c r="S218" s="114"/>
      <c r="T218" s="115"/>
    </row>
    <row r="219" spans="1:20" s="91" customFormat="1" x14ac:dyDescent="0.25">
      <c r="A219" s="138">
        <f t="shared" si="22"/>
        <v>0</v>
      </c>
      <c r="B219" s="44" t="str">
        <f t="shared" si="23"/>
        <v/>
      </c>
      <c r="C219" s="45" t="s">
        <v>54</v>
      </c>
      <c r="D219" s="45"/>
      <c r="E219" s="45"/>
      <c r="F219" s="45"/>
      <c r="G219" s="84"/>
      <c r="H219" s="104">
        <v>214</v>
      </c>
      <c r="I219" s="105" t="str">
        <f t="shared" si="24"/>
        <v/>
      </c>
      <c r="J219" s="104">
        <f t="shared" si="25"/>
        <v>-1</v>
      </c>
      <c r="K219" s="104">
        <f t="shared" si="26"/>
        <v>-10</v>
      </c>
      <c r="L219" s="104"/>
      <c r="M219" s="106">
        <f t="shared" si="27"/>
        <v>0</v>
      </c>
      <c r="N219" s="106">
        <f t="shared" si="28"/>
        <v>0</v>
      </c>
      <c r="O219" s="84"/>
      <c r="P219" s="84"/>
      <c r="Q219" s="84"/>
      <c r="R219" s="84"/>
      <c r="S219" s="84"/>
    </row>
    <row r="220" spans="1:20" s="91" customFormat="1" x14ac:dyDescent="0.25">
      <c r="A220" s="137">
        <f t="shared" si="22"/>
        <v>0</v>
      </c>
      <c r="B220" s="38" t="str">
        <f t="shared" si="23"/>
        <v/>
      </c>
      <c r="C220" s="39" t="s">
        <v>54</v>
      </c>
      <c r="D220" s="39"/>
      <c r="E220" s="39"/>
      <c r="F220" s="39"/>
      <c r="G220" s="84"/>
      <c r="H220" s="101">
        <v>215</v>
      </c>
      <c r="I220" s="102" t="str">
        <f t="shared" si="24"/>
        <v/>
      </c>
      <c r="J220" s="101">
        <f t="shared" si="25"/>
        <v>-1</v>
      </c>
      <c r="K220" s="101">
        <f t="shared" si="26"/>
        <v>-10</v>
      </c>
      <c r="L220" s="101"/>
      <c r="M220" s="103">
        <f t="shared" si="27"/>
        <v>0</v>
      </c>
      <c r="N220" s="103">
        <f t="shared" si="28"/>
        <v>0</v>
      </c>
      <c r="O220" s="84"/>
      <c r="P220" s="84"/>
      <c r="Q220" s="84"/>
      <c r="R220" s="84"/>
      <c r="S220" s="114"/>
      <c r="T220" s="115"/>
    </row>
    <row r="221" spans="1:20" s="91" customFormat="1" x14ac:dyDescent="0.25">
      <c r="A221" s="138">
        <f t="shared" si="22"/>
        <v>0</v>
      </c>
      <c r="B221" s="44" t="str">
        <f t="shared" si="23"/>
        <v/>
      </c>
      <c r="C221" s="45" t="s">
        <v>54</v>
      </c>
      <c r="D221" s="45"/>
      <c r="E221" s="45"/>
      <c r="F221" s="45"/>
      <c r="G221" s="84"/>
      <c r="H221" s="104">
        <v>216</v>
      </c>
      <c r="I221" s="105" t="str">
        <f t="shared" si="24"/>
        <v/>
      </c>
      <c r="J221" s="104">
        <f t="shared" si="25"/>
        <v>-1</v>
      </c>
      <c r="K221" s="104">
        <f t="shared" si="26"/>
        <v>-10</v>
      </c>
      <c r="L221" s="104"/>
      <c r="M221" s="106">
        <f t="shared" si="27"/>
        <v>0</v>
      </c>
      <c r="N221" s="106">
        <f t="shared" si="28"/>
        <v>0</v>
      </c>
      <c r="O221" s="84"/>
      <c r="P221" s="84"/>
      <c r="Q221" s="84"/>
      <c r="R221" s="84"/>
      <c r="S221" s="84"/>
    </row>
    <row r="222" spans="1:20" s="91" customFormat="1" x14ac:dyDescent="0.25">
      <c r="A222" s="137">
        <f t="shared" si="22"/>
        <v>0</v>
      </c>
      <c r="B222" s="38" t="str">
        <f t="shared" si="23"/>
        <v/>
      </c>
      <c r="C222" s="39" t="s">
        <v>54</v>
      </c>
      <c r="D222" s="39"/>
      <c r="E222" s="39"/>
      <c r="F222" s="39"/>
      <c r="G222" s="84"/>
      <c r="H222" s="101">
        <v>217</v>
      </c>
      <c r="I222" s="102" t="str">
        <f t="shared" si="24"/>
        <v/>
      </c>
      <c r="J222" s="101">
        <f t="shared" si="25"/>
        <v>-1</v>
      </c>
      <c r="K222" s="101">
        <f t="shared" si="26"/>
        <v>-10</v>
      </c>
      <c r="L222" s="101"/>
      <c r="M222" s="103">
        <f t="shared" si="27"/>
        <v>0</v>
      </c>
      <c r="N222" s="103">
        <f t="shared" si="28"/>
        <v>0</v>
      </c>
      <c r="O222" s="84"/>
      <c r="P222" s="84"/>
      <c r="Q222" s="84"/>
      <c r="R222" s="84"/>
      <c r="S222" s="114"/>
      <c r="T222" s="115"/>
    </row>
    <row r="223" spans="1:20" s="91" customFormat="1" x14ac:dyDescent="0.25">
      <c r="A223" s="138">
        <f t="shared" si="22"/>
        <v>0</v>
      </c>
      <c r="B223" s="44" t="str">
        <f t="shared" si="23"/>
        <v/>
      </c>
      <c r="C223" s="45" t="s">
        <v>54</v>
      </c>
      <c r="D223" s="45"/>
      <c r="E223" s="45"/>
      <c r="F223" s="45"/>
      <c r="G223" s="84"/>
      <c r="H223" s="104">
        <v>218</v>
      </c>
      <c r="I223" s="105" t="str">
        <f t="shared" si="24"/>
        <v/>
      </c>
      <c r="J223" s="104">
        <f t="shared" si="25"/>
        <v>-1</v>
      </c>
      <c r="K223" s="104">
        <f t="shared" si="26"/>
        <v>-10</v>
      </c>
      <c r="L223" s="104"/>
      <c r="M223" s="106">
        <f t="shared" si="27"/>
        <v>0</v>
      </c>
      <c r="N223" s="106">
        <f t="shared" si="28"/>
        <v>0</v>
      </c>
      <c r="O223" s="84"/>
      <c r="P223" s="84"/>
      <c r="Q223" s="84"/>
      <c r="R223" s="84"/>
      <c r="S223" s="84"/>
    </row>
    <row r="224" spans="1:20" s="91" customFormat="1" x14ac:dyDescent="0.25">
      <c r="A224" s="137">
        <f t="shared" si="22"/>
        <v>0</v>
      </c>
      <c r="B224" s="38" t="str">
        <f t="shared" si="23"/>
        <v/>
      </c>
      <c r="C224" s="39" t="s">
        <v>54</v>
      </c>
      <c r="D224" s="39"/>
      <c r="E224" s="39"/>
      <c r="F224" s="39"/>
      <c r="G224" s="84"/>
      <c r="H224" s="101">
        <v>219</v>
      </c>
      <c r="I224" s="102" t="str">
        <f t="shared" si="24"/>
        <v/>
      </c>
      <c r="J224" s="101">
        <f t="shared" si="25"/>
        <v>-1</v>
      </c>
      <c r="K224" s="101">
        <f t="shared" si="26"/>
        <v>-10</v>
      </c>
      <c r="L224" s="101"/>
      <c r="M224" s="103">
        <f t="shared" si="27"/>
        <v>0</v>
      </c>
      <c r="N224" s="103">
        <f t="shared" si="28"/>
        <v>0</v>
      </c>
      <c r="O224" s="84"/>
      <c r="P224" s="84"/>
      <c r="Q224" s="84"/>
      <c r="R224" s="84"/>
      <c r="S224" s="114"/>
      <c r="T224" s="115"/>
    </row>
    <row r="225" spans="1:20" s="91" customFormat="1" x14ac:dyDescent="0.25">
      <c r="A225" s="138">
        <f t="shared" si="22"/>
        <v>0</v>
      </c>
      <c r="B225" s="44" t="str">
        <f t="shared" si="23"/>
        <v/>
      </c>
      <c r="C225" s="45" t="s">
        <v>54</v>
      </c>
      <c r="D225" s="45"/>
      <c r="E225" s="45"/>
      <c r="F225" s="45"/>
      <c r="G225" s="84"/>
      <c r="H225" s="104">
        <v>220</v>
      </c>
      <c r="I225" s="105" t="str">
        <f t="shared" si="24"/>
        <v/>
      </c>
      <c r="J225" s="104">
        <f t="shared" si="25"/>
        <v>-1</v>
      </c>
      <c r="K225" s="104">
        <f t="shared" si="26"/>
        <v>-10</v>
      </c>
      <c r="L225" s="104"/>
      <c r="M225" s="106">
        <f t="shared" si="27"/>
        <v>0</v>
      </c>
      <c r="N225" s="106">
        <f t="shared" si="28"/>
        <v>0</v>
      </c>
      <c r="O225" s="84"/>
      <c r="P225" s="84"/>
      <c r="Q225" s="84"/>
      <c r="R225" s="84"/>
      <c r="S225" s="84"/>
    </row>
    <row r="226" spans="1:20" s="91" customFormat="1" x14ac:dyDescent="0.25">
      <c r="A226" s="137">
        <f t="shared" si="22"/>
        <v>0</v>
      </c>
      <c r="B226" s="38" t="str">
        <f t="shared" si="23"/>
        <v/>
      </c>
      <c r="C226" s="39" t="s">
        <v>54</v>
      </c>
      <c r="D226" s="39"/>
      <c r="E226" s="39"/>
      <c r="F226" s="39"/>
      <c r="G226" s="84"/>
      <c r="H226" s="101">
        <v>221</v>
      </c>
      <c r="I226" s="102" t="str">
        <f t="shared" si="24"/>
        <v/>
      </c>
      <c r="J226" s="101">
        <f t="shared" si="25"/>
        <v>-1</v>
      </c>
      <c r="K226" s="101">
        <f t="shared" si="26"/>
        <v>-10</v>
      </c>
      <c r="L226" s="101"/>
      <c r="M226" s="103">
        <f t="shared" si="27"/>
        <v>0</v>
      </c>
      <c r="N226" s="103">
        <f t="shared" si="28"/>
        <v>0</v>
      </c>
      <c r="O226" s="84"/>
      <c r="P226" s="84"/>
      <c r="Q226" s="84"/>
      <c r="R226" s="84"/>
      <c r="S226" s="114"/>
      <c r="T226" s="115"/>
    </row>
    <row r="227" spans="1:20" s="91" customFormat="1" x14ac:dyDescent="0.25">
      <c r="A227" s="138">
        <f t="shared" si="22"/>
        <v>0</v>
      </c>
      <c r="B227" s="44" t="str">
        <f t="shared" si="23"/>
        <v/>
      </c>
      <c r="C227" s="45" t="s">
        <v>54</v>
      </c>
      <c r="D227" s="45"/>
      <c r="E227" s="45"/>
      <c r="F227" s="45"/>
      <c r="G227" s="84"/>
      <c r="H227" s="104">
        <v>222</v>
      </c>
      <c r="I227" s="105" t="str">
        <f t="shared" si="24"/>
        <v/>
      </c>
      <c r="J227" s="104">
        <f t="shared" si="25"/>
        <v>-1</v>
      </c>
      <c r="K227" s="104">
        <f t="shared" si="26"/>
        <v>-10</v>
      </c>
      <c r="L227" s="104"/>
      <c r="M227" s="106">
        <f t="shared" si="27"/>
        <v>0</v>
      </c>
      <c r="N227" s="106">
        <f t="shared" si="28"/>
        <v>0</v>
      </c>
      <c r="O227" s="84"/>
      <c r="P227" s="84"/>
      <c r="Q227" s="84"/>
      <c r="R227" s="84"/>
      <c r="S227" s="84"/>
    </row>
    <row r="228" spans="1:20" s="91" customFormat="1" x14ac:dyDescent="0.25">
      <c r="A228" s="137">
        <f t="shared" si="22"/>
        <v>0</v>
      </c>
      <c r="B228" s="38" t="str">
        <f t="shared" si="23"/>
        <v/>
      </c>
      <c r="C228" s="39" t="s">
        <v>54</v>
      </c>
      <c r="D228" s="39"/>
      <c r="E228" s="39"/>
      <c r="F228" s="39"/>
      <c r="G228" s="84"/>
      <c r="H228" s="101">
        <v>223</v>
      </c>
      <c r="I228" s="102" t="str">
        <f t="shared" si="24"/>
        <v/>
      </c>
      <c r="J228" s="101">
        <f t="shared" si="25"/>
        <v>-1</v>
      </c>
      <c r="K228" s="101">
        <f t="shared" si="26"/>
        <v>-10</v>
      </c>
      <c r="L228" s="101"/>
      <c r="M228" s="103">
        <f t="shared" si="27"/>
        <v>0</v>
      </c>
      <c r="N228" s="103">
        <f t="shared" si="28"/>
        <v>0</v>
      </c>
      <c r="O228" s="84"/>
      <c r="P228" s="84"/>
      <c r="Q228" s="84"/>
      <c r="R228" s="84"/>
      <c r="S228" s="114"/>
      <c r="T228" s="115"/>
    </row>
    <row r="229" spans="1:20" s="91" customFormat="1" x14ac:dyDescent="0.25">
      <c r="A229" s="138">
        <f t="shared" ref="A229:A250" si="29">N229</f>
        <v>0</v>
      </c>
      <c r="B229" s="44" t="str">
        <f t="shared" ref="B229:B250" si="30">IF(H229&gt;$H$2,"",(ROW()-5))</f>
        <v/>
      </c>
      <c r="C229" s="45" t="s">
        <v>54</v>
      </c>
      <c r="D229" s="45"/>
      <c r="E229" s="45"/>
      <c r="F229" s="45"/>
      <c r="G229" s="84"/>
      <c r="H229" s="104">
        <v>224</v>
      </c>
      <c r="I229" s="105" t="str">
        <f t="shared" ref="I229:I250" si="31">IF(H229&lt;$H$2+1,($I$2-($I$2-1)*(LOG(H229)/LOG($H$2))),"")</f>
        <v/>
      </c>
      <c r="J229" s="104">
        <f t="shared" ref="J229:J250" si="32">INT(LOG($H$2,2))-ROUNDUP(LOG(H229,2),0)+IF(OR($H$2=1,$H$2=2,$H$2=4,$H$2=8,$H$2=16,$H$2=32,$H$2=64,$H$2=128,$H$2=256),0,1)</f>
        <v>-1</v>
      </c>
      <c r="K229" s="104">
        <f t="shared" ref="K229:K250" si="33">J229*$J$2</f>
        <v>-10</v>
      </c>
      <c r="L229" s="104"/>
      <c r="M229" s="106">
        <f t="shared" ref="M229:M250" si="34">IF(I229&lt;&gt;"",K229+I229+L229,0)</f>
        <v>0</v>
      </c>
      <c r="N229" s="106">
        <f t="shared" ref="N229:N250" si="35">IF(I229&lt;&gt;"",M229*L$2,0)</f>
        <v>0</v>
      </c>
      <c r="O229" s="84"/>
      <c r="P229" s="84"/>
      <c r="Q229" s="84"/>
      <c r="R229" s="84"/>
      <c r="S229" s="84"/>
    </row>
    <row r="230" spans="1:20" s="91" customFormat="1" x14ac:dyDescent="0.25">
      <c r="A230" s="137">
        <f t="shared" si="29"/>
        <v>0</v>
      </c>
      <c r="B230" s="38" t="str">
        <f t="shared" si="30"/>
        <v/>
      </c>
      <c r="C230" s="39" t="s">
        <v>54</v>
      </c>
      <c r="D230" s="39"/>
      <c r="E230" s="39"/>
      <c r="F230" s="39"/>
      <c r="G230" s="84"/>
      <c r="H230" s="101">
        <v>225</v>
      </c>
      <c r="I230" s="102" t="str">
        <f t="shared" si="31"/>
        <v/>
      </c>
      <c r="J230" s="101">
        <f t="shared" si="32"/>
        <v>-1</v>
      </c>
      <c r="K230" s="101">
        <f t="shared" si="33"/>
        <v>-10</v>
      </c>
      <c r="L230" s="101"/>
      <c r="M230" s="103">
        <f t="shared" si="34"/>
        <v>0</v>
      </c>
      <c r="N230" s="103">
        <f t="shared" si="35"/>
        <v>0</v>
      </c>
      <c r="O230" s="84"/>
      <c r="P230" s="84"/>
      <c r="Q230" s="84"/>
      <c r="R230" s="84"/>
      <c r="S230" s="114"/>
      <c r="T230" s="115"/>
    </row>
    <row r="231" spans="1:20" s="91" customFormat="1" x14ac:dyDescent="0.25">
      <c r="A231" s="138">
        <f t="shared" si="29"/>
        <v>0</v>
      </c>
      <c r="B231" s="44" t="str">
        <f t="shared" si="30"/>
        <v/>
      </c>
      <c r="C231" s="45" t="s">
        <v>54</v>
      </c>
      <c r="D231" s="45"/>
      <c r="E231" s="45"/>
      <c r="F231" s="45"/>
      <c r="G231" s="84"/>
      <c r="H231" s="104">
        <v>226</v>
      </c>
      <c r="I231" s="105" t="str">
        <f t="shared" si="31"/>
        <v/>
      </c>
      <c r="J231" s="104">
        <f t="shared" si="32"/>
        <v>-1</v>
      </c>
      <c r="K231" s="104">
        <f t="shared" si="33"/>
        <v>-10</v>
      </c>
      <c r="L231" s="104"/>
      <c r="M231" s="106">
        <f t="shared" si="34"/>
        <v>0</v>
      </c>
      <c r="N231" s="106">
        <f t="shared" si="35"/>
        <v>0</v>
      </c>
      <c r="O231" s="84"/>
      <c r="P231" s="84"/>
      <c r="Q231" s="84"/>
      <c r="R231" s="84"/>
      <c r="S231" s="84"/>
    </row>
    <row r="232" spans="1:20" s="91" customFormat="1" x14ac:dyDescent="0.25">
      <c r="A232" s="137">
        <f t="shared" si="29"/>
        <v>0</v>
      </c>
      <c r="B232" s="38" t="str">
        <f t="shared" si="30"/>
        <v/>
      </c>
      <c r="C232" s="39" t="s">
        <v>54</v>
      </c>
      <c r="D232" s="39"/>
      <c r="E232" s="39"/>
      <c r="F232" s="39"/>
      <c r="G232" s="84"/>
      <c r="H232" s="101">
        <v>227</v>
      </c>
      <c r="I232" s="102" t="str">
        <f t="shared" si="31"/>
        <v/>
      </c>
      <c r="J232" s="101">
        <f t="shared" si="32"/>
        <v>-1</v>
      </c>
      <c r="K232" s="101">
        <f t="shared" si="33"/>
        <v>-10</v>
      </c>
      <c r="L232" s="101"/>
      <c r="M232" s="103">
        <f t="shared" si="34"/>
        <v>0</v>
      </c>
      <c r="N232" s="103">
        <f t="shared" si="35"/>
        <v>0</v>
      </c>
      <c r="O232" s="84"/>
      <c r="P232" s="84"/>
      <c r="Q232" s="84"/>
      <c r="R232" s="84"/>
      <c r="S232" s="114"/>
      <c r="T232" s="115"/>
    </row>
    <row r="233" spans="1:20" s="91" customFormat="1" x14ac:dyDescent="0.25">
      <c r="A233" s="138">
        <f t="shared" si="29"/>
        <v>0</v>
      </c>
      <c r="B233" s="44" t="str">
        <f t="shared" si="30"/>
        <v/>
      </c>
      <c r="C233" s="45" t="s">
        <v>54</v>
      </c>
      <c r="D233" s="45"/>
      <c r="E233" s="45"/>
      <c r="F233" s="45"/>
      <c r="G233" s="84"/>
      <c r="H233" s="104">
        <v>228</v>
      </c>
      <c r="I233" s="105" t="str">
        <f t="shared" si="31"/>
        <v/>
      </c>
      <c r="J233" s="104">
        <f t="shared" si="32"/>
        <v>-1</v>
      </c>
      <c r="K233" s="104">
        <f t="shared" si="33"/>
        <v>-10</v>
      </c>
      <c r="L233" s="104"/>
      <c r="M233" s="106">
        <f t="shared" si="34"/>
        <v>0</v>
      </c>
      <c r="N233" s="106">
        <f t="shared" si="35"/>
        <v>0</v>
      </c>
      <c r="O233" s="84"/>
      <c r="P233" s="84"/>
      <c r="Q233" s="84"/>
      <c r="R233" s="84"/>
      <c r="S233" s="84"/>
    </row>
    <row r="234" spans="1:20" s="91" customFormat="1" x14ac:dyDescent="0.25">
      <c r="A234" s="137">
        <f t="shared" si="29"/>
        <v>0</v>
      </c>
      <c r="B234" s="38" t="str">
        <f t="shared" si="30"/>
        <v/>
      </c>
      <c r="C234" s="39" t="s">
        <v>54</v>
      </c>
      <c r="D234" s="39"/>
      <c r="E234" s="39"/>
      <c r="F234" s="39"/>
      <c r="G234" s="84"/>
      <c r="H234" s="101">
        <v>229</v>
      </c>
      <c r="I234" s="102" t="str">
        <f t="shared" si="31"/>
        <v/>
      </c>
      <c r="J234" s="101">
        <f t="shared" si="32"/>
        <v>-1</v>
      </c>
      <c r="K234" s="101">
        <f t="shared" si="33"/>
        <v>-10</v>
      </c>
      <c r="L234" s="101"/>
      <c r="M234" s="103">
        <f t="shared" si="34"/>
        <v>0</v>
      </c>
      <c r="N234" s="103">
        <f t="shared" si="35"/>
        <v>0</v>
      </c>
      <c r="O234" s="84"/>
      <c r="P234" s="84"/>
      <c r="Q234" s="84"/>
      <c r="R234" s="84"/>
      <c r="S234" s="114"/>
      <c r="T234" s="115"/>
    </row>
    <row r="235" spans="1:20" s="91" customFormat="1" x14ac:dyDescent="0.25">
      <c r="A235" s="138">
        <f t="shared" si="29"/>
        <v>0</v>
      </c>
      <c r="B235" s="44" t="str">
        <f t="shared" si="30"/>
        <v/>
      </c>
      <c r="C235" s="45" t="s">
        <v>54</v>
      </c>
      <c r="D235" s="45"/>
      <c r="E235" s="45"/>
      <c r="F235" s="45"/>
      <c r="G235" s="84"/>
      <c r="H235" s="104">
        <v>230</v>
      </c>
      <c r="I235" s="105" t="str">
        <f t="shared" si="31"/>
        <v/>
      </c>
      <c r="J235" s="104">
        <f t="shared" si="32"/>
        <v>-1</v>
      </c>
      <c r="K235" s="104">
        <f t="shared" si="33"/>
        <v>-10</v>
      </c>
      <c r="L235" s="104"/>
      <c r="M235" s="106">
        <f t="shared" si="34"/>
        <v>0</v>
      </c>
      <c r="N235" s="106">
        <f t="shared" si="35"/>
        <v>0</v>
      </c>
      <c r="O235" s="84"/>
      <c r="P235" s="84"/>
      <c r="Q235" s="84"/>
      <c r="R235" s="84"/>
      <c r="S235" s="84"/>
    </row>
    <row r="236" spans="1:20" s="91" customFormat="1" x14ac:dyDescent="0.25">
      <c r="A236" s="137">
        <f t="shared" si="29"/>
        <v>0</v>
      </c>
      <c r="B236" s="38" t="str">
        <f t="shared" si="30"/>
        <v/>
      </c>
      <c r="C236" s="39" t="s">
        <v>54</v>
      </c>
      <c r="D236" s="39"/>
      <c r="E236" s="39"/>
      <c r="F236" s="39"/>
      <c r="G236" s="84"/>
      <c r="H236" s="101">
        <v>231</v>
      </c>
      <c r="I236" s="102" t="str">
        <f t="shared" si="31"/>
        <v/>
      </c>
      <c r="J236" s="101">
        <f t="shared" si="32"/>
        <v>-1</v>
      </c>
      <c r="K236" s="101">
        <f t="shared" si="33"/>
        <v>-10</v>
      </c>
      <c r="L236" s="101"/>
      <c r="M236" s="103">
        <f t="shared" si="34"/>
        <v>0</v>
      </c>
      <c r="N236" s="103">
        <f t="shared" si="35"/>
        <v>0</v>
      </c>
      <c r="O236" s="84"/>
      <c r="P236" s="84"/>
      <c r="Q236" s="84"/>
      <c r="R236" s="84"/>
      <c r="S236" s="114"/>
      <c r="T236" s="115"/>
    </row>
    <row r="237" spans="1:20" s="91" customFormat="1" x14ac:dyDescent="0.25">
      <c r="A237" s="138">
        <f t="shared" si="29"/>
        <v>0</v>
      </c>
      <c r="B237" s="44" t="str">
        <f t="shared" si="30"/>
        <v/>
      </c>
      <c r="C237" s="45" t="s">
        <v>54</v>
      </c>
      <c r="D237" s="45"/>
      <c r="E237" s="45"/>
      <c r="F237" s="45"/>
      <c r="G237" s="84"/>
      <c r="H237" s="104">
        <v>232</v>
      </c>
      <c r="I237" s="105" t="str">
        <f t="shared" si="31"/>
        <v/>
      </c>
      <c r="J237" s="104">
        <f t="shared" si="32"/>
        <v>-1</v>
      </c>
      <c r="K237" s="104">
        <f t="shared" si="33"/>
        <v>-10</v>
      </c>
      <c r="L237" s="104"/>
      <c r="M237" s="106">
        <f t="shared" si="34"/>
        <v>0</v>
      </c>
      <c r="N237" s="106">
        <f t="shared" si="35"/>
        <v>0</v>
      </c>
      <c r="O237" s="84"/>
      <c r="P237" s="84"/>
      <c r="Q237" s="84"/>
      <c r="R237" s="84"/>
      <c r="S237" s="84"/>
    </row>
    <row r="238" spans="1:20" s="91" customFormat="1" x14ac:dyDescent="0.25">
      <c r="A238" s="137">
        <f t="shared" si="29"/>
        <v>0</v>
      </c>
      <c r="B238" s="38" t="str">
        <f t="shared" si="30"/>
        <v/>
      </c>
      <c r="C238" s="39" t="s">
        <v>54</v>
      </c>
      <c r="D238" s="39"/>
      <c r="E238" s="39"/>
      <c r="F238" s="39"/>
      <c r="G238" s="84"/>
      <c r="H238" s="101">
        <v>233</v>
      </c>
      <c r="I238" s="102" t="str">
        <f t="shared" si="31"/>
        <v/>
      </c>
      <c r="J238" s="101">
        <f t="shared" si="32"/>
        <v>-1</v>
      </c>
      <c r="K238" s="101">
        <f t="shared" si="33"/>
        <v>-10</v>
      </c>
      <c r="L238" s="101"/>
      <c r="M238" s="103">
        <f t="shared" si="34"/>
        <v>0</v>
      </c>
      <c r="N238" s="103">
        <f t="shared" si="35"/>
        <v>0</v>
      </c>
      <c r="O238" s="84"/>
      <c r="P238" s="84"/>
      <c r="Q238" s="84"/>
      <c r="R238" s="84"/>
      <c r="S238" s="114"/>
      <c r="T238" s="115"/>
    </row>
    <row r="239" spans="1:20" s="91" customFormat="1" x14ac:dyDescent="0.25">
      <c r="A239" s="138">
        <f t="shared" si="29"/>
        <v>0</v>
      </c>
      <c r="B239" s="44" t="str">
        <f t="shared" si="30"/>
        <v/>
      </c>
      <c r="C239" s="45" t="s">
        <v>54</v>
      </c>
      <c r="D239" s="45"/>
      <c r="E239" s="45"/>
      <c r="F239" s="45"/>
      <c r="G239" s="84"/>
      <c r="H239" s="104">
        <v>234</v>
      </c>
      <c r="I239" s="105" t="str">
        <f t="shared" si="31"/>
        <v/>
      </c>
      <c r="J239" s="104">
        <f t="shared" si="32"/>
        <v>-1</v>
      </c>
      <c r="K239" s="104">
        <f t="shared" si="33"/>
        <v>-10</v>
      </c>
      <c r="L239" s="104"/>
      <c r="M239" s="106">
        <f t="shared" si="34"/>
        <v>0</v>
      </c>
      <c r="N239" s="106">
        <f t="shared" si="35"/>
        <v>0</v>
      </c>
      <c r="O239" s="84"/>
      <c r="P239" s="84"/>
      <c r="Q239" s="84"/>
      <c r="R239" s="84"/>
      <c r="S239" s="84"/>
    </row>
    <row r="240" spans="1:20" s="91" customFormat="1" x14ac:dyDescent="0.25">
      <c r="A240" s="137">
        <f t="shared" si="29"/>
        <v>0</v>
      </c>
      <c r="B240" s="38" t="str">
        <f t="shared" si="30"/>
        <v/>
      </c>
      <c r="C240" s="39" t="s">
        <v>54</v>
      </c>
      <c r="D240" s="39"/>
      <c r="E240" s="39"/>
      <c r="F240" s="39"/>
      <c r="G240" s="84"/>
      <c r="H240" s="101">
        <v>235</v>
      </c>
      <c r="I240" s="102" t="str">
        <f t="shared" si="31"/>
        <v/>
      </c>
      <c r="J240" s="101">
        <f t="shared" si="32"/>
        <v>-1</v>
      </c>
      <c r="K240" s="101">
        <f t="shared" si="33"/>
        <v>-10</v>
      </c>
      <c r="L240" s="101"/>
      <c r="M240" s="103">
        <f t="shared" si="34"/>
        <v>0</v>
      </c>
      <c r="N240" s="103">
        <f t="shared" si="35"/>
        <v>0</v>
      </c>
      <c r="O240" s="84"/>
      <c r="P240" s="84"/>
      <c r="Q240" s="84"/>
      <c r="R240" s="84"/>
      <c r="S240" s="114"/>
      <c r="T240" s="115"/>
    </row>
    <row r="241" spans="1:20" s="91" customFormat="1" x14ac:dyDescent="0.25">
      <c r="A241" s="138">
        <f t="shared" si="29"/>
        <v>0</v>
      </c>
      <c r="B241" s="44" t="str">
        <f t="shared" si="30"/>
        <v/>
      </c>
      <c r="C241" s="45" t="s">
        <v>54</v>
      </c>
      <c r="D241" s="45"/>
      <c r="E241" s="45"/>
      <c r="F241" s="45"/>
      <c r="G241" s="84"/>
      <c r="H241" s="104">
        <v>236</v>
      </c>
      <c r="I241" s="105" t="str">
        <f t="shared" si="31"/>
        <v/>
      </c>
      <c r="J241" s="104">
        <f t="shared" si="32"/>
        <v>-1</v>
      </c>
      <c r="K241" s="104">
        <f t="shared" si="33"/>
        <v>-10</v>
      </c>
      <c r="L241" s="104"/>
      <c r="M241" s="106">
        <f t="shared" si="34"/>
        <v>0</v>
      </c>
      <c r="N241" s="106">
        <f t="shared" si="35"/>
        <v>0</v>
      </c>
      <c r="O241" s="84"/>
      <c r="P241" s="84"/>
      <c r="Q241" s="84"/>
      <c r="R241" s="84"/>
      <c r="S241" s="84"/>
    </row>
    <row r="242" spans="1:20" s="91" customFormat="1" x14ac:dyDescent="0.25">
      <c r="A242" s="137">
        <f t="shared" si="29"/>
        <v>0</v>
      </c>
      <c r="B242" s="38" t="str">
        <f t="shared" si="30"/>
        <v/>
      </c>
      <c r="C242" s="39" t="s">
        <v>54</v>
      </c>
      <c r="D242" s="39"/>
      <c r="E242" s="39"/>
      <c r="F242" s="39"/>
      <c r="G242" s="84"/>
      <c r="H242" s="101">
        <v>237</v>
      </c>
      <c r="I242" s="102" t="str">
        <f t="shared" si="31"/>
        <v/>
      </c>
      <c r="J242" s="101">
        <f t="shared" si="32"/>
        <v>-1</v>
      </c>
      <c r="K242" s="101">
        <f t="shared" si="33"/>
        <v>-10</v>
      </c>
      <c r="L242" s="101"/>
      <c r="M242" s="103">
        <f t="shared" si="34"/>
        <v>0</v>
      </c>
      <c r="N242" s="103">
        <f t="shared" si="35"/>
        <v>0</v>
      </c>
      <c r="O242" s="84"/>
      <c r="P242" s="84"/>
      <c r="Q242" s="84"/>
      <c r="R242" s="84"/>
      <c r="S242" s="114"/>
      <c r="T242" s="115"/>
    </row>
    <row r="243" spans="1:20" s="91" customFormat="1" x14ac:dyDescent="0.25">
      <c r="A243" s="138">
        <f t="shared" si="29"/>
        <v>0</v>
      </c>
      <c r="B243" s="44" t="str">
        <f t="shared" si="30"/>
        <v/>
      </c>
      <c r="C243" s="45" t="s">
        <v>54</v>
      </c>
      <c r="D243" s="45"/>
      <c r="E243" s="45"/>
      <c r="F243" s="45"/>
      <c r="G243" s="84"/>
      <c r="H243" s="104">
        <v>238</v>
      </c>
      <c r="I243" s="105" t="str">
        <f t="shared" si="31"/>
        <v/>
      </c>
      <c r="J243" s="104">
        <f t="shared" si="32"/>
        <v>-1</v>
      </c>
      <c r="K243" s="104">
        <f t="shared" si="33"/>
        <v>-10</v>
      </c>
      <c r="L243" s="104"/>
      <c r="M243" s="106">
        <f t="shared" si="34"/>
        <v>0</v>
      </c>
      <c r="N243" s="106">
        <f t="shared" si="35"/>
        <v>0</v>
      </c>
      <c r="O243" s="84"/>
      <c r="P243" s="84"/>
      <c r="Q243" s="84"/>
      <c r="R243" s="84"/>
      <c r="S243" s="84"/>
    </row>
    <row r="244" spans="1:20" s="91" customFormat="1" x14ac:dyDescent="0.25">
      <c r="A244" s="137">
        <f t="shared" si="29"/>
        <v>0</v>
      </c>
      <c r="B244" s="38" t="str">
        <f t="shared" si="30"/>
        <v/>
      </c>
      <c r="C244" s="39" t="s">
        <v>54</v>
      </c>
      <c r="D244" s="39"/>
      <c r="E244" s="39"/>
      <c r="F244" s="39"/>
      <c r="G244" s="84"/>
      <c r="H244" s="101">
        <v>239</v>
      </c>
      <c r="I244" s="102" t="str">
        <f t="shared" si="31"/>
        <v/>
      </c>
      <c r="J244" s="101">
        <f t="shared" si="32"/>
        <v>-1</v>
      </c>
      <c r="K244" s="101">
        <f t="shared" si="33"/>
        <v>-10</v>
      </c>
      <c r="L244" s="101"/>
      <c r="M244" s="103">
        <f t="shared" si="34"/>
        <v>0</v>
      </c>
      <c r="N244" s="103">
        <f t="shared" si="35"/>
        <v>0</v>
      </c>
      <c r="O244" s="84"/>
      <c r="P244" s="84"/>
      <c r="Q244" s="84"/>
      <c r="R244" s="84"/>
      <c r="S244" s="114"/>
      <c r="T244" s="115"/>
    </row>
    <row r="245" spans="1:20" s="91" customFormat="1" x14ac:dyDescent="0.25">
      <c r="A245" s="138">
        <f t="shared" si="29"/>
        <v>0</v>
      </c>
      <c r="B245" s="44" t="str">
        <f t="shared" si="30"/>
        <v/>
      </c>
      <c r="C245" s="45" t="s">
        <v>54</v>
      </c>
      <c r="D245" s="45"/>
      <c r="E245" s="45"/>
      <c r="F245" s="45"/>
      <c r="G245" s="84"/>
      <c r="H245" s="104">
        <v>240</v>
      </c>
      <c r="I245" s="105" t="str">
        <f t="shared" si="31"/>
        <v/>
      </c>
      <c r="J245" s="104">
        <f t="shared" si="32"/>
        <v>-1</v>
      </c>
      <c r="K245" s="104">
        <f t="shared" si="33"/>
        <v>-10</v>
      </c>
      <c r="L245" s="104"/>
      <c r="M245" s="106">
        <f t="shared" si="34"/>
        <v>0</v>
      </c>
      <c r="N245" s="106">
        <f t="shared" si="35"/>
        <v>0</v>
      </c>
      <c r="O245" s="84"/>
      <c r="P245" s="84"/>
      <c r="Q245" s="84"/>
      <c r="R245" s="84"/>
      <c r="S245" s="84"/>
    </row>
    <row r="246" spans="1:20" s="91" customFormat="1" x14ac:dyDescent="0.25">
      <c r="A246" s="137">
        <f t="shared" si="29"/>
        <v>0</v>
      </c>
      <c r="B246" s="38" t="str">
        <f t="shared" si="30"/>
        <v/>
      </c>
      <c r="C246" s="39" t="s">
        <v>54</v>
      </c>
      <c r="D246" s="39"/>
      <c r="E246" s="39"/>
      <c r="F246" s="39"/>
      <c r="G246" s="84"/>
      <c r="H246" s="101">
        <v>241</v>
      </c>
      <c r="I246" s="102" t="str">
        <f t="shared" si="31"/>
        <v/>
      </c>
      <c r="J246" s="101">
        <f t="shared" si="32"/>
        <v>-1</v>
      </c>
      <c r="K246" s="101">
        <f t="shared" si="33"/>
        <v>-10</v>
      </c>
      <c r="L246" s="101"/>
      <c r="M246" s="103">
        <f t="shared" si="34"/>
        <v>0</v>
      </c>
      <c r="N246" s="103">
        <f t="shared" si="35"/>
        <v>0</v>
      </c>
      <c r="O246" s="84"/>
      <c r="P246" s="84"/>
      <c r="Q246" s="84"/>
      <c r="R246" s="84"/>
      <c r="S246" s="114"/>
      <c r="T246" s="115"/>
    </row>
    <row r="247" spans="1:20" s="91" customFormat="1" x14ac:dyDescent="0.25">
      <c r="A247" s="138">
        <f t="shared" si="29"/>
        <v>0</v>
      </c>
      <c r="B247" s="44" t="str">
        <f t="shared" si="30"/>
        <v/>
      </c>
      <c r="C247" s="45" t="s">
        <v>54</v>
      </c>
      <c r="D247" s="45"/>
      <c r="E247" s="45"/>
      <c r="F247" s="45"/>
      <c r="G247" s="84"/>
      <c r="H247" s="104">
        <v>242</v>
      </c>
      <c r="I247" s="105" t="str">
        <f t="shared" si="31"/>
        <v/>
      </c>
      <c r="J247" s="104">
        <f t="shared" si="32"/>
        <v>-1</v>
      </c>
      <c r="K247" s="104">
        <f t="shared" si="33"/>
        <v>-10</v>
      </c>
      <c r="L247" s="104"/>
      <c r="M247" s="106">
        <f t="shared" si="34"/>
        <v>0</v>
      </c>
      <c r="N247" s="106">
        <f t="shared" si="35"/>
        <v>0</v>
      </c>
      <c r="O247" s="84"/>
      <c r="P247" s="84"/>
      <c r="Q247" s="84"/>
      <c r="R247" s="84"/>
      <c r="S247" s="84"/>
    </row>
    <row r="248" spans="1:20" s="91" customFormat="1" x14ac:dyDescent="0.25">
      <c r="A248" s="137">
        <f t="shared" si="29"/>
        <v>0</v>
      </c>
      <c r="B248" s="38" t="str">
        <f t="shared" si="30"/>
        <v/>
      </c>
      <c r="C248" s="39" t="s">
        <v>54</v>
      </c>
      <c r="D248" s="39"/>
      <c r="E248" s="39"/>
      <c r="F248" s="39"/>
      <c r="G248" s="84"/>
      <c r="H248" s="101">
        <v>243</v>
      </c>
      <c r="I248" s="102" t="str">
        <f t="shared" si="31"/>
        <v/>
      </c>
      <c r="J248" s="101">
        <f t="shared" si="32"/>
        <v>-1</v>
      </c>
      <c r="K248" s="101">
        <f t="shared" si="33"/>
        <v>-10</v>
      </c>
      <c r="L248" s="101"/>
      <c r="M248" s="103">
        <f t="shared" si="34"/>
        <v>0</v>
      </c>
      <c r="N248" s="103">
        <f t="shared" si="35"/>
        <v>0</v>
      </c>
      <c r="O248" s="84"/>
      <c r="P248" s="84"/>
      <c r="Q248" s="84"/>
      <c r="R248" s="84"/>
      <c r="S248" s="114"/>
      <c r="T248" s="115"/>
    </row>
    <row r="249" spans="1:20" s="91" customFormat="1" x14ac:dyDescent="0.25">
      <c r="A249" s="138">
        <f t="shared" si="29"/>
        <v>0</v>
      </c>
      <c r="B249" s="44" t="str">
        <f t="shared" si="30"/>
        <v/>
      </c>
      <c r="C249" s="45" t="s">
        <v>54</v>
      </c>
      <c r="D249" s="45"/>
      <c r="E249" s="45"/>
      <c r="F249" s="45"/>
      <c r="G249" s="84"/>
      <c r="H249" s="104">
        <v>244</v>
      </c>
      <c r="I249" s="105" t="str">
        <f t="shared" si="31"/>
        <v/>
      </c>
      <c r="J249" s="104">
        <f t="shared" si="32"/>
        <v>-1</v>
      </c>
      <c r="K249" s="104">
        <f t="shared" si="33"/>
        <v>-10</v>
      </c>
      <c r="L249" s="104"/>
      <c r="M249" s="106">
        <f t="shared" si="34"/>
        <v>0</v>
      </c>
      <c r="N249" s="106">
        <f t="shared" si="35"/>
        <v>0</v>
      </c>
      <c r="O249" s="84"/>
      <c r="P249" s="84"/>
      <c r="Q249" s="84"/>
      <c r="R249" s="84"/>
      <c r="S249" s="84"/>
    </row>
    <row r="250" spans="1:20" s="91" customFormat="1" x14ac:dyDescent="0.25">
      <c r="A250" s="137">
        <f t="shared" si="29"/>
        <v>0</v>
      </c>
      <c r="B250" s="38" t="str">
        <f t="shared" si="30"/>
        <v/>
      </c>
      <c r="C250" s="39" t="s">
        <v>54</v>
      </c>
      <c r="D250" s="39"/>
      <c r="E250" s="39"/>
      <c r="F250" s="39"/>
      <c r="G250" s="84"/>
      <c r="H250" s="101">
        <v>245</v>
      </c>
      <c r="I250" s="102" t="str">
        <f t="shared" si="31"/>
        <v/>
      </c>
      <c r="J250" s="101">
        <f t="shared" si="32"/>
        <v>-1</v>
      </c>
      <c r="K250" s="101">
        <f t="shared" si="33"/>
        <v>-10</v>
      </c>
      <c r="L250" s="101"/>
      <c r="M250" s="103">
        <f t="shared" si="34"/>
        <v>0</v>
      </c>
      <c r="N250" s="103">
        <f t="shared" si="35"/>
        <v>0</v>
      </c>
      <c r="O250" s="84"/>
      <c r="P250" s="84"/>
      <c r="Q250" s="84"/>
      <c r="R250" s="84"/>
      <c r="S250" s="114"/>
      <c r="T250" s="115"/>
    </row>
    <row r="251" spans="1:20" x14ac:dyDescent="0.25">
      <c r="A251" s="138">
        <f t="shared" ref="A251:A262" si="36">N251</f>
        <v>0</v>
      </c>
      <c r="G251" s="84"/>
      <c r="H251" s="101">
        <v>246</v>
      </c>
      <c r="I251" s="102" t="str">
        <f t="shared" ref="I251:I261" si="37">IF(H251&lt;$H$2+1,($I$2-($I$2-1)*(LOG(H251)/LOG($H$2))),"")</f>
        <v/>
      </c>
      <c r="J251" s="101">
        <f t="shared" ref="J251:J262" si="38">INT(LOG($H$2,2))-ROUNDUP(LOG(H251,2),0)+IF(OR($H$2=1,$H$2=2,$H$2=4,$H$2=8,$H$2=16,$H$2=32,$H$2=64,$H$2=128,$H$2=256),0,1)</f>
        <v>-1</v>
      </c>
      <c r="K251" s="101">
        <f t="shared" ref="K251:K261" si="39">J251*$J$2</f>
        <v>-10</v>
      </c>
      <c r="L251" s="101"/>
      <c r="M251" s="103">
        <f t="shared" ref="M251:M261" si="40">IF(I251&lt;&gt;"",K251+I251+L251,0)</f>
        <v>0</v>
      </c>
      <c r="N251" s="103">
        <f t="shared" ref="N251:N261" si="41">IF(I251&lt;&gt;"",M251*L$2,0)</f>
        <v>0</v>
      </c>
    </row>
    <row r="252" spans="1:20" x14ac:dyDescent="0.25">
      <c r="A252" s="137">
        <f t="shared" si="36"/>
        <v>0</v>
      </c>
      <c r="G252" s="84"/>
      <c r="H252" s="101">
        <v>247</v>
      </c>
      <c r="I252" s="102" t="str">
        <f t="shared" si="37"/>
        <v/>
      </c>
      <c r="J252" s="101">
        <f t="shared" si="38"/>
        <v>-1</v>
      </c>
      <c r="K252" s="101">
        <f t="shared" si="39"/>
        <v>-10</v>
      </c>
      <c r="L252" s="101"/>
      <c r="M252" s="103">
        <f t="shared" si="40"/>
        <v>0</v>
      </c>
      <c r="N252" s="103">
        <f t="shared" si="41"/>
        <v>0</v>
      </c>
    </row>
    <row r="253" spans="1:20" x14ac:dyDescent="0.25">
      <c r="A253" s="138">
        <f t="shared" si="36"/>
        <v>0</v>
      </c>
      <c r="G253" s="84"/>
      <c r="H253" s="101">
        <v>248</v>
      </c>
      <c r="I253" s="102" t="str">
        <f t="shared" si="37"/>
        <v/>
      </c>
      <c r="J253" s="101">
        <f t="shared" si="38"/>
        <v>-1</v>
      </c>
      <c r="K253" s="101">
        <f t="shared" si="39"/>
        <v>-10</v>
      </c>
      <c r="L253" s="101"/>
      <c r="M253" s="103">
        <f t="shared" si="40"/>
        <v>0</v>
      </c>
      <c r="N253" s="103">
        <f t="shared" si="41"/>
        <v>0</v>
      </c>
    </row>
    <row r="254" spans="1:20" x14ac:dyDescent="0.25">
      <c r="A254" s="137">
        <f t="shared" si="36"/>
        <v>0</v>
      </c>
      <c r="G254" s="84"/>
      <c r="H254" s="101">
        <v>249</v>
      </c>
      <c r="I254" s="102" t="str">
        <f t="shared" si="37"/>
        <v/>
      </c>
      <c r="J254" s="101">
        <f t="shared" si="38"/>
        <v>-1</v>
      </c>
      <c r="K254" s="101">
        <f t="shared" si="39"/>
        <v>-10</v>
      </c>
      <c r="L254" s="101"/>
      <c r="M254" s="103">
        <f t="shared" si="40"/>
        <v>0</v>
      </c>
      <c r="N254" s="103">
        <f t="shared" si="41"/>
        <v>0</v>
      </c>
    </row>
    <row r="255" spans="1:20" x14ac:dyDescent="0.25">
      <c r="A255" s="138">
        <f t="shared" si="36"/>
        <v>0</v>
      </c>
      <c r="G255" s="84"/>
      <c r="H255" s="101">
        <v>250</v>
      </c>
      <c r="I255" s="102" t="str">
        <f t="shared" si="37"/>
        <v/>
      </c>
      <c r="J255" s="101">
        <f t="shared" si="38"/>
        <v>-1</v>
      </c>
      <c r="K255" s="101">
        <f t="shared" si="39"/>
        <v>-10</v>
      </c>
      <c r="L255" s="101"/>
      <c r="M255" s="103">
        <f t="shared" si="40"/>
        <v>0</v>
      </c>
      <c r="N255" s="103">
        <f t="shared" si="41"/>
        <v>0</v>
      </c>
    </row>
    <row r="256" spans="1:20" x14ac:dyDescent="0.25">
      <c r="A256" s="137">
        <f t="shared" si="36"/>
        <v>0</v>
      </c>
      <c r="G256" s="84"/>
      <c r="H256" s="101">
        <v>251</v>
      </c>
      <c r="I256" s="102" t="str">
        <f t="shared" si="37"/>
        <v/>
      </c>
      <c r="J256" s="101">
        <f t="shared" si="38"/>
        <v>-1</v>
      </c>
      <c r="K256" s="101">
        <f t="shared" si="39"/>
        <v>-10</v>
      </c>
      <c r="L256" s="101"/>
      <c r="M256" s="103">
        <f t="shared" si="40"/>
        <v>0</v>
      </c>
      <c r="N256" s="103">
        <f t="shared" si="41"/>
        <v>0</v>
      </c>
    </row>
    <row r="257" spans="1:14" x14ac:dyDescent="0.25">
      <c r="A257" s="138">
        <f t="shared" si="36"/>
        <v>0</v>
      </c>
      <c r="G257" s="84"/>
      <c r="H257" s="101">
        <v>252</v>
      </c>
      <c r="I257" s="102" t="str">
        <f t="shared" si="37"/>
        <v/>
      </c>
      <c r="J257" s="101">
        <f t="shared" si="38"/>
        <v>-1</v>
      </c>
      <c r="K257" s="101">
        <f t="shared" si="39"/>
        <v>-10</v>
      </c>
      <c r="L257" s="101"/>
      <c r="M257" s="103">
        <f t="shared" si="40"/>
        <v>0</v>
      </c>
      <c r="N257" s="103">
        <f t="shared" si="41"/>
        <v>0</v>
      </c>
    </row>
    <row r="258" spans="1:14" x14ac:dyDescent="0.25">
      <c r="A258" s="137">
        <f t="shared" si="36"/>
        <v>0</v>
      </c>
      <c r="G258" s="84"/>
      <c r="H258" s="101">
        <v>253</v>
      </c>
      <c r="I258" s="102" t="str">
        <f t="shared" si="37"/>
        <v/>
      </c>
      <c r="J258" s="101">
        <f t="shared" si="38"/>
        <v>-1</v>
      </c>
      <c r="K258" s="101">
        <f t="shared" si="39"/>
        <v>-10</v>
      </c>
      <c r="L258" s="101"/>
      <c r="M258" s="103">
        <f t="shared" si="40"/>
        <v>0</v>
      </c>
      <c r="N258" s="103">
        <f t="shared" si="41"/>
        <v>0</v>
      </c>
    </row>
    <row r="259" spans="1:14" x14ac:dyDescent="0.25">
      <c r="A259" s="138">
        <f t="shared" si="36"/>
        <v>0</v>
      </c>
      <c r="G259" s="84"/>
      <c r="H259" s="101">
        <v>254</v>
      </c>
      <c r="I259" s="102" t="str">
        <f t="shared" si="37"/>
        <v/>
      </c>
      <c r="J259" s="101">
        <f t="shared" si="38"/>
        <v>-1</v>
      </c>
      <c r="K259" s="101">
        <f t="shared" si="39"/>
        <v>-10</v>
      </c>
      <c r="L259" s="101"/>
      <c r="M259" s="103">
        <f t="shared" si="40"/>
        <v>0</v>
      </c>
      <c r="N259" s="103">
        <f t="shared" si="41"/>
        <v>0</v>
      </c>
    </row>
    <row r="260" spans="1:14" x14ac:dyDescent="0.25">
      <c r="A260" s="137">
        <f t="shared" si="36"/>
        <v>0</v>
      </c>
      <c r="G260" s="84"/>
      <c r="H260" s="101">
        <v>255</v>
      </c>
      <c r="I260" s="102" t="str">
        <f t="shared" si="37"/>
        <v/>
      </c>
      <c r="J260" s="101">
        <f t="shared" si="38"/>
        <v>-1</v>
      </c>
      <c r="K260" s="101">
        <f t="shared" si="39"/>
        <v>-10</v>
      </c>
      <c r="L260" s="101"/>
      <c r="M260" s="103">
        <f t="shared" si="40"/>
        <v>0</v>
      </c>
      <c r="N260" s="103">
        <f t="shared" si="41"/>
        <v>0</v>
      </c>
    </row>
    <row r="261" spans="1:14" x14ac:dyDescent="0.25">
      <c r="A261" s="138">
        <f t="shared" si="36"/>
        <v>0</v>
      </c>
      <c r="G261" s="84"/>
      <c r="H261" s="101">
        <v>256</v>
      </c>
      <c r="I261" s="102" t="str">
        <f t="shared" si="37"/>
        <v/>
      </c>
      <c r="J261" s="101">
        <f t="shared" si="38"/>
        <v>-1</v>
      </c>
      <c r="K261" s="101">
        <f t="shared" si="39"/>
        <v>-10</v>
      </c>
      <c r="L261" s="101"/>
      <c r="M261" s="103">
        <f t="shared" si="40"/>
        <v>0</v>
      </c>
      <c r="N261" s="103">
        <f t="shared" si="41"/>
        <v>0</v>
      </c>
    </row>
    <row r="262" spans="1:14" x14ac:dyDescent="0.25">
      <c r="A262" s="137">
        <f t="shared" si="36"/>
        <v>0</v>
      </c>
      <c r="G262" s="84"/>
      <c r="H262" s="101">
        <v>257</v>
      </c>
      <c r="I262" s="102" t="str">
        <f t="shared" ref="I262:I305" si="42">IF(H262&lt;$H$2+1,($I$2-($I$2-1)*(LOG(H262)/LOG($H$2))),"")</f>
        <v/>
      </c>
      <c r="J262" s="101">
        <f t="shared" si="38"/>
        <v>-2</v>
      </c>
      <c r="K262" s="101">
        <f t="shared" ref="K262:K305" si="43">J262*$J$2</f>
        <v>-20</v>
      </c>
      <c r="L262" s="101"/>
      <c r="M262" s="103">
        <f t="shared" ref="M262:M305" si="44">IF(I262&lt;&gt;"",K262+I262+L262,0)</f>
        <v>0</v>
      </c>
      <c r="N262" s="103">
        <f t="shared" ref="N262:N305" si="45">IF(I262&lt;&gt;"",M262*L$2,0)</f>
        <v>0</v>
      </c>
    </row>
    <row r="263" spans="1:14" x14ac:dyDescent="0.25">
      <c r="A263" s="138">
        <f t="shared" ref="A263:A305" si="46">N263</f>
        <v>0</v>
      </c>
      <c r="G263" s="84"/>
      <c r="H263" s="101">
        <v>258</v>
      </c>
      <c r="I263" s="102" t="str">
        <f t="shared" si="42"/>
        <v/>
      </c>
      <c r="J263" s="101">
        <f t="shared" ref="J263:J305" si="47">INT(LOG($H$2,2))-ROUNDUP(LOG(H263,2),0)+IF(OR($H$2=1,$H$2=2,$H$2=4,$H$2=8,$H$2=16,$H$2=32,$H$2=64,$H$2=128,$H$2=256),0,1)</f>
        <v>-2</v>
      </c>
      <c r="K263" s="101">
        <f t="shared" si="43"/>
        <v>-20</v>
      </c>
      <c r="L263" s="101"/>
      <c r="M263" s="103">
        <f t="shared" si="44"/>
        <v>0</v>
      </c>
      <c r="N263" s="103">
        <f t="shared" si="45"/>
        <v>0</v>
      </c>
    </row>
    <row r="264" spans="1:14" x14ac:dyDescent="0.25">
      <c r="A264" s="137">
        <f t="shared" si="46"/>
        <v>0</v>
      </c>
      <c r="G264" s="84"/>
      <c r="H264" s="101">
        <v>259</v>
      </c>
      <c r="I264" s="102" t="str">
        <f t="shared" si="42"/>
        <v/>
      </c>
      <c r="J264" s="101">
        <f t="shared" si="47"/>
        <v>-2</v>
      </c>
      <c r="K264" s="101">
        <f t="shared" si="43"/>
        <v>-20</v>
      </c>
      <c r="L264" s="101"/>
      <c r="M264" s="103">
        <f t="shared" si="44"/>
        <v>0</v>
      </c>
      <c r="N264" s="103">
        <f t="shared" si="45"/>
        <v>0</v>
      </c>
    </row>
    <row r="265" spans="1:14" x14ac:dyDescent="0.25">
      <c r="A265" s="138">
        <f t="shared" si="46"/>
        <v>0</v>
      </c>
      <c r="G265" s="84"/>
      <c r="H265" s="101">
        <v>260</v>
      </c>
      <c r="I265" s="102" t="str">
        <f t="shared" si="42"/>
        <v/>
      </c>
      <c r="J265" s="101">
        <f t="shared" si="47"/>
        <v>-2</v>
      </c>
      <c r="K265" s="101">
        <f t="shared" si="43"/>
        <v>-20</v>
      </c>
      <c r="L265" s="101"/>
      <c r="M265" s="103">
        <f t="shared" si="44"/>
        <v>0</v>
      </c>
      <c r="N265" s="103">
        <f t="shared" si="45"/>
        <v>0</v>
      </c>
    </row>
    <row r="266" spans="1:14" x14ac:dyDescent="0.25">
      <c r="A266" s="137">
        <f t="shared" si="46"/>
        <v>0</v>
      </c>
      <c r="G266" s="84"/>
      <c r="H266" s="101">
        <v>261</v>
      </c>
      <c r="I266" s="102" t="str">
        <f t="shared" si="42"/>
        <v/>
      </c>
      <c r="J266" s="101">
        <f t="shared" si="47"/>
        <v>-2</v>
      </c>
      <c r="K266" s="101">
        <f t="shared" si="43"/>
        <v>-20</v>
      </c>
      <c r="L266" s="101"/>
      <c r="M266" s="103">
        <f t="shared" si="44"/>
        <v>0</v>
      </c>
      <c r="N266" s="103">
        <f t="shared" si="45"/>
        <v>0</v>
      </c>
    </row>
    <row r="267" spans="1:14" x14ac:dyDescent="0.25">
      <c r="A267" s="138">
        <f t="shared" si="46"/>
        <v>0</v>
      </c>
      <c r="G267" s="84"/>
      <c r="H267" s="101">
        <v>262</v>
      </c>
      <c r="I267" s="102" t="str">
        <f t="shared" si="42"/>
        <v/>
      </c>
      <c r="J267" s="101">
        <f t="shared" si="47"/>
        <v>-2</v>
      </c>
      <c r="K267" s="101">
        <f t="shared" si="43"/>
        <v>-20</v>
      </c>
      <c r="L267" s="101"/>
      <c r="M267" s="103">
        <f t="shared" si="44"/>
        <v>0</v>
      </c>
      <c r="N267" s="103">
        <f t="shared" si="45"/>
        <v>0</v>
      </c>
    </row>
    <row r="268" spans="1:14" x14ac:dyDescent="0.25">
      <c r="A268" s="137">
        <f t="shared" si="46"/>
        <v>0</v>
      </c>
      <c r="G268" s="84"/>
      <c r="H268" s="101">
        <v>263</v>
      </c>
      <c r="I268" s="102" t="str">
        <f t="shared" si="42"/>
        <v/>
      </c>
      <c r="J268" s="101">
        <f t="shared" si="47"/>
        <v>-2</v>
      </c>
      <c r="K268" s="101">
        <f t="shared" si="43"/>
        <v>-20</v>
      </c>
      <c r="L268" s="101"/>
      <c r="M268" s="103">
        <f t="shared" si="44"/>
        <v>0</v>
      </c>
      <c r="N268" s="103">
        <f t="shared" si="45"/>
        <v>0</v>
      </c>
    </row>
    <row r="269" spans="1:14" x14ac:dyDescent="0.25">
      <c r="A269" s="138">
        <f t="shared" si="46"/>
        <v>0</v>
      </c>
      <c r="G269" s="84"/>
      <c r="H269" s="101">
        <v>264</v>
      </c>
      <c r="I269" s="102" t="str">
        <f t="shared" si="42"/>
        <v/>
      </c>
      <c r="J269" s="101">
        <f t="shared" si="47"/>
        <v>-2</v>
      </c>
      <c r="K269" s="101">
        <f t="shared" si="43"/>
        <v>-20</v>
      </c>
      <c r="L269" s="101"/>
      <c r="M269" s="103">
        <f t="shared" si="44"/>
        <v>0</v>
      </c>
      <c r="N269" s="103">
        <f t="shared" si="45"/>
        <v>0</v>
      </c>
    </row>
    <row r="270" spans="1:14" x14ac:dyDescent="0.25">
      <c r="A270" s="137">
        <f t="shared" si="46"/>
        <v>0</v>
      </c>
      <c r="G270" s="84"/>
      <c r="H270" s="101">
        <v>265</v>
      </c>
      <c r="I270" s="102" t="str">
        <f t="shared" si="42"/>
        <v/>
      </c>
      <c r="J270" s="101">
        <f t="shared" si="47"/>
        <v>-2</v>
      </c>
      <c r="K270" s="101">
        <f t="shared" si="43"/>
        <v>-20</v>
      </c>
      <c r="L270" s="101"/>
      <c r="M270" s="103">
        <f t="shared" si="44"/>
        <v>0</v>
      </c>
      <c r="N270" s="103">
        <f t="shared" si="45"/>
        <v>0</v>
      </c>
    </row>
    <row r="271" spans="1:14" x14ac:dyDescent="0.25">
      <c r="A271" s="138">
        <f t="shared" si="46"/>
        <v>0</v>
      </c>
      <c r="G271" s="84"/>
      <c r="H271" s="101">
        <v>266</v>
      </c>
      <c r="I271" s="102" t="str">
        <f t="shared" si="42"/>
        <v/>
      </c>
      <c r="J271" s="101">
        <f t="shared" si="47"/>
        <v>-2</v>
      </c>
      <c r="K271" s="101">
        <f t="shared" si="43"/>
        <v>-20</v>
      </c>
      <c r="L271" s="101"/>
      <c r="M271" s="103">
        <f t="shared" si="44"/>
        <v>0</v>
      </c>
      <c r="N271" s="103">
        <f t="shared" si="45"/>
        <v>0</v>
      </c>
    </row>
    <row r="272" spans="1:14" x14ac:dyDescent="0.25">
      <c r="A272" s="137">
        <f t="shared" si="46"/>
        <v>0</v>
      </c>
      <c r="G272" s="84"/>
      <c r="H272" s="101">
        <v>267</v>
      </c>
      <c r="I272" s="102" t="str">
        <f t="shared" si="42"/>
        <v/>
      </c>
      <c r="J272" s="101">
        <f t="shared" si="47"/>
        <v>-2</v>
      </c>
      <c r="K272" s="101">
        <f t="shared" si="43"/>
        <v>-20</v>
      </c>
      <c r="L272" s="101"/>
      <c r="M272" s="103">
        <f t="shared" si="44"/>
        <v>0</v>
      </c>
      <c r="N272" s="103">
        <f t="shared" si="45"/>
        <v>0</v>
      </c>
    </row>
    <row r="273" spans="1:14" x14ac:dyDescent="0.25">
      <c r="A273" s="138">
        <f t="shared" si="46"/>
        <v>0</v>
      </c>
      <c r="G273" s="84"/>
      <c r="H273" s="101">
        <v>268</v>
      </c>
      <c r="I273" s="102" t="str">
        <f t="shared" si="42"/>
        <v/>
      </c>
      <c r="J273" s="101">
        <f t="shared" si="47"/>
        <v>-2</v>
      </c>
      <c r="K273" s="101">
        <f t="shared" si="43"/>
        <v>-20</v>
      </c>
      <c r="L273" s="101"/>
      <c r="M273" s="103">
        <f t="shared" si="44"/>
        <v>0</v>
      </c>
      <c r="N273" s="103">
        <f t="shared" si="45"/>
        <v>0</v>
      </c>
    </row>
    <row r="274" spans="1:14" x14ac:dyDescent="0.25">
      <c r="A274" s="137">
        <f t="shared" si="46"/>
        <v>0</v>
      </c>
      <c r="G274" s="84"/>
      <c r="H274" s="101">
        <v>269</v>
      </c>
      <c r="I274" s="102" t="str">
        <f t="shared" si="42"/>
        <v/>
      </c>
      <c r="J274" s="101">
        <f t="shared" si="47"/>
        <v>-2</v>
      </c>
      <c r="K274" s="101">
        <f t="shared" si="43"/>
        <v>-20</v>
      </c>
      <c r="L274" s="101"/>
      <c r="M274" s="103">
        <f t="shared" si="44"/>
        <v>0</v>
      </c>
      <c r="N274" s="103">
        <f t="shared" si="45"/>
        <v>0</v>
      </c>
    </row>
    <row r="275" spans="1:14" x14ac:dyDescent="0.25">
      <c r="A275" s="138">
        <f t="shared" si="46"/>
        <v>0</v>
      </c>
      <c r="G275" s="84"/>
      <c r="H275" s="101">
        <v>270</v>
      </c>
      <c r="I275" s="102" t="str">
        <f t="shared" si="42"/>
        <v/>
      </c>
      <c r="J275" s="101">
        <f t="shared" si="47"/>
        <v>-2</v>
      </c>
      <c r="K275" s="101">
        <f t="shared" si="43"/>
        <v>-20</v>
      </c>
      <c r="L275" s="101"/>
      <c r="M275" s="103">
        <f t="shared" si="44"/>
        <v>0</v>
      </c>
      <c r="N275" s="103">
        <f t="shared" si="45"/>
        <v>0</v>
      </c>
    </row>
    <row r="276" spans="1:14" x14ac:dyDescent="0.25">
      <c r="A276" s="137">
        <f t="shared" si="46"/>
        <v>0</v>
      </c>
      <c r="G276" s="84"/>
      <c r="H276" s="101">
        <v>271</v>
      </c>
      <c r="I276" s="102" t="str">
        <f t="shared" si="42"/>
        <v/>
      </c>
      <c r="J276" s="101">
        <f t="shared" si="47"/>
        <v>-2</v>
      </c>
      <c r="K276" s="101">
        <f t="shared" si="43"/>
        <v>-20</v>
      </c>
      <c r="L276" s="101"/>
      <c r="M276" s="103">
        <f t="shared" si="44"/>
        <v>0</v>
      </c>
      <c r="N276" s="103">
        <f t="shared" si="45"/>
        <v>0</v>
      </c>
    </row>
    <row r="277" spans="1:14" x14ac:dyDescent="0.25">
      <c r="A277" s="138">
        <f t="shared" si="46"/>
        <v>0</v>
      </c>
      <c r="G277" s="84"/>
      <c r="H277" s="101">
        <v>272</v>
      </c>
      <c r="I277" s="102" t="str">
        <f t="shared" si="42"/>
        <v/>
      </c>
      <c r="J277" s="101">
        <f t="shared" si="47"/>
        <v>-2</v>
      </c>
      <c r="K277" s="101">
        <f t="shared" si="43"/>
        <v>-20</v>
      </c>
      <c r="L277" s="101"/>
      <c r="M277" s="103">
        <f t="shared" si="44"/>
        <v>0</v>
      </c>
      <c r="N277" s="103">
        <f t="shared" si="45"/>
        <v>0</v>
      </c>
    </row>
    <row r="278" spans="1:14" x14ac:dyDescent="0.25">
      <c r="A278" s="137">
        <f t="shared" si="46"/>
        <v>0</v>
      </c>
      <c r="G278" s="84"/>
      <c r="H278" s="101">
        <v>273</v>
      </c>
      <c r="I278" s="102" t="str">
        <f t="shared" si="42"/>
        <v/>
      </c>
      <c r="J278" s="101">
        <f t="shared" si="47"/>
        <v>-2</v>
      </c>
      <c r="K278" s="101">
        <f t="shared" si="43"/>
        <v>-20</v>
      </c>
      <c r="L278" s="101"/>
      <c r="M278" s="103">
        <f t="shared" si="44"/>
        <v>0</v>
      </c>
      <c r="N278" s="103">
        <f t="shared" si="45"/>
        <v>0</v>
      </c>
    </row>
    <row r="279" spans="1:14" x14ac:dyDescent="0.25">
      <c r="A279" s="138">
        <f t="shared" si="46"/>
        <v>0</v>
      </c>
      <c r="G279" s="84"/>
      <c r="H279" s="101">
        <v>274</v>
      </c>
      <c r="I279" s="102" t="str">
        <f t="shared" si="42"/>
        <v/>
      </c>
      <c r="J279" s="101">
        <f t="shared" si="47"/>
        <v>-2</v>
      </c>
      <c r="K279" s="101">
        <f t="shared" si="43"/>
        <v>-20</v>
      </c>
      <c r="L279" s="101"/>
      <c r="M279" s="103">
        <f t="shared" si="44"/>
        <v>0</v>
      </c>
      <c r="N279" s="103">
        <f t="shared" si="45"/>
        <v>0</v>
      </c>
    </row>
    <row r="280" spans="1:14" x14ac:dyDescent="0.25">
      <c r="A280" s="137">
        <f t="shared" si="46"/>
        <v>0</v>
      </c>
      <c r="G280" s="84"/>
      <c r="H280" s="101">
        <v>275</v>
      </c>
      <c r="I280" s="102" t="str">
        <f t="shared" si="42"/>
        <v/>
      </c>
      <c r="J280" s="101">
        <f t="shared" si="47"/>
        <v>-2</v>
      </c>
      <c r="K280" s="101">
        <f t="shared" si="43"/>
        <v>-20</v>
      </c>
      <c r="L280" s="101"/>
      <c r="M280" s="103">
        <f t="shared" si="44"/>
        <v>0</v>
      </c>
      <c r="N280" s="103">
        <f t="shared" si="45"/>
        <v>0</v>
      </c>
    </row>
    <row r="281" spans="1:14" x14ac:dyDescent="0.25">
      <c r="A281" s="138">
        <f t="shared" si="46"/>
        <v>0</v>
      </c>
      <c r="G281" s="84"/>
      <c r="H281" s="101">
        <v>276</v>
      </c>
      <c r="I281" s="102" t="str">
        <f t="shared" si="42"/>
        <v/>
      </c>
      <c r="J281" s="101">
        <f t="shared" si="47"/>
        <v>-2</v>
      </c>
      <c r="K281" s="101">
        <f t="shared" si="43"/>
        <v>-20</v>
      </c>
      <c r="L281" s="101"/>
      <c r="M281" s="103">
        <f t="shared" si="44"/>
        <v>0</v>
      </c>
      <c r="N281" s="103">
        <f t="shared" si="45"/>
        <v>0</v>
      </c>
    </row>
    <row r="282" spans="1:14" x14ac:dyDescent="0.25">
      <c r="A282" s="137">
        <f t="shared" si="46"/>
        <v>0</v>
      </c>
      <c r="G282" s="84"/>
      <c r="H282" s="101">
        <v>277</v>
      </c>
      <c r="I282" s="102" t="str">
        <f t="shared" si="42"/>
        <v/>
      </c>
      <c r="J282" s="101">
        <f t="shared" si="47"/>
        <v>-2</v>
      </c>
      <c r="K282" s="101">
        <f t="shared" si="43"/>
        <v>-20</v>
      </c>
      <c r="L282" s="101"/>
      <c r="M282" s="103">
        <f t="shared" si="44"/>
        <v>0</v>
      </c>
      <c r="N282" s="103">
        <f t="shared" si="45"/>
        <v>0</v>
      </c>
    </row>
    <row r="283" spans="1:14" x14ac:dyDescent="0.25">
      <c r="A283" s="138">
        <f t="shared" si="46"/>
        <v>0</v>
      </c>
      <c r="G283" s="84"/>
      <c r="H283" s="101">
        <v>278</v>
      </c>
      <c r="I283" s="102" t="str">
        <f t="shared" si="42"/>
        <v/>
      </c>
      <c r="J283" s="101">
        <f t="shared" si="47"/>
        <v>-2</v>
      </c>
      <c r="K283" s="101">
        <f t="shared" si="43"/>
        <v>-20</v>
      </c>
      <c r="L283" s="101"/>
      <c r="M283" s="103">
        <f t="shared" si="44"/>
        <v>0</v>
      </c>
      <c r="N283" s="103">
        <f t="shared" si="45"/>
        <v>0</v>
      </c>
    </row>
    <row r="284" spans="1:14" x14ac:dyDescent="0.25">
      <c r="A284" s="137">
        <f t="shared" si="46"/>
        <v>0</v>
      </c>
      <c r="G284" s="84"/>
      <c r="H284" s="101">
        <v>279</v>
      </c>
      <c r="I284" s="102" t="str">
        <f t="shared" si="42"/>
        <v/>
      </c>
      <c r="J284" s="101">
        <f t="shared" si="47"/>
        <v>-2</v>
      </c>
      <c r="K284" s="101">
        <f t="shared" si="43"/>
        <v>-20</v>
      </c>
      <c r="L284" s="101"/>
      <c r="M284" s="103">
        <f t="shared" si="44"/>
        <v>0</v>
      </c>
      <c r="N284" s="103">
        <f t="shared" si="45"/>
        <v>0</v>
      </c>
    </row>
    <row r="285" spans="1:14" x14ac:dyDescent="0.25">
      <c r="A285" s="138">
        <f t="shared" si="46"/>
        <v>0</v>
      </c>
      <c r="G285" s="84"/>
      <c r="H285" s="101">
        <v>280</v>
      </c>
      <c r="I285" s="102" t="str">
        <f t="shared" si="42"/>
        <v/>
      </c>
      <c r="J285" s="101">
        <f t="shared" si="47"/>
        <v>-2</v>
      </c>
      <c r="K285" s="101">
        <f t="shared" si="43"/>
        <v>-20</v>
      </c>
      <c r="L285" s="101"/>
      <c r="M285" s="103">
        <f t="shared" si="44"/>
        <v>0</v>
      </c>
      <c r="N285" s="103">
        <f t="shared" si="45"/>
        <v>0</v>
      </c>
    </row>
    <row r="286" spans="1:14" x14ac:dyDescent="0.25">
      <c r="A286" s="137">
        <f t="shared" si="46"/>
        <v>0</v>
      </c>
      <c r="G286" s="84"/>
      <c r="H286" s="101">
        <v>281</v>
      </c>
      <c r="I286" s="102" t="str">
        <f t="shared" si="42"/>
        <v/>
      </c>
      <c r="J286" s="101">
        <f t="shared" si="47"/>
        <v>-2</v>
      </c>
      <c r="K286" s="101">
        <f t="shared" si="43"/>
        <v>-20</v>
      </c>
      <c r="L286" s="101"/>
      <c r="M286" s="103">
        <f t="shared" si="44"/>
        <v>0</v>
      </c>
      <c r="N286" s="103">
        <f t="shared" si="45"/>
        <v>0</v>
      </c>
    </row>
    <row r="287" spans="1:14" x14ac:dyDescent="0.25">
      <c r="A287" s="138">
        <f t="shared" si="46"/>
        <v>0</v>
      </c>
      <c r="G287" s="84"/>
      <c r="H287" s="101">
        <v>282</v>
      </c>
      <c r="I287" s="102" t="str">
        <f t="shared" si="42"/>
        <v/>
      </c>
      <c r="J287" s="101">
        <f t="shared" si="47"/>
        <v>-2</v>
      </c>
      <c r="K287" s="101">
        <f t="shared" si="43"/>
        <v>-20</v>
      </c>
      <c r="L287" s="101"/>
      <c r="M287" s="103">
        <f t="shared" si="44"/>
        <v>0</v>
      </c>
      <c r="N287" s="103">
        <f t="shared" si="45"/>
        <v>0</v>
      </c>
    </row>
    <row r="288" spans="1:14" x14ac:dyDescent="0.25">
      <c r="A288" s="137">
        <f t="shared" si="46"/>
        <v>0</v>
      </c>
      <c r="G288" s="84"/>
      <c r="H288" s="101">
        <v>283</v>
      </c>
      <c r="I288" s="102" t="str">
        <f t="shared" si="42"/>
        <v/>
      </c>
      <c r="J288" s="101">
        <f t="shared" si="47"/>
        <v>-2</v>
      </c>
      <c r="K288" s="101">
        <f t="shared" si="43"/>
        <v>-20</v>
      </c>
      <c r="L288" s="101"/>
      <c r="M288" s="103">
        <f t="shared" si="44"/>
        <v>0</v>
      </c>
      <c r="N288" s="103">
        <f t="shared" si="45"/>
        <v>0</v>
      </c>
    </row>
    <row r="289" spans="1:14" x14ac:dyDescent="0.25">
      <c r="A289" s="138">
        <f t="shared" si="46"/>
        <v>0</v>
      </c>
      <c r="G289" s="84"/>
      <c r="H289" s="101">
        <v>284</v>
      </c>
      <c r="I289" s="102" t="str">
        <f t="shared" si="42"/>
        <v/>
      </c>
      <c r="J289" s="101">
        <f t="shared" si="47"/>
        <v>-2</v>
      </c>
      <c r="K289" s="101">
        <f t="shared" si="43"/>
        <v>-20</v>
      </c>
      <c r="L289" s="101"/>
      <c r="M289" s="103">
        <f t="shared" si="44"/>
        <v>0</v>
      </c>
      <c r="N289" s="103">
        <f t="shared" si="45"/>
        <v>0</v>
      </c>
    </row>
    <row r="290" spans="1:14" x14ac:dyDescent="0.25">
      <c r="A290" s="137">
        <f t="shared" si="46"/>
        <v>0</v>
      </c>
      <c r="G290" s="84"/>
      <c r="H290" s="101">
        <v>285</v>
      </c>
      <c r="I290" s="102" t="str">
        <f t="shared" si="42"/>
        <v/>
      </c>
      <c r="J290" s="101">
        <f t="shared" si="47"/>
        <v>-2</v>
      </c>
      <c r="K290" s="101">
        <f t="shared" si="43"/>
        <v>-20</v>
      </c>
      <c r="L290" s="101"/>
      <c r="M290" s="103">
        <f t="shared" si="44"/>
        <v>0</v>
      </c>
      <c r="N290" s="103">
        <f t="shared" si="45"/>
        <v>0</v>
      </c>
    </row>
    <row r="291" spans="1:14" x14ac:dyDescent="0.25">
      <c r="A291" s="138">
        <f t="shared" si="46"/>
        <v>0</v>
      </c>
      <c r="G291" s="84"/>
      <c r="H291" s="101">
        <v>286</v>
      </c>
      <c r="I291" s="102" t="str">
        <f t="shared" si="42"/>
        <v/>
      </c>
      <c r="J291" s="101">
        <f t="shared" si="47"/>
        <v>-2</v>
      </c>
      <c r="K291" s="101">
        <f t="shared" si="43"/>
        <v>-20</v>
      </c>
      <c r="L291" s="101"/>
      <c r="M291" s="103">
        <f t="shared" si="44"/>
        <v>0</v>
      </c>
      <c r="N291" s="103">
        <f t="shared" si="45"/>
        <v>0</v>
      </c>
    </row>
    <row r="292" spans="1:14" x14ac:dyDescent="0.25">
      <c r="A292" s="137">
        <f t="shared" si="46"/>
        <v>0</v>
      </c>
      <c r="G292" s="84"/>
      <c r="H292" s="101">
        <v>287</v>
      </c>
      <c r="I292" s="102" t="str">
        <f t="shared" si="42"/>
        <v/>
      </c>
      <c r="J292" s="101">
        <f t="shared" si="47"/>
        <v>-2</v>
      </c>
      <c r="K292" s="101">
        <f t="shared" si="43"/>
        <v>-20</v>
      </c>
      <c r="L292" s="101"/>
      <c r="M292" s="103">
        <f t="shared" si="44"/>
        <v>0</v>
      </c>
      <c r="N292" s="103">
        <f t="shared" si="45"/>
        <v>0</v>
      </c>
    </row>
    <row r="293" spans="1:14" x14ac:dyDescent="0.25">
      <c r="A293" s="138">
        <f t="shared" si="46"/>
        <v>0</v>
      </c>
      <c r="G293" s="84"/>
      <c r="H293" s="101">
        <v>288</v>
      </c>
      <c r="I293" s="102" t="str">
        <f t="shared" si="42"/>
        <v/>
      </c>
      <c r="J293" s="101">
        <f t="shared" si="47"/>
        <v>-2</v>
      </c>
      <c r="K293" s="101">
        <f t="shared" si="43"/>
        <v>-20</v>
      </c>
      <c r="L293" s="101"/>
      <c r="M293" s="103">
        <f t="shared" si="44"/>
        <v>0</v>
      </c>
      <c r="N293" s="103">
        <f t="shared" si="45"/>
        <v>0</v>
      </c>
    </row>
    <row r="294" spans="1:14" x14ac:dyDescent="0.25">
      <c r="A294" s="137">
        <f t="shared" si="46"/>
        <v>0</v>
      </c>
      <c r="G294" s="84"/>
      <c r="H294" s="101">
        <v>289</v>
      </c>
      <c r="I294" s="102" t="str">
        <f t="shared" si="42"/>
        <v/>
      </c>
      <c r="J294" s="101">
        <f t="shared" si="47"/>
        <v>-2</v>
      </c>
      <c r="K294" s="101">
        <f t="shared" si="43"/>
        <v>-20</v>
      </c>
      <c r="L294" s="101"/>
      <c r="M294" s="103">
        <f t="shared" si="44"/>
        <v>0</v>
      </c>
      <c r="N294" s="103">
        <f t="shared" si="45"/>
        <v>0</v>
      </c>
    </row>
    <row r="295" spans="1:14" x14ac:dyDescent="0.25">
      <c r="A295" s="138">
        <f t="shared" si="46"/>
        <v>0</v>
      </c>
      <c r="G295" s="84"/>
      <c r="H295" s="101">
        <v>290</v>
      </c>
      <c r="I295" s="102" t="str">
        <f t="shared" si="42"/>
        <v/>
      </c>
      <c r="J295" s="101">
        <f t="shared" si="47"/>
        <v>-2</v>
      </c>
      <c r="K295" s="101">
        <f t="shared" si="43"/>
        <v>-20</v>
      </c>
      <c r="L295" s="101"/>
      <c r="M295" s="103">
        <f t="shared" si="44"/>
        <v>0</v>
      </c>
      <c r="N295" s="103">
        <f t="shared" si="45"/>
        <v>0</v>
      </c>
    </row>
    <row r="296" spans="1:14" x14ac:dyDescent="0.25">
      <c r="A296" s="137">
        <f t="shared" si="46"/>
        <v>0</v>
      </c>
      <c r="G296" s="84"/>
      <c r="H296" s="101">
        <v>291</v>
      </c>
      <c r="I296" s="102" t="str">
        <f t="shared" si="42"/>
        <v/>
      </c>
      <c r="J296" s="101">
        <f t="shared" si="47"/>
        <v>-2</v>
      </c>
      <c r="K296" s="101">
        <f t="shared" si="43"/>
        <v>-20</v>
      </c>
      <c r="L296" s="101"/>
      <c r="M296" s="103">
        <f t="shared" si="44"/>
        <v>0</v>
      </c>
      <c r="N296" s="103">
        <f t="shared" si="45"/>
        <v>0</v>
      </c>
    </row>
    <row r="297" spans="1:14" x14ac:dyDescent="0.25">
      <c r="A297" s="138">
        <f t="shared" si="46"/>
        <v>0</v>
      </c>
      <c r="G297" s="84"/>
      <c r="H297" s="101">
        <v>292</v>
      </c>
      <c r="I297" s="102" t="str">
        <f t="shared" si="42"/>
        <v/>
      </c>
      <c r="J297" s="101">
        <f t="shared" si="47"/>
        <v>-2</v>
      </c>
      <c r="K297" s="101">
        <f t="shared" si="43"/>
        <v>-20</v>
      </c>
      <c r="L297" s="101"/>
      <c r="M297" s="103">
        <f t="shared" si="44"/>
        <v>0</v>
      </c>
      <c r="N297" s="103">
        <f t="shared" si="45"/>
        <v>0</v>
      </c>
    </row>
    <row r="298" spans="1:14" x14ac:dyDescent="0.25">
      <c r="A298" s="137">
        <f t="shared" si="46"/>
        <v>0</v>
      </c>
      <c r="G298" s="84"/>
      <c r="H298" s="101">
        <v>293</v>
      </c>
      <c r="I298" s="102" t="str">
        <f t="shared" si="42"/>
        <v/>
      </c>
      <c r="J298" s="101">
        <f t="shared" si="47"/>
        <v>-2</v>
      </c>
      <c r="K298" s="101">
        <f t="shared" si="43"/>
        <v>-20</v>
      </c>
      <c r="L298" s="101"/>
      <c r="M298" s="103">
        <f t="shared" si="44"/>
        <v>0</v>
      </c>
      <c r="N298" s="103">
        <f t="shared" si="45"/>
        <v>0</v>
      </c>
    </row>
    <row r="299" spans="1:14" x14ac:dyDescent="0.25">
      <c r="A299" s="138">
        <f t="shared" si="46"/>
        <v>0</v>
      </c>
      <c r="G299" s="84"/>
      <c r="H299" s="101">
        <v>294</v>
      </c>
      <c r="I299" s="102" t="str">
        <f t="shared" si="42"/>
        <v/>
      </c>
      <c r="J299" s="101">
        <f t="shared" si="47"/>
        <v>-2</v>
      </c>
      <c r="K299" s="101">
        <f t="shared" si="43"/>
        <v>-20</v>
      </c>
      <c r="L299" s="101"/>
      <c r="M299" s="103">
        <f t="shared" si="44"/>
        <v>0</v>
      </c>
      <c r="N299" s="103">
        <f t="shared" si="45"/>
        <v>0</v>
      </c>
    </row>
    <row r="300" spans="1:14" x14ac:dyDescent="0.25">
      <c r="A300" s="137">
        <f t="shared" si="46"/>
        <v>0</v>
      </c>
      <c r="G300" s="84"/>
      <c r="H300" s="101">
        <v>295</v>
      </c>
      <c r="I300" s="102" t="str">
        <f t="shared" si="42"/>
        <v/>
      </c>
      <c r="J300" s="101">
        <f t="shared" si="47"/>
        <v>-2</v>
      </c>
      <c r="K300" s="101">
        <f t="shared" si="43"/>
        <v>-20</v>
      </c>
      <c r="L300" s="101"/>
      <c r="M300" s="103">
        <f t="shared" si="44"/>
        <v>0</v>
      </c>
      <c r="N300" s="103">
        <f t="shared" si="45"/>
        <v>0</v>
      </c>
    </row>
    <row r="301" spans="1:14" x14ac:dyDescent="0.25">
      <c r="A301" s="138">
        <f t="shared" si="46"/>
        <v>0</v>
      </c>
      <c r="G301" s="84"/>
      <c r="H301" s="101">
        <v>296</v>
      </c>
      <c r="I301" s="102" t="str">
        <f t="shared" si="42"/>
        <v/>
      </c>
      <c r="J301" s="101">
        <f t="shared" si="47"/>
        <v>-2</v>
      </c>
      <c r="K301" s="101">
        <f t="shared" si="43"/>
        <v>-20</v>
      </c>
      <c r="L301" s="101"/>
      <c r="M301" s="103">
        <f t="shared" si="44"/>
        <v>0</v>
      </c>
      <c r="N301" s="103">
        <f t="shared" si="45"/>
        <v>0</v>
      </c>
    </row>
    <row r="302" spans="1:14" x14ac:dyDescent="0.25">
      <c r="A302" s="137">
        <f t="shared" si="46"/>
        <v>0</v>
      </c>
      <c r="G302" s="84"/>
      <c r="H302" s="101">
        <v>297</v>
      </c>
      <c r="I302" s="102" t="str">
        <f t="shared" si="42"/>
        <v/>
      </c>
      <c r="J302" s="101">
        <f t="shared" si="47"/>
        <v>-2</v>
      </c>
      <c r="K302" s="101">
        <f t="shared" si="43"/>
        <v>-20</v>
      </c>
      <c r="L302" s="101"/>
      <c r="M302" s="103">
        <f t="shared" si="44"/>
        <v>0</v>
      </c>
      <c r="N302" s="103">
        <f t="shared" si="45"/>
        <v>0</v>
      </c>
    </row>
    <row r="303" spans="1:14" x14ac:dyDescent="0.25">
      <c r="A303" s="138">
        <f t="shared" si="46"/>
        <v>0</v>
      </c>
      <c r="G303" s="84"/>
      <c r="H303" s="101">
        <v>298</v>
      </c>
      <c r="I303" s="102" t="str">
        <f t="shared" si="42"/>
        <v/>
      </c>
      <c r="J303" s="101">
        <f t="shared" si="47"/>
        <v>-2</v>
      </c>
      <c r="K303" s="101">
        <f t="shared" si="43"/>
        <v>-20</v>
      </c>
      <c r="L303" s="101"/>
      <c r="M303" s="103">
        <f t="shared" si="44"/>
        <v>0</v>
      </c>
      <c r="N303" s="103">
        <f t="shared" si="45"/>
        <v>0</v>
      </c>
    </row>
    <row r="304" spans="1:14" x14ac:dyDescent="0.25">
      <c r="A304" s="137">
        <f t="shared" si="46"/>
        <v>0</v>
      </c>
      <c r="G304" s="84"/>
      <c r="H304" s="101">
        <v>299</v>
      </c>
      <c r="I304" s="102" t="str">
        <f t="shared" si="42"/>
        <v/>
      </c>
      <c r="J304" s="101">
        <f t="shared" si="47"/>
        <v>-2</v>
      </c>
      <c r="K304" s="101">
        <f t="shared" si="43"/>
        <v>-20</v>
      </c>
      <c r="L304" s="101"/>
      <c r="M304" s="103">
        <f t="shared" si="44"/>
        <v>0</v>
      </c>
      <c r="N304" s="103">
        <f t="shared" si="45"/>
        <v>0</v>
      </c>
    </row>
    <row r="305" spans="1:17" x14ac:dyDescent="0.25">
      <c r="A305" s="138">
        <f t="shared" si="46"/>
        <v>0</v>
      </c>
      <c r="G305" s="84"/>
      <c r="H305" s="101">
        <v>300</v>
      </c>
      <c r="I305" s="102" t="str">
        <f t="shared" si="42"/>
        <v/>
      </c>
      <c r="J305" s="101">
        <f t="shared" si="47"/>
        <v>-2</v>
      </c>
      <c r="K305" s="101">
        <f t="shared" si="43"/>
        <v>-20</v>
      </c>
      <c r="L305" s="101"/>
      <c r="M305" s="103">
        <f t="shared" si="44"/>
        <v>0</v>
      </c>
      <c r="N305" s="103">
        <f t="shared" si="45"/>
        <v>0</v>
      </c>
    </row>
    <row r="306" spans="1:17" x14ac:dyDescent="0.25">
      <c r="A306" s="119"/>
    </row>
    <row r="314" spans="1:17" x14ac:dyDescent="0.25">
      <c r="L314" s="122"/>
      <c r="M314" s="122"/>
      <c r="Q314" s="112"/>
    </row>
    <row r="315" spans="1:17" x14ac:dyDescent="0.25">
      <c r="L315" s="122"/>
      <c r="M315" s="122"/>
      <c r="Q315" s="112"/>
    </row>
    <row r="316" spans="1:17" x14ac:dyDescent="0.25">
      <c r="L316" s="122"/>
      <c r="M316" s="122"/>
      <c r="Q316" s="112"/>
    </row>
    <row r="317" spans="1:17" x14ac:dyDescent="0.25">
      <c r="L317" s="122"/>
      <c r="M317" s="122"/>
      <c r="Q317" s="112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8E2F2ACC-9287-4DDA-8FBA-EDAC0E168B49}"/>
    <hyperlink ref="C2:D2" r:id="rId2" display="Thionville" xr:uid="{4FC92898-BA31-43D9-88E1-B33A9CDD2A2F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Ranking</vt:lpstr>
      <vt:lpstr>GP1</vt:lpstr>
      <vt:lpstr>GP2</vt:lpstr>
      <vt:lpstr>GP3</vt:lpstr>
      <vt:lpstr>GP4</vt:lpstr>
      <vt:lpstr>GP5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2023-06-17T21:06:48Z</dcterms:modified>
  <cp:category/>
  <cp:contentStatus/>
</cp:coreProperties>
</file>